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8"/>
  <workbookPr hidePivotFieldList="1"/>
  <mc:AlternateContent xmlns:mc="http://schemas.openxmlformats.org/markup-compatibility/2006">
    <mc:Choice Requires="x15">
      <x15ac:absPath xmlns:x15ac="http://schemas.microsoft.com/office/spreadsheetml/2010/11/ac" url="https://d.docs.live.net/33b49c27706f3b32/4- EVENTOS GRANDES/COLEGIO DE CONTADORES DE CORRIENTES/"/>
    </mc:Choice>
  </mc:AlternateContent>
  <xr:revisionPtr revIDLastSave="11" documentId="8_{B93D5C78-9B99-4580-AF59-91ABA7924D04}" xr6:coauthVersionLast="47" xr6:coauthVersionMax="47" xr10:uidLastSave="{9EEC2F32-2F7C-4FF7-9A4D-954AB2928908}"/>
  <bookViews>
    <workbookView xWindow="-120" yWindow="-120" windowWidth="20730" windowHeight="11160" tabRatio="1000" activeTab="1" xr2:uid="{A7BC206B-01EA-442A-BAC9-7664FADAA1C8}"/>
  </bookViews>
  <sheets>
    <sheet name="BD" sheetId="60" r:id="rId1"/>
    <sheet name="FUNCIONES DINAMICAS" sheetId="41" r:id="rId2"/>
    <sheet name="AUX" sheetId="39" r:id="rId3"/>
    <sheet name="DASHBOARD" sheetId="38" r:id="rId4"/>
    <sheet name="GPT_TABLE" sheetId="43" r:id="rId5"/>
    <sheet name="GPT_CLASSIFY" sheetId="46" r:id="rId6"/>
    <sheet name="PROMPT" sheetId="62" r:id="rId7"/>
    <sheet name="GPT cache" sheetId="44" state="veryHidden" r:id="rId8"/>
    <sheet name="IA" sheetId="56" state="hidden" r:id="rId9"/>
  </sheets>
  <definedNames>
    <definedName name="_xlnm._FilterDatabase" localSheetId="5" hidden="1">GPT_CLASSIFY!$B$4:$I$4</definedName>
    <definedName name="Capital">#REF!</definedName>
    <definedName name="Cuota_N°">#REF!</definedName>
    <definedName name="DatosExternos_1" localSheetId="0" hidden="1">BD!$B$12:$G$3190</definedName>
    <definedName name="DatosExternos_2" localSheetId="0" hidden="1">BD!#REF!</definedName>
    <definedName name="Empresa">#REF!</definedName>
    <definedName name="Fecha_Vto.">#REF!</definedName>
    <definedName name="Interés_Financiero">#REF!</definedName>
    <definedName name="Interés_Resarcitorio">#REF!</definedName>
    <definedName name="Nro_cuotas">#REF!</definedName>
    <definedName name="Plan">#REF!</definedName>
    <definedName name="Status">#REF!</definedName>
    <definedName name="Total">#REF!</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46" l="1" a="1"/>
  <c r="E2" i="60"/>
  <c r="B8" i="41"/>
  <c r="D8" i="41" s="1"/>
  <c r="B17" i="41" s="1" a="1"/>
  <c r="AE16" i="41" a="1"/>
  <c r="H14" i="39" a="1"/>
  <c r="E14" i="39" a="1"/>
  <c r="B14" i="39" a="1"/>
  <c r="Y18" i="41" a="1"/>
  <c r="L16" i="41" a="1"/>
  <c r="L24" i="41" a="1"/>
  <c r="C3191" i="60"/>
  <c r="D3191" i="60"/>
  <c r="E3191" i="60"/>
  <c r="G17" i="41" a="1"/>
  <c r="AK5" i="41" a="1"/>
  <c r="AM5" i="41" a="1"/>
  <c r="F3190" i="60"/>
  <c r="F3189" i="60"/>
  <c r="F3188" i="60"/>
  <c r="B3188" i="60"/>
  <c r="F3187" i="60"/>
  <c r="F3186" i="60"/>
  <c r="B3186" i="60"/>
  <c r="F3185" i="60"/>
  <c r="F3184" i="60"/>
  <c r="B3184" i="60"/>
  <c r="F3183" i="60"/>
  <c r="F3182" i="60"/>
  <c r="B3182" i="60"/>
  <c r="F3181" i="60"/>
  <c r="F3180" i="60"/>
  <c r="B3180" i="60"/>
  <c r="F3179" i="60"/>
  <c r="F3178" i="60"/>
  <c r="B3178" i="60"/>
  <c r="F3177" i="60"/>
  <c r="F3176" i="60"/>
  <c r="B3176" i="60"/>
  <c r="F3175" i="60"/>
  <c r="F3174" i="60"/>
  <c r="B3174" i="60"/>
  <c r="F3173" i="60"/>
  <c r="F3172" i="60"/>
  <c r="B3172" i="60"/>
  <c r="F3171" i="60"/>
  <c r="F3170" i="60"/>
  <c r="B3170" i="60"/>
  <c r="F3169" i="60"/>
  <c r="F3168" i="60"/>
  <c r="B3168" i="60"/>
  <c r="F3167" i="60"/>
  <c r="F3166" i="60"/>
  <c r="B3166" i="60"/>
  <c r="F3165" i="60"/>
  <c r="F3164" i="60"/>
  <c r="B3164" i="60"/>
  <c r="F3163" i="60"/>
  <c r="F3162" i="60"/>
  <c r="B3162" i="60"/>
  <c r="F3161" i="60"/>
  <c r="F3160" i="60"/>
  <c r="B3160" i="60"/>
  <c r="F3159" i="60"/>
  <c r="F3158" i="60"/>
  <c r="B3158" i="60"/>
  <c r="F3157" i="60"/>
  <c r="F3156" i="60"/>
  <c r="B3156" i="60"/>
  <c r="F3155" i="60"/>
  <c r="F3154" i="60"/>
  <c r="B3154" i="60"/>
  <c r="F3153" i="60"/>
  <c r="F3152" i="60"/>
  <c r="B3152" i="60"/>
  <c r="F3151" i="60"/>
  <c r="F3150" i="60"/>
  <c r="B3150" i="60"/>
  <c r="F3149" i="60"/>
  <c r="F3148" i="60"/>
  <c r="B3148" i="60"/>
  <c r="F3147" i="60"/>
  <c r="F3146" i="60"/>
  <c r="B3146" i="60"/>
  <c r="F3145" i="60"/>
  <c r="F3144" i="60"/>
  <c r="B3144" i="60"/>
  <c r="F3143" i="60"/>
  <c r="F3142" i="60"/>
  <c r="B3142" i="60"/>
  <c r="F3141" i="60"/>
  <c r="F3140" i="60"/>
  <c r="B3140" i="60"/>
  <c r="F3139" i="60"/>
  <c r="F3138" i="60"/>
  <c r="B3138" i="60"/>
  <c r="F3137" i="60"/>
  <c r="F3136" i="60"/>
  <c r="B3136" i="60"/>
  <c r="F3135" i="60"/>
  <c r="F3134" i="60"/>
  <c r="B3134" i="60"/>
  <c r="F3133" i="60"/>
  <c r="F3132" i="60"/>
  <c r="B3132" i="60"/>
  <c r="F3131" i="60"/>
  <c r="F3130" i="60"/>
  <c r="B3130" i="60"/>
  <c r="F3129" i="60"/>
  <c r="F3128" i="60"/>
  <c r="B3128" i="60"/>
  <c r="F3127" i="60"/>
  <c r="F3126" i="60"/>
  <c r="B3126" i="60"/>
  <c r="F3125" i="60"/>
  <c r="F3124" i="60"/>
  <c r="B3124" i="60"/>
  <c r="F3123" i="60"/>
  <c r="F3122" i="60"/>
  <c r="B3122" i="60"/>
  <c r="F3121" i="60"/>
  <c r="F3120" i="60"/>
  <c r="B3120" i="60"/>
  <c r="F3119" i="60"/>
  <c r="F3118" i="60"/>
  <c r="B3118" i="60"/>
  <c r="F3117" i="60"/>
  <c r="F3116" i="60"/>
  <c r="B3116" i="60"/>
  <c r="F3115" i="60"/>
  <c r="F3114" i="60"/>
  <c r="B3114" i="60"/>
  <c r="F3113" i="60"/>
  <c r="F3112" i="60"/>
  <c r="B3112" i="60"/>
  <c r="F3111" i="60"/>
  <c r="F3110" i="60"/>
  <c r="B3110" i="60"/>
  <c r="F3109" i="60"/>
  <c r="F3108" i="60"/>
  <c r="B3108" i="60"/>
  <c r="F3107" i="60"/>
  <c r="F3106" i="60"/>
  <c r="B3106" i="60"/>
  <c r="F3105" i="60"/>
  <c r="F3104" i="60"/>
  <c r="B3104" i="60"/>
  <c r="F3103" i="60"/>
  <c r="F3102" i="60"/>
  <c r="B3102" i="60"/>
  <c r="F3101" i="60"/>
  <c r="F3100" i="60"/>
  <c r="B3100" i="60"/>
  <c r="F3099" i="60"/>
  <c r="F3098" i="60"/>
  <c r="B3098" i="60"/>
  <c r="F3097" i="60"/>
  <c r="F3096" i="60"/>
  <c r="B3096" i="60"/>
  <c r="F3095" i="60"/>
  <c r="F3094" i="60"/>
  <c r="B3094" i="60"/>
  <c r="F3093" i="60"/>
  <c r="F3092" i="60"/>
  <c r="B3092" i="60"/>
  <c r="F3091" i="60"/>
  <c r="F3090" i="60"/>
  <c r="B3090" i="60"/>
  <c r="F3089" i="60"/>
  <c r="F3088" i="60"/>
  <c r="B3088" i="60"/>
  <c r="F3087" i="60"/>
  <c r="F3086" i="60"/>
  <c r="B3086" i="60"/>
  <c r="F3085" i="60"/>
  <c r="F3084" i="60"/>
  <c r="B3084" i="60"/>
  <c r="F3083" i="60"/>
  <c r="F3082" i="60"/>
  <c r="B3082" i="60"/>
  <c r="F3081" i="60"/>
  <c r="F3080" i="60"/>
  <c r="B3080" i="60"/>
  <c r="F3079" i="60"/>
  <c r="F3078" i="60"/>
  <c r="B3078" i="60"/>
  <c r="F3077" i="60"/>
  <c r="F3076" i="60"/>
  <c r="B3076" i="60"/>
  <c r="F3075" i="60"/>
  <c r="F3074" i="60"/>
  <c r="B3074" i="60"/>
  <c r="F3073" i="60"/>
  <c r="F3072" i="60"/>
  <c r="B3072" i="60"/>
  <c r="F3071" i="60"/>
  <c r="F3070" i="60"/>
  <c r="B3070" i="60"/>
  <c r="F3069" i="60"/>
  <c r="F3068" i="60"/>
  <c r="B3068" i="60"/>
  <c r="F3067" i="60"/>
  <c r="F3066" i="60"/>
  <c r="B3066" i="60"/>
  <c r="F3065" i="60"/>
  <c r="F3064" i="60"/>
  <c r="B3064" i="60"/>
  <c r="F3063" i="60"/>
  <c r="F3062" i="60"/>
  <c r="B3062" i="60"/>
  <c r="F3061" i="60"/>
  <c r="F3060" i="60"/>
  <c r="B3060" i="60"/>
  <c r="F3059" i="60"/>
  <c r="F3058" i="60"/>
  <c r="B3058" i="60"/>
  <c r="F3057" i="60"/>
  <c r="F3056" i="60"/>
  <c r="B3056" i="60"/>
  <c r="F3055" i="60"/>
  <c r="F3054" i="60"/>
  <c r="B3054" i="60"/>
  <c r="F3053" i="60"/>
  <c r="F3052" i="60"/>
  <c r="B3052" i="60"/>
  <c r="F3051" i="60"/>
  <c r="F3050" i="60"/>
  <c r="B3050" i="60"/>
  <c r="F3049" i="60"/>
  <c r="F3048" i="60"/>
  <c r="B3048" i="60"/>
  <c r="F3047" i="60"/>
  <c r="F3046" i="60"/>
  <c r="B3046" i="60"/>
  <c r="F3045" i="60"/>
  <c r="F3044" i="60"/>
  <c r="B3044" i="60"/>
  <c r="F3043" i="60"/>
  <c r="F3042" i="60"/>
  <c r="B3042" i="60"/>
  <c r="F3041" i="60"/>
  <c r="F3040" i="60"/>
  <c r="B3040" i="60"/>
  <c r="F3039" i="60"/>
  <c r="F3038" i="60"/>
  <c r="B3038" i="60"/>
  <c r="F3037" i="60"/>
  <c r="F3036" i="60"/>
  <c r="B3036" i="60"/>
  <c r="F3035" i="60"/>
  <c r="F3034" i="60"/>
  <c r="B3034" i="60"/>
  <c r="F3033" i="60"/>
  <c r="F3032" i="60"/>
  <c r="B3032" i="60"/>
  <c r="F3031" i="60"/>
  <c r="F3030" i="60"/>
  <c r="B3030" i="60"/>
  <c r="F3029" i="60"/>
  <c r="F3028" i="60"/>
  <c r="B3028" i="60"/>
  <c r="F3027" i="60"/>
  <c r="F3026" i="60"/>
  <c r="B3026" i="60"/>
  <c r="F3025" i="60"/>
  <c r="F3024" i="60"/>
  <c r="B3024" i="60"/>
  <c r="F3023" i="60"/>
  <c r="F3022" i="60"/>
  <c r="B3022" i="60"/>
  <c r="F3021" i="60"/>
  <c r="F3020" i="60"/>
  <c r="B3020" i="60"/>
  <c r="F3019" i="60"/>
  <c r="F3018" i="60"/>
  <c r="B3018" i="60"/>
  <c r="F3017" i="60"/>
  <c r="F3016" i="60"/>
  <c r="B3016" i="60"/>
  <c r="F3015" i="60"/>
  <c r="F3014" i="60"/>
  <c r="B3014" i="60"/>
  <c r="F3013" i="60"/>
  <c r="F3012" i="60"/>
  <c r="B3012" i="60"/>
  <c r="F3011" i="60"/>
  <c r="F3010" i="60"/>
  <c r="B3010" i="60"/>
  <c r="F3009" i="60"/>
  <c r="F3008" i="60"/>
  <c r="B3008" i="60"/>
  <c r="F3007" i="60"/>
  <c r="F3006" i="60"/>
  <c r="B3006" i="60"/>
  <c r="F3005" i="60"/>
  <c r="F3004" i="60"/>
  <c r="B3004" i="60"/>
  <c r="F3003" i="60"/>
  <c r="F3002" i="60"/>
  <c r="B3002" i="60"/>
  <c r="F3001" i="60"/>
  <c r="F3000" i="60"/>
  <c r="B3000" i="60"/>
  <c r="F2999" i="60"/>
  <c r="F2998" i="60"/>
  <c r="B2998" i="60"/>
  <c r="F2997" i="60"/>
  <c r="F2996" i="60"/>
  <c r="B2996" i="60"/>
  <c r="F2995" i="60"/>
  <c r="F2994" i="60"/>
  <c r="B2994" i="60"/>
  <c r="F2993" i="60"/>
  <c r="F2992" i="60"/>
  <c r="B2992" i="60"/>
  <c r="F2991" i="60"/>
  <c r="F2990" i="60"/>
  <c r="B2990" i="60"/>
  <c r="F2989" i="60"/>
  <c r="F2988" i="60"/>
  <c r="B2988" i="60"/>
  <c r="F2987" i="60"/>
  <c r="F2986" i="60"/>
  <c r="B2986" i="60"/>
  <c r="F2985" i="60"/>
  <c r="F2984" i="60"/>
  <c r="B2984" i="60"/>
  <c r="F2983" i="60"/>
  <c r="F2982" i="60"/>
  <c r="B2982" i="60"/>
  <c r="F2981" i="60"/>
  <c r="F2980" i="60"/>
  <c r="B2980" i="60"/>
  <c r="F2979" i="60"/>
  <c r="F2978" i="60"/>
  <c r="B2978" i="60"/>
  <c r="F2977" i="60"/>
  <c r="F2976" i="60"/>
  <c r="B2976" i="60"/>
  <c r="F2975" i="60"/>
  <c r="F2974" i="60"/>
  <c r="B2974" i="60"/>
  <c r="F2973" i="60"/>
  <c r="F2972" i="60"/>
  <c r="B2972" i="60"/>
  <c r="F2971" i="60"/>
  <c r="F2970" i="60"/>
  <c r="B2970" i="60"/>
  <c r="F2969" i="60"/>
  <c r="F2968" i="60"/>
  <c r="B2968" i="60"/>
  <c r="F2967" i="60"/>
  <c r="F2966" i="60"/>
  <c r="B2966" i="60"/>
  <c r="F2965" i="60"/>
  <c r="F2964" i="60"/>
  <c r="B2964" i="60"/>
  <c r="F2963" i="60"/>
  <c r="F2962" i="60"/>
  <c r="B2962" i="60"/>
  <c r="F2961" i="60"/>
  <c r="F2960" i="60"/>
  <c r="B2960" i="60"/>
  <c r="F2959" i="60"/>
  <c r="F2958" i="60"/>
  <c r="B2958" i="60"/>
  <c r="F2957" i="60"/>
  <c r="F2956" i="60"/>
  <c r="B2956" i="60"/>
  <c r="F2955" i="60"/>
  <c r="F2954" i="60"/>
  <c r="B2954" i="60"/>
  <c r="F2953" i="60"/>
  <c r="F2952" i="60"/>
  <c r="B2952" i="60"/>
  <c r="F2951" i="60"/>
  <c r="F2950" i="60"/>
  <c r="F2949" i="60"/>
  <c r="F2948" i="60"/>
  <c r="F2947" i="60"/>
  <c r="F2946" i="60"/>
  <c r="F2945" i="60"/>
  <c r="F2944" i="60"/>
  <c r="F2943" i="60"/>
  <c r="F2942" i="60"/>
  <c r="F2941" i="60"/>
  <c r="F2940" i="60"/>
  <c r="F2939" i="60"/>
  <c r="F2938" i="60"/>
  <c r="F2937" i="60"/>
  <c r="F2936" i="60"/>
  <c r="F2935" i="60"/>
  <c r="F2934" i="60"/>
  <c r="F2933" i="60"/>
  <c r="F2932" i="60"/>
  <c r="F2931" i="60"/>
  <c r="F2930" i="60"/>
  <c r="F2929" i="60"/>
  <c r="F2928" i="60"/>
  <c r="F2927" i="60"/>
  <c r="F2926" i="60"/>
  <c r="F2925" i="60"/>
  <c r="F2924" i="60"/>
  <c r="F2923" i="60"/>
  <c r="F2922" i="60"/>
  <c r="F2921" i="60"/>
  <c r="F2920" i="60"/>
  <c r="F2919" i="60"/>
  <c r="F2918" i="60"/>
  <c r="F2917" i="60"/>
  <c r="F2916" i="60"/>
  <c r="F2915" i="60"/>
  <c r="F2914" i="60"/>
  <c r="F2913" i="60"/>
  <c r="F2912" i="60"/>
  <c r="F2911" i="60"/>
  <c r="F2910" i="60"/>
  <c r="F2909" i="60"/>
  <c r="F2908" i="60"/>
  <c r="F2907" i="60"/>
  <c r="F2906" i="60"/>
  <c r="F2905" i="60"/>
  <c r="F2904" i="60"/>
  <c r="F2903" i="60"/>
  <c r="F2902" i="60"/>
  <c r="F2901" i="60"/>
  <c r="F2900" i="60"/>
  <c r="F2899" i="60"/>
  <c r="F2898" i="60"/>
  <c r="F2897" i="60"/>
  <c r="F2896" i="60"/>
  <c r="F2895" i="60"/>
  <c r="F2894" i="60"/>
  <c r="F2893" i="60"/>
  <c r="F2892" i="60"/>
  <c r="F2891" i="60"/>
  <c r="F2890" i="60"/>
  <c r="F2889" i="60"/>
  <c r="F2888" i="60"/>
  <c r="F2887" i="60"/>
  <c r="F2886" i="60"/>
  <c r="F2885" i="60"/>
  <c r="F2884" i="60"/>
  <c r="F2883" i="60"/>
  <c r="F2882" i="60"/>
  <c r="F2881" i="60"/>
  <c r="F2880" i="60"/>
  <c r="F2879" i="60"/>
  <c r="F2878" i="60"/>
  <c r="F2877" i="60"/>
  <c r="F2876" i="60"/>
  <c r="F2875" i="60"/>
  <c r="F2874" i="60"/>
  <c r="F2873" i="60"/>
  <c r="F2872" i="60"/>
  <c r="F2871" i="60"/>
  <c r="F2870" i="60"/>
  <c r="F2869" i="60"/>
  <c r="F2868" i="60"/>
  <c r="F2867" i="60"/>
  <c r="F2866" i="60"/>
  <c r="F2865" i="60"/>
  <c r="F2864" i="60"/>
  <c r="F2863" i="60"/>
  <c r="F2862" i="60"/>
  <c r="F2861" i="60"/>
  <c r="F2860" i="60"/>
  <c r="F2859" i="60"/>
  <c r="F2858" i="60"/>
  <c r="F2857" i="60"/>
  <c r="F2856" i="60"/>
  <c r="F2855" i="60"/>
  <c r="F2854" i="60"/>
  <c r="F2853" i="60"/>
  <c r="F2852" i="60"/>
  <c r="F2851" i="60"/>
  <c r="F2850" i="60"/>
  <c r="F2849" i="60"/>
  <c r="F2848" i="60"/>
  <c r="F2847" i="60"/>
  <c r="F2846" i="60"/>
  <c r="F2845" i="60"/>
  <c r="F2844" i="60"/>
  <c r="F2843" i="60"/>
  <c r="F2842" i="60"/>
  <c r="F2841" i="60"/>
  <c r="F2840" i="60"/>
  <c r="F2839" i="60"/>
  <c r="F2838" i="60"/>
  <c r="F2837" i="60"/>
  <c r="F2836" i="60"/>
  <c r="F2835" i="60"/>
  <c r="F2834" i="60"/>
  <c r="F2833" i="60"/>
  <c r="F2832" i="60"/>
  <c r="F2831" i="60"/>
  <c r="F2830" i="60"/>
  <c r="F2829" i="60"/>
  <c r="F2828" i="60"/>
  <c r="F2827" i="60"/>
  <c r="F2826" i="60"/>
  <c r="F2825" i="60"/>
  <c r="F2824" i="60"/>
  <c r="F2823" i="60"/>
  <c r="F2822" i="60"/>
  <c r="F2821" i="60"/>
  <c r="F2820" i="60"/>
  <c r="F2819" i="60"/>
  <c r="F2818" i="60"/>
  <c r="F2817" i="60"/>
  <c r="F2816" i="60"/>
  <c r="F2815" i="60"/>
  <c r="F2814" i="60"/>
  <c r="F2813" i="60"/>
  <c r="F2812" i="60"/>
  <c r="F2811" i="60"/>
  <c r="F2810" i="60"/>
  <c r="F2809" i="60"/>
  <c r="F2808" i="60"/>
  <c r="F2807" i="60"/>
  <c r="F2806" i="60"/>
  <c r="F2805" i="60"/>
  <c r="F2804" i="60"/>
  <c r="F2803" i="60"/>
  <c r="F2802" i="60"/>
  <c r="F2801" i="60"/>
  <c r="F2800" i="60"/>
  <c r="F2799" i="60"/>
  <c r="F2798" i="60"/>
  <c r="F2797" i="60"/>
  <c r="F2796" i="60"/>
  <c r="F2795" i="60"/>
  <c r="F2794" i="60"/>
  <c r="F2793" i="60"/>
  <c r="F2792" i="60"/>
  <c r="F2791" i="60"/>
  <c r="F2790" i="60"/>
  <c r="F2789" i="60"/>
  <c r="F2788" i="60"/>
  <c r="F2787" i="60"/>
  <c r="F2786" i="60"/>
  <c r="F2785" i="60"/>
  <c r="F2784" i="60"/>
  <c r="F2783" i="60"/>
  <c r="F2782" i="60"/>
  <c r="F2781" i="60"/>
  <c r="F2780" i="60"/>
  <c r="F2779" i="60"/>
  <c r="F2778" i="60"/>
  <c r="F2777" i="60"/>
  <c r="F2776" i="60"/>
  <c r="F2775" i="60"/>
  <c r="F2774" i="60"/>
  <c r="F2773" i="60"/>
  <c r="F2772" i="60"/>
  <c r="F2771" i="60"/>
  <c r="F2770" i="60"/>
  <c r="F2769" i="60"/>
  <c r="F2768" i="60"/>
  <c r="F2767" i="60"/>
  <c r="F2766" i="60"/>
  <c r="F2765" i="60"/>
  <c r="F2764" i="60"/>
  <c r="F2763" i="60"/>
  <c r="F2762" i="60"/>
  <c r="F2761" i="60"/>
  <c r="F2760" i="60"/>
  <c r="F2759" i="60"/>
  <c r="F2758" i="60"/>
  <c r="F2757" i="60"/>
  <c r="F2756" i="60"/>
  <c r="F2755" i="60"/>
  <c r="F2754" i="60"/>
  <c r="F2753" i="60"/>
  <c r="F2752" i="60"/>
  <c r="F2751" i="60"/>
  <c r="F2750" i="60"/>
  <c r="F2749" i="60"/>
  <c r="F2748" i="60"/>
  <c r="F2747" i="60"/>
  <c r="F2746" i="60"/>
  <c r="F2745" i="60"/>
  <c r="F2744" i="60"/>
  <c r="F2743" i="60"/>
  <c r="F2742" i="60"/>
  <c r="F2741" i="60"/>
  <c r="F2740" i="60"/>
  <c r="F2739" i="60"/>
  <c r="F2738" i="60"/>
  <c r="F2737" i="60"/>
  <c r="F2736" i="60"/>
  <c r="F2735" i="60"/>
  <c r="F2734" i="60"/>
  <c r="F2733" i="60"/>
  <c r="F2732" i="60"/>
  <c r="F2731" i="60"/>
  <c r="F2730" i="60"/>
  <c r="F2729" i="60"/>
  <c r="F2728" i="60"/>
  <c r="F2727" i="60"/>
  <c r="F2726" i="60"/>
  <c r="F2725" i="60"/>
  <c r="F2724" i="60"/>
  <c r="F2723" i="60"/>
  <c r="F2722" i="60"/>
  <c r="F2721" i="60"/>
  <c r="F2720" i="60"/>
  <c r="F2719" i="60"/>
  <c r="F2718" i="60"/>
  <c r="F2717" i="60"/>
  <c r="F2716" i="60"/>
  <c r="F2715" i="60"/>
  <c r="F2714" i="60"/>
  <c r="F2713" i="60"/>
  <c r="F2712" i="60"/>
  <c r="F2711" i="60"/>
  <c r="F2710" i="60"/>
  <c r="F2709" i="60"/>
  <c r="F2708" i="60"/>
  <c r="B2708" i="60"/>
  <c r="F2707" i="60"/>
  <c r="F2706" i="60"/>
  <c r="B2706" i="60"/>
  <c r="F2705" i="60"/>
  <c r="F2704" i="60"/>
  <c r="B2704" i="60"/>
  <c r="F2703" i="60"/>
  <c r="F2702" i="60"/>
  <c r="B2702" i="60"/>
  <c r="F2701" i="60"/>
  <c r="F2700" i="60"/>
  <c r="B2700" i="60"/>
  <c r="F2699" i="60"/>
  <c r="F2698" i="60"/>
  <c r="B2698" i="60"/>
  <c r="F2697" i="60"/>
  <c r="F2696" i="60"/>
  <c r="B2696" i="60"/>
  <c r="F2695" i="60"/>
  <c r="F2694" i="60"/>
  <c r="B2694" i="60"/>
  <c r="F2693" i="60"/>
  <c r="F2692" i="60"/>
  <c r="B2692" i="60"/>
  <c r="F2691" i="60"/>
  <c r="F2690" i="60"/>
  <c r="B2690" i="60"/>
  <c r="F2689" i="60"/>
  <c r="F2688" i="60"/>
  <c r="B2688" i="60"/>
  <c r="F2687" i="60"/>
  <c r="F2686" i="60"/>
  <c r="B2686" i="60"/>
  <c r="F2685" i="60"/>
  <c r="F2684" i="60"/>
  <c r="B2684" i="60"/>
  <c r="F2683" i="60"/>
  <c r="F2682" i="60"/>
  <c r="B2682" i="60"/>
  <c r="F2681" i="60"/>
  <c r="F2680" i="60"/>
  <c r="B2680" i="60"/>
  <c r="F2679" i="60"/>
  <c r="F2678" i="60"/>
  <c r="B2678" i="60"/>
  <c r="F2677" i="60"/>
  <c r="F2676" i="60"/>
  <c r="B2676" i="60"/>
  <c r="F2675" i="60"/>
  <c r="F2674" i="60"/>
  <c r="B2674" i="60"/>
  <c r="F2673" i="60"/>
  <c r="F2672" i="60"/>
  <c r="B2672" i="60"/>
  <c r="F2671" i="60"/>
  <c r="F2670" i="60"/>
  <c r="B2670" i="60"/>
  <c r="F2669" i="60"/>
  <c r="F2668" i="60"/>
  <c r="B2668" i="60"/>
  <c r="F2667" i="60"/>
  <c r="F2666" i="60"/>
  <c r="B2666" i="60"/>
  <c r="F2665" i="60"/>
  <c r="F2664" i="60"/>
  <c r="B2664" i="60"/>
  <c r="F2663" i="60"/>
  <c r="F2662" i="60"/>
  <c r="B2662" i="60"/>
  <c r="F2661" i="60"/>
  <c r="F2660" i="60"/>
  <c r="B2660" i="60"/>
  <c r="F2659" i="60"/>
  <c r="F2658" i="60"/>
  <c r="B2658" i="60"/>
  <c r="F2657" i="60"/>
  <c r="F2656" i="60"/>
  <c r="B2656" i="60"/>
  <c r="F2655" i="60"/>
  <c r="F2654" i="60"/>
  <c r="B2654" i="60"/>
  <c r="F2653" i="60"/>
  <c r="F2652" i="60"/>
  <c r="B2652" i="60"/>
  <c r="F2651" i="60"/>
  <c r="F2650" i="60"/>
  <c r="B2650" i="60"/>
  <c r="F2649" i="60"/>
  <c r="F2648" i="60"/>
  <c r="B2648" i="60"/>
  <c r="F2647" i="60"/>
  <c r="F2646" i="60"/>
  <c r="B2646" i="60"/>
  <c r="F2645" i="60"/>
  <c r="F2644" i="60"/>
  <c r="B2644" i="60"/>
  <c r="F2643" i="60"/>
  <c r="F2642" i="60"/>
  <c r="B2642" i="60"/>
  <c r="F2641" i="60"/>
  <c r="F2640" i="60"/>
  <c r="B2640" i="60"/>
  <c r="F2639" i="60"/>
  <c r="F2638" i="60"/>
  <c r="B2638" i="60"/>
  <c r="F2637" i="60"/>
  <c r="F2636" i="60"/>
  <c r="B2636" i="60"/>
  <c r="F2635" i="60"/>
  <c r="F2634" i="60"/>
  <c r="B2634" i="60"/>
  <c r="F2633" i="60"/>
  <c r="F2632" i="60"/>
  <c r="B2632" i="60"/>
  <c r="F2631" i="60"/>
  <c r="F2630" i="60"/>
  <c r="B2630" i="60"/>
  <c r="F2629" i="60"/>
  <c r="F2628" i="60"/>
  <c r="B2628" i="60"/>
  <c r="F2627" i="60"/>
  <c r="F2626" i="60"/>
  <c r="B2626" i="60"/>
  <c r="F2625" i="60"/>
  <c r="F2624" i="60"/>
  <c r="B2624" i="60"/>
  <c r="F2623" i="60"/>
  <c r="F2622" i="60"/>
  <c r="B2622" i="60"/>
  <c r="F2621" i="60"/>
  <c r="F2620" i="60"/>
  <c r="B2620" i="60"/>
  <c r="F2619" i="60"/>
  <c r="F2618" i="60"/>
  <c r="B2618" i="60"/>
  <c r="F2617" i="60"/>
  <c r="F2616" i="60"/>
  <c r="B2616" i="60"/>
  <c r="F2615" i="60"/>
  <c r="F2614" i="60"/>
  <c r="B2614" i="60"/>
  <c r="F2613" i="60"/>
  <c r="F2612" i="60"/>
  <c r="B2612" i="60"/>
  <c r="F2611" i="60"/>
  <c r="F2610" i="60"/>
  <c r="B2610" i="60"/>
  <c r="F2609" i="60"/>
  <c r="F2608" i="60"/>
  <c r="B2608" i="60"/>
  <c r="F2607" i="60"/>
  <c r="F2606" i="60"/>
  <c r="B2606" i="60"/>
  <c r="F2605" i="60"/>
  <c r="F2604" i="60"/>
  <c r="B2604" i="60"/>
  <c r="F2603" i="60"/>
  <c r="F2602" i="60"/>
  <c r="B2602" i="60"/>
  <c r="F2601" i="60"/>
  <c r="F2600" i="60"/>
  <c r="B2600" i="60"/>
  <c r="F2599" i="60"/>
  <c r="F2598" i="60"/>
  <c r="B2598" i="60"/>
  <c r="F2597" i="60"/>
  <c r="F2596" i="60"/>
  <c r="B2596" i="60"/>
  <c r="F2595" i="60"/>
  <c r="F2594" i="60"/>
  <c r="B2594" i="60"/>
  <c r="F2593" i="60"/>
  <c r="F2592" i="60"/>
  <c r="B2592" i="60"/>
  <c r="F2591" i="60"/>
  <c r="F2590" i="60"/>
  <c r="B2590" i="60"/>
  <c r="F2589" i="60"/>
  <c r="F2588" i="60"/>
  <c r="B2588" i="60"/>
  <c r="F2587" i="60"/>
  <c r="F2586" i="60"/>
  <c r="B2586" i="60"/>
  <c r="F2585" i="60"/>
  <c r="F2584" i="60"/>
  <c r="B2584" i="60"/>
  <c r="F2583" i="60"/>
  <c r="F2582" i="60"/>
  <c r="B2582" i="60"/>
  <c r="F2581" i="60"/>
  <c r="F2580" i="60"/>
  <c r="B2580" i="60"/>
  <c r="F2579" i="60"/>
  <c r="F2578" i="60"/>
  <c r="B2578" i="60"/>
  <c r="F2577" i="60"/>
  <c r="F2576" i="60"/>
  <c r="B2576" i="60"/>
  <c r="F2575" i="60"/>
  <c r="F2574" i="60"/>
  <c r="B2574" i="60"/>
  <c r="F2573" i="60"/>
  <c r="F2572" i="60"/>
  <c r="B2572" i="60"/>
  <c r="F2571" i="60"/>
  <c r="F2570" i="60"/>
  <c r="B2570" i="60"/>
  <c r="F2569" i="60"/>
  <c r="F2568" i="60"/>
  <c r="B2568" i="60"/>
  <c r="F2567" i="60"/>
  <c r="F2566" i="60"/>
  <c r="B2566" i="60"/>
  <c r="F2565" i="60"/>
  <c r="F2564" i="60"/>
  <c r="B2564" i="60"/>
  <c r="F2563" i="60"/>
  <c r="F2562" i="60"/>
  <c r="B2562" i="60"/>
  <c r="F2561" i="60"/>
  <c r="F2560" i="60"/>
  <c r="B2560" i="60"/>
  <c r="F2559" i="60"/>
  <c r="F2558" i="60"/>
  <c r="B2558" i="60"/>
  <c r="F2557" i="60"/>
  <c r="F2556" i="60"/>
  <c r="B2556" i="60"/>
  <c r="F2555" i="60"/>
  <c r="F2554" i="60"/>
  <c r="B2554" i="60"/>
  <c r="F2553" i="60"/>
  <c r="F2552" i="60"/>
  <c r="B2552" i="60"/>
  <c r="F2551" i="60"/>
  <c r="F2550" i="60"/>
  <c r="B2550" i="60"/>
  <c r="F2549" i="60"/>
  <c r="F2548" i="60"/>
  <c r="B2548" i="60"/>
  <c r="F2547" i="60"/>
  <c r="F2546" i="60"/>
  <c r="B2546" i="60"/>
  <c r="F2545" i="60"/>
  <c r="F2544" i="60"/>
  <c r="B2544" i="60"/>
  <c r="F2543" i="60"/>
  <c r="F2542" i="60"/>
  <c r="B2542" i="60"/>
  <c r="F2541" i="60"/>
  <c r="F2540" i="60"/>
  <c r="B2540" i="60"/>
  <c r="F2539" i="60"/>
  <c r="F2538" i="60"/>
  <c r="B2538" i="60"/>
  <c r="F2537" i="60"/>
  <c r="F2536" i="60"/>
  <c r="B2536" i="60"/>
  <c r="F2535" i="60"/>
  <c r="F2534" i="60"/>
  <c r="B2534" i="60"/>
  <c r="F2533" i="60"/>
  <c r="F2532" i="60"/>
  <c r="B2532" i="60"/>
  <c r="F2531" i="60"/>
  <c r="F2530" i="60"/>
  <c r="B2530" i="60"/>
  <c r="F2529" i="60"/>
  <c r="F2528" i="60"/>
  <c r="B2528" i="60"/>
  <c r="F2527" i="60"/>
  <c r="F2526" i="60"/>
  <c r="B2526" i="60"/>
  <c r="F2525" i="60"/>
  <c r="F2524" i="60"/>
  <c r="B2524" i="60"/>
  <c r="F2523" i="60"/>
  <c r="F2522" i="60"/>
  <c r="B2522" i="60"/>
  <c r="F2521" i="60"/>
  <c r="F2520" i="60"/>
  <c r="B2520" i="60"/>
  <c r="F2519" i="60"/>
  <c r="F2518" i="60"/>
  <c r="B2518" i="60"/>
  <c r="F2517" i="60"/>
  <c r="F2516" i="60"/>
  <c r="B2516" i="60"/>
  <c r="F2515" i="60"/>
  <c r="F2514" i="60"/>
  <c r="B2514" i="60"/>
  <c r="F2513" i="60"/>
  <c r="F2512" i="60"/>
  <c r="B2512" i="60"/>
  <c r="F2511" i="60"/>
  <c r="F2510" i="60"/>
  <c r="B2510" i="60"/>
  <c r="F2509" i="60"/>
  <c r="F2508" i="60"/>
  <c r="B2508" i="60"/>
  <c r="F2507" i="60"/>
  <c r="F2506" i="60"/>
  <c r="B2506" i="60"/>
  <c r="F2505" i="60"/>
  <c r="F2504" i="60"/>
  <c r="B2504" i="60"/>
  <c r="F2503" i="60"/>
  <c r="F2502" i="60"/>
  <c r="B2502" i="60"/>
  <c r="F2501" i="60"/>
  <c r="F2500" i="60"/>
  <c r="B2500" i="60"/>
  <c r="F2499" i="60"/>
  <c r="F2498" i="60"/>
  <c r="B2498" i="60"/>
  <c r="F2497" i="60"/>
  <c r="F2496" i="60"/>
  <c r="B2496" i="60"/>
  <c r="F2495" i="60"/>
  <c r="F2494" i="60"/>
  <c r="B2494" i="60"/>
  <c r="F2493" i="60"/>
  <c r="F2492" i="60"/>
  <c r="B2492" i="60"/>
  <c r="F2491" i="60"/>
  <c r="F2490" i="60"/>
  <c r="B2490" i="60"/>
  <c r="F2489" i="60"/>
  <c r="F2488" i="60"/>
  <c r="B2488" i="60"/>
  <c r="F2487" i="60"/>
  <c r="F2486" i="60"/>
  <c r="B2486" i="60"/>
  <c r="F2485" i="60"/>
  <c r="F2484" i="60"/>
  <c r="B2484" i="60"/>
  <c r="F2483" i="60"/>
  <c r="F2482" i="60"/>
  <c r="B2482" i="60"/>
  <c r="F2481" i="60"/>
  <c r="F2480" i="60"/>
  <c r="B2480" i="60"/>
  <c r="F2479" i="60"/>
  <c r="F2478" i="60"/>
  <c r="B2478" i="60"/>
  <c r="F2477" i="60"/>
  <c r="F2476" i="60"/>
  <c r="B2476" i="60"/>
  <c r="F2475" i="60"/>
  <c r="F2474" i="60"/>
  <c r="B2474" i="60"/>
  <c r="F2473" i="60"/>
  <c r="F2472" i="60"/>
  <c r="B2472" i="60"/>
  <c r="F2471" i="60"/>
  <c r="F2470" i="60"/>
  <c r="F2469" i="60"/>
  <c r="F2468" i="60"/>
  <c r="B2468" i="60"/>
  <c r="F2467" i="60"/>
  <c r="F2466" i="60"/>
  <c r="B2466" i="60"/>
  <c r="F2465" i="60"/>
  <c r="F2464" i="60"/>
  <c r="B2464" i="60"/>
  <c r="F2463" i="60"/>
  <c r="F2462" i="60"/>
  <c r="B2462" i="60"/>
  <c r="F2461" i="60"/>
  <c r="F2460" i="60"/>
  <c r="B2460" i="60"/>
  <c r="F2459" i="60"/>
  <c r="F2458" i="60"/>
  <c r="B2458" i="60"/>
  <c r="F2457" i="60"/>
  <c r="F2456" i="60"/>
  <c r="B2456" i="60"/>
  <c r="F2455" i="60"/>
  <c r="F2454" i="60"/>
  <c r="B2454" i="60"/>
  <c r="F2453" i="60"/>
  <c r="F2452" i="60"/>
  <c r="B2452" i="60"/>
  <c r="F2451" i="60"/>
  <c r="F2450" i="60"/>
  <c r="B2450" i="60"/>
  <c r="F2449" i="60"/>
  <c r="F2448" i="60"/>
  <c r="B2448" i="60"/>
  <c r="F2447" i="60"/>
  <c r="F2446" i="60"/>
  <c r="B2446" i="60"/>
  <c r="F2445" i="60"/>
  <c r="F2444" i="60"/>
  <c r="B2444" i="60"/>
  <c r="F2443" i="60"/>
  <c r="F2442" i="60"/>
  <c r="B2442" i="60"/>
  <c r="F2441" i="60"/>
  <c r="F2440" i="60"/>
  <c r="B2440" i="60"/>
  <c r="F2439" i="60"/>
  <c r="F2438" i="60"/>
  <c r="B2438" i="60"/>
  <c r="F2437" i="60"/>
  <c r="F2436" i="60"/>
  <c r="B2436" i="60"/>
  <c r="F2435" i="60"/>
  <c r="F2434" i="60"/>
  <c r="B2434" i="60"/>
  <c r="F2433" i="60"/>
  <c r="F2432" i="60"/>
  <c r="B2432" i="60"/>
  <c r="F2431" i="60"/>
  <c r="F2430" i="60"/>
  <c r="B2430" i="60"/>
  <c r="F2429" i="60"/>
  <c r="F2428" i="60"/>
  <c r="B2428" i="60"/>
  <c r="F2427" i="60"/>
  <c r="F2426" i="60"/>
  <c r="B2426" i="60"/>
  <c r="F2425" i="60"/>
  <c r="F2424" i="60"/>
  <c r="B2424" i="60"/>
  <c r="F2423" i="60"/>
  <c r="F2422" i="60"/>
  <c r="B2422" i="60"/>
  <c r="F2421" i="60"/>
  <c r="F2420" i="60"/>
  <c r="B2420" i="60"/>
  <c r="F2419" i="60"/>
  <c r="F2418" i="60"/>
  <c r="B2418" i="60"/>
  <c r="F2417" i="60"/>
  <c r="F2416" i="60"/>
  <c r="B2416" i="60"/>
  <c r="F2415" i="60"/>
  <c r="F2414" i="60"/>
  <c r="B2414" i="60"/>
  <c r="F2413" i="60"/>
  <c r="F2412" i="60"/>
  <c r="B2412" i="60"/>
  <c r="F2411" i="60"/>
  <c r="F2410" i="60"/>
  <c r="B2410" i="60"/>
  <c r="F2409" i="60"/>
  <c r="F2408" i="60"/>
  <c r="B2408" i="60"/>
  <c r="F2407" i="60"/>
  <c r="F2406" i="60"/>
  <c r="B2406" i="60"/>
  <c r="F2405" i="60"/>
  <c r="F2404" i="60"/>
  <c r="B2404" i="60"/>
  <c r="F2403" i="60"/>
  <c r="F2402" i="60"/>
  <c r="B2402" i="60"/>
  <c r="F2401" i="60"/>
  <c r="F2400" i="60"/>
  <c r="B2400" i="60"/>
  <c r="F2399" i="60"/>
  <c r="F2398" i="60"/>
  <c r="B2398" i="60"/>
  <c r="F2397" i="60"/>
  <c r="F2396" i="60"/>
  <c r="B2396" i="60"/>
  <c r="F2395" i="60"/>
  <c r="F2394" i="60"/>
  <c r="B2394" i="60"/>
  <c r="F2393" i="60"/>
  <c r="F2392" i="60"/>
  <c r="B2392" i="60"/>
  <c r="F2391" i="60"/>
  <c r="F2390" i="60"/>
  <c r="B2390" i="60"/>
  <c r="F2389" i="60"/>
  <c r="F2388" i="60"/>
  <c r="B2388" i="60"/>
  <c r="F2387" i="60"/>
  <c r="F2386" i="60"/>
  <c r="B2386" i="60"/>
  <c r="F2385" i="60"/>
  <c r="F2384" i="60"/>
  <c r="B2384" i="60"/>
  <c r="F2383" i="60"/>
  <c r="F2382" i="60"/>
  <c r="B2382" i="60"/>
  <c r="F2381" i="60"/>
  <c r="F2380" i="60"/>
  <c r="B2380" i="60"/>
  <c r="F2379" i="60"/>
  <c r="F2378" i="60"/>
  <c r="B2378" i="60"/>
  <c r="F2377" i="60"/>
  <c r="F2376" i="60"/>
  <c r="B2376" i="60"/>
  <c r="F2375" i="60"/>
  <c r="F2374" i="60"/>
  <c r="B2374" i="60"/>
  <c r="F2373" i="60"/>
  <c r="F2372" i="60"/>
  <c r="B2372" i="60"/>
  <c r="F2371" i="60"/>
  <c r="F2370" i="60"/>
  <c r="B2370" i="60"/>
  <c r="F2369" i="60"/>
  <c r="F2368" i="60"/>
  <c r="B2368" i="60"/>
  <c r="F2367" i="60"/>
  <c r="F2366" i="60"/>
  <c r="B2366" i="60"/>
  <c r="F2365" i="60"/>
  <c r="F2364" i="60"/>
  <c r="B2364" i="60"/>
  <c r="F2363" i="60"/>
  <c r="F2362" i="60"/>
  <c r="B2362" i="60"/>
  <c r="F2361" i="60"/>
  <c r="F2360" i="60"/>
  <c r="B2360" i="60"/>
  <c r="F2359" i="60"/>
  <c r="F2358" i="60"/>
  <c r="B2358" i="60"/>
  <c r="F2357" i="60"/>
  <c r="F2356" i="60"/>
  <c r="B2356" i="60"/>
  <c r="F2355" i="60"/>
  <c r="F2354" i="60"/>
  <c r="B2354" i="60"/>
  <c r="F2353" i="60"/>
  <c r="F2352" i="60"/>
  <c r="B2352" i="60"/>
  <c r="F2351" i="60"/>
  <c r="F2350" i="60"/>
  <c r="B2350" i="60"/>
  <c r="F2349" i="60"/>
  <c r="F2348" i="60"/>
  <c r="B2348" i="60"/>
  <c r="F2347" i="60"/>
  <c r="F2346" i="60"/>
  <c r="B2346" i="60"/>
  <c r="F2345" i="60"/>
  <c r="F2344" i="60"/>
  <c r="B2344" i="60"/>
  <c r="F2343" i="60"/>
  <c r="F2342" i="60"/>
  <c r="B2342" i="60"/>
  <c r="F2341" i="60"/>
  <c r="F2340" i="60"/>
  <c r="B2340" i="60"/>
  <c r="F2339" i="60"/>
  <c r="F2338" i="60"/>
  <c r="B2338" i="60"/>
  <c r="F2337" i="60"/>
  <c r="F2336" i="60"/>
  <c r="B2336" i="60"/>
  <c r="F2335" i="60"/>
  <c r="F2334" i="60"/>
  <c r="B2334" i="60"/>
  <c r="F2333" i="60"/>
  <c r="F2332" i="60"/>
  <c r="B2332" i="60"/>
  <c r="F2331" i="60"/>
  <c r="F2330" i="60"/>
  <c r="B2330" i="60"/>
  <c r="F2329" i="60"/>
  <c r="F2328" i="60"/>
  <c r="B2328" i="60"/>
  <c r="F2327" i="60"/>
  <c r="F2326" i="60"/>
  <c r="B2326" i="60"/>
  <c r="F2325" i="60"/>
  <c r="F2324" i="60"/>
  <c r="B2324" i="60"/>
  <c r="F2323" i="60"/>
  <c r="F2322" i="60"/>
  <c r="B2322" i="60"/>
  <c r="F2321" i="60"/>
  <c r="F2320" i="60"/>
  <c r="B2320" i="60"/>
  <c r="F2319" i="60"/>
  <c r="F2318" i="60"/>
  <c r="B2318" i="60"/>
  <c r="F2317" i="60"/>
  <c r="F2316" i="60"/>
  <c r="B2316" i="60"/>
  <c r="F2315" i="60"/>
  <c r="F2314" i="60"/>
  <c r="B2314" i="60"/>
  <c r="F2313" i="60"/>
  <c r="F2312" i="60"/>
  <c r="B2312" i="60"/>
  <c r="F2311" i="60"/>
  <c r="F2310" i="60"/>
  <c r="B2310" i="60"/>
  <c r="F2309" i="60"/>
  <c r="F2308" i="60"/>
  <c r="B2308" i="60"/>
  <c r="F2307" i="60"/>
  <c r="F2306" i="60"/>
  <c r="B2306" i="60"/>
  <c r="F2305" i="60"/>
  <c r="F2304" i="60"/>
  <c r="B2304" i="60"/>
  <c r="F2303" i="60"/>
  <c r="F2302" i="60"/>
  <c r="B2302" i="60"/>
  <c r="F2301" i="60"/>
  <c r="F2300" i="60"/>
  <c r="B2300" i="60"/>
  <c r="F2299" i="60"/>
  <c r="F2298" i="60"/>
  <c r="B2298" i="60"/>
  <c r="F2297" i="60"/>
  <c r="F2296" i="60"/>
  <c r="B2296" i="60"/>
  <c r="F2295" i="60"/>
  <c r="F2294" i="60"/>
  <c r="B2294" i="60"/>
  <c r="F2293" i="60"/>
  <c r="F2292" i="60"/>
  <c r="B2292" i="60"/>
  <c r="F2291" i="60"/>
  <c r="F2290" i="60"/>
  <c r="B2290" i="60"/>
  <c r="F2289" i="60"/>
  <c r="F2288" i="60"/>
  <c r="B2288" i="60"/>
  <c r="F2287" i="60"/>
  <c r="F2286" i="60"/>
  <c r="B2286" i="60"/>
  <c r="F2285" i="60"/>
  <c r="F2284" i="60"/>
  <c r="B2284" i="60"/>
  <c r="F2283" i="60"/>
  <c r="F2282" i="60"/>
  <c r="B2282" i="60"/>
  <c r="F2281" i="60"/>
  <c r="F2280" i="60"/>
  <c r="B2280" i="60"/>
  <c r="F2279" i="60"/>
  <c r="F2278" i="60"/>
  <c r="B2278" i="60"/>
  <c r="F2277" i="60"/>
  <c r="F2276" i="60"/>
  <c r="B2276" i="60"/>
  <c r="F2275" i="60"/>
  <c r="F2274" i="60"/>
  <c r="B2274" i="60"/>
  <c r="F2273" i="60"/>
  <c r="F2272" i="60"/>
  <c r="B2272" i="60"/>
  <c r="F2271" i="60"/>
  <c r="F2270" i="60"/>
  <c r="B2270" i="60"/>
  <c r="F2269" i="60"/>
  <c r="F2268" i="60"/>
  <c r="B2268" i="60"/>
  <c r="F2267" i="60"/>
  <c r="F2266" i="60"/>
  <c r="B2266" i="60"/>
  <c r="F2265" i="60"/>
  <c r="F2264" i="60"/>
  <c r="B2264" i="60"/>
  <c r="F2263" i="60"/>
  <c r="F2262" i="60"/>
  <c r="B2262" i="60"/>
  <c r="F2261" i="60"/>
  <c r="F2260" i="60"/>
  <c r="B2260" i="60"/>
  <c r="F2259" i="60"/>
  <c r="F2258" i="60"/>
  <c r="B2258" i="60"/>
  <c r="F2257" i="60"/>
  <c r="F2256" i="60"/>
  <c r="B2256" i="60"/>
  <c r="F2255" i="60"/>
  <c r="F2254" i="60"/>
  <c r="B2254" i="60"/>
  <c r="F2253" i="60"/>
  <c r="F2252" i="60"/>
  <c r="B2252" i="60"/>
  <c r="F2251" i="60"/>
  <c r="F2250" i="60"/>
  <c r="B2250" i="60"/>
  <c r="F2249" i="60"/>
  <c r="F2248" i="60"/>
  <c r="B2248" i="60"/>
  <c r="F2247" i="60"/>
  <c r="F2246" i="60"/>
  <c r="B2246" i="60"/>
  <c r="F2245" i="60"/>
  <c r="F2244" i="60"/>
  <c r="B2244" i="60"/>
  <c r="F2243" i="60"/>
  <c r="F2242" i="60"/>
  <c r="B2242" i="60"/>
  <c r="F2241" i="60"/>
  <c r="F2240" i="60"/>
  <c r="B2240" i="60"/>
  <c r="F2239" i="60"/>
  <c r="F2238" i="60"/>
  <c r="B2238" i="60"/>
  <c r="F2237" i="60"/>
  <c r="F2236" i="60"/>
  <c r="B2236" i="60"/>
  <c r="F2235" i="60"/>
  <c r="F2234" i="60"/>
  <c r="B2234" i="60"/>
  <c r="F2233" i="60"/>
  <c r="F2232" i="60"/>
  <c r="B2232" i="60"/>
  <c r="F2231" i="60"/>
  <c r="F2230" i="60"/>
  <c r="B2230" i="60"/>
  <c r="F2229" i="60"/>
  <c r="F2228" i="60"/>
  <c r="B2228" i="60"/>
  <c r="F2227" i="60"/>
  <c r="F2226" i="60"/>
  <c r="B2226" i="60"/>
  <c r="F2225" i="60"/>
  <c r="F2224" i="60"/>
  <c r="B2224" i="60"/>
  <c r="F2223" i="60"/>
  <c r="F2222" i="60"/>
  <c r="B2222" i="60"/>
  <c r="F2221" i="60"/>
  <c r="F2220" i="60"/>
  <c r="B2220" i="60"/>
  <c r="F2219" i="60"/>
  <c r="F2218" i="60"/>
  <c r="B2218" i="60"/>
  <c r="F2217" i="60"/>
  <c r="F2216" i="60"/>
  <c r="B2216" i="60"/>
  <c r="F2215" i="60"/>
  <c r="F2214" i="60"/>
  <c r="B2214" i="60"/>
  <c r="F2213" i="60"/>
  <c r="F2212" i="60"/>
  <c r="B2212" i="60"/>
  <c r="F2211" i="60"/>
  <c r="F2210" i="60"/>
  <c r="B2210" i="60"/>
  <c r="F2209" i="60"/>
  <c r="F2208" i="60"/>
  <c r="B2208" i="60"/>
  <c r="F2207" i="60"/>
  <c r="F2206" i="60"/>
  <c r="B2206" i="60"/>
  <c r="F2205" i="60"/>
  <c r="F2204" i="60"/>
  <c r="B2204" i="60"/>
  <c r="F2203" i="60"/>
  <c r="F2202" i="60"/>
  <c r="B2202" i="60"/>
  <c r="F2201" i="60"/>
  <c r="F2200" i="60"/>
  <c r="B2200" i="60"/>
  <c r="F2199" i="60"/>
  <c r="F2198" i="60"/>
  <c r="B2198" i="60"/>
  <c r="F2197" i="60"/>
  <c r="F2196" i="60"/>
  <c r="B2196" i="60"/>
  <c r="F2195" i="60"/>
  <c r="F2194" i="60"/>
  <c r="B2194" i="60"/>
  <c r="F2193" i="60"/>
  <c r="F2192" i="60"/>
  <c r="B2192" i="60"/>
  <c r="F2191" i="60"/>
  <c r="F2190" i="60"/>
  <c r="B2190" i="60"/>
  <c r="F2189" i="60"/>
  <c r="F2188" i="60"/>
  <c r="B2188" i="60"/>
  <c r="F2187" i="60"/>
  <c r="F2186" i="60"/>
  <c r="B2186" i="60"/>
  <c r="F2185" i="60"/>
  <c r="F2184" i="60"/>
  <c r="B2184" i="60"/>
  <c r="F2183" i="60"/>
  <c r="F2182" i="60"/>
  <c r="B2182" i="60"/>
  <c r="F2181" i="60"/>
  <c r="F2180" i="60"/>
  <c r="B2180" i="60"/>
  <c r="F2179" i="60"/>
  <c r="F2178" i="60"/>
  <c r="B2178" i="60"/>
  <c r="F2177" i="60"/>
  <c r="F2176" i="60"/>
  <c r="B2176" i="60"/>
  <c r="F2175" i="60"/>
  <c r="F2174" i="60"/>
  <c r="B2174" i="60"/>
  <c r="F2173" i="60"/>
  <c r="F2172" i="60"/>
  <c r="B2172" i="60"/>
  <c r="F2171" i="60"/>
  <c r="F2170" i="60"/>
  <c r="B2170" i="60"/>
  <c r="F2169" i="60"/>
  <c r="F2168" i="60"/>
  <c r="B2168" i="60"/>
  <c r="F2167" i="60"/>
  <c r="F2166" i="60"/>
  <c r="B2166" i="60"/>
  <c r="F2165" i="60"/>
  <c r="F2164" i="60"/>
  <c r="B2164" i="60"/>
  <c r="F2163" i="60"/>
  <c r="F2162" i="60"/>
  <c r="B2162" i="60"/>
  <c r="F2161" i="60"/>
  <c r="F2160" i="60"/>
  <c r="B2160" i="60"/>
  <c r="F2159" i="60"/>
  <c r="F2158" i="60"/>
  <c r="B2158" i="60"/>
  <c r="F2157" i="60"/>
  <c r="F2156" i="60"/>
  <c r="B2156" i="60"/>
  <c r="F2155" i="60"/>
  <c r="F2154" i="60"/>
  <c r="B2154" i="60"/>
  <c r="F2153" i="60"/>
  <c r="F2152" i="60"/>
  <c r="B2152" i="60"/>
  <c r="F2151" i="60"/>
  <c r="F2150" i="60"/>
  <c r="B2150" i="60"/>
  <c r="F2149" i="60"/>
  <c r="F2148" i="60"/>
  <c r="B2148" i="60"/>
  <c r="F2147" i="60"/>
  <c r="F2146" i="60"/>
  <c r="B2146" i="60"/>
  <c r="F2145" i="60"/>
  <c r="F2144" i="60"/>
  <c r="B2144" i="60"/>
  <c r="F2143" i="60"/>
  <c r="F2142" i="60"/>
  <c r="B2142" i="60"/>
  <c r="F2141" i="60"/>
  <c r="F2140" i="60"/>
  <c r="B2140" i="60"/>
  <c r="F2139" i="60"/>
  <c r="F2138" i="60"/>
  <c r="B2138" i="60"/>
  <c r="F2137" i="60"/>
  <c r="F2136" i="60"/>
  <c r="B2136" i="60"/>
  <c r="F2135" i="60"/>
  <c r="F2134" i="60"/>
  <c r="B2134" i="60"/>
  <c r="F2133" i="60"/>
  <c r="F2132" i="60"/>
  <c r="B2132" i="60"/>
  <c r="F2131" i="60"/>
  <c r="F2130" i="60"/>
  <c r="B2130" i="60"/>
  <c r="F2129" i="60"/>
  <c r="F2128" i="60"/>
  <c r="B2128" i="60"/>
  <c r="F2127" i="60"/>
  <c r="F2126" i="60"/>
  <c r="B2126" i="60"/>
  <c r="F2125" i="60"/>
  <c r="F2124" i="60"/>
  <c r="B2124" i="60"/>
  <c r="F2123" i="60"/>
  <c r="F2122" i="60"/>
  <c r="B2122" i="60"/>
  <c r="F2121" i="60"/>
  <c r="F2120" i="60"/>
  <c r="B2120" i="60"/>
  <c r="F2119" i="60"/>
  <c r="F2118" i="60"/>
  <c r="B2118" i="60"/>
  <c r="F2117" i="60"/>
  <c r="F2116" i="60"/>
  <c r="B2116" i="60"/>
  <c r="F2115" i="60"/>
  <c r="F2114" i="60"/>
  <c r="B2114" i="60"/>
  <c r="F2113" i="60"/>
  <c r="F2112" i="60"/>
  <c r="B2112" i="60"/>
  <c r="F2111" i="60"/>
  <c r="F2110" i="60"/>
  <c r="B2110" i="60"/>
  <c r="F2109" i="60"/>
  <c r="F2108" i="60"/>
  <c r="B2108" i="60"/>
  <c r="F2107" i="60"/>
  <c r="F2106" i="60"/>
  <c r="B2106" i="60"/>
  <c r="F2105" i="60"/>
  <c r="F2104" i="60"/>
  <c r="B2104" i="60"/>
  <c r="F2103" i="60"/>
  <c r="F2102" i="60"/>
  <c r="B2102" i="60"/>
  <c r="F2101" i="60"/>
  <c r="F2100" i="60"/>
  <c r="B2100" i="60"/>
  <c r="F2099" i="60"/>
  <c r="F2098" i="60"/>
  <c r="B2098" i="60"/>
  <c r="F2097" i="60"/>
  <c r="F2096" i="60"/>
  <c r="B2096" i="60"/>
  <c r="F2095" i="60"/>
  <c r="F2094" i="60"/>
  <c r="B2094" i="60"/>
  <c r="F2093" i="60"/>
  <c r="F2092" i="60"/>
  <c r="B2092" i="60"/>
  <c r="F2091" i="60"/>
  <c r="F2090" i="60"/>
  <c r="B2090" i="60"/>
  <c r="F2089" i="60"/>
  <c r="F2088" i="60"/>
  <c r="B2088" i="60"/>
  <c r="F2087" i="60"/>
  <c r="F2086" i="60"/>
  <c r="B2086" i="60"/>
  <c r="F2085" i="60"/>
  <c r="F2084" i="60"/>
  <c r="B2084" i="60"/>
  <c r="F2083" i="60"/>
  <c r="F2082" i="60"/>
  <c r="B2082" i="60"/>
  <c r="F2081" i="60"/>
  <c r="F2080" i="60"/>
  <c r="B2080" i="60"/>
  <c r="F2079" i="60"/>
  <c r="F2078" i="60"/>
  <c r="B2078" i="60"/>
  <c r="F2077" i="60"/>
  <c r="F2076" i="60"/>
  <c r="B2076" i="60"/>
  <c r="F2075" i="60"/>
  <c r="F2074" i="60"/>
  <c r="B2074" i="60"/>
  <c r="F2073" i="60"/>
  <c r="F2072" i="60"/>
  <c r="B2072" i="60"/>
  <c r="F2071" i="60"/>
  <c r="F2070" i="60"/>
  <c r="B2070" i="60"/>
  <c r="F2069" i="60"/>
  <c r="F2068" i="60"/>
  <c r="B2068" i="60"/>
  <c r="F2067" i="60"/>
  <c r="F2066" i="60"/>
  <c r="B2066" i="60"/>
  <c r="F2065" i="60"/>
  <c r="F2064" i="60"/>
  <c r="B2064" i="60"/>
  <c r="F2063" i="60"/>
  <c r="F2062" i="60"/>
  <c r="B2062" i="60"/>
  <c r="F2061" i="60"/>
  <c r="F2060" i="60"/>
  <c r="B2060" i="60"/>
  <c r="F2059" i="60"/>
  <c r="F2058" i="60"/>
  <c r="B2058" i="60"/>
  <c r="F2057" i="60"/>
  <c r="F2056" i="60"/>
  <c r="B2056" i="60"/>
  <c r="F2055" i="60"/>
  <c r="F2054" i="60"/>
  <c r="B2054" i="60"/>
  <c r="F2053" i="60"/>
  <c r="F2052" i="60"/>
  <c r="B2052" i="60"/>
  <c r="F2051" i="60"/>
  <c r="F2050" i="60"/>
  <c r="B2050" i="60"/>
  <c r="F2049" i="60"/>
  <c r="F2048" i="60"/>
  <c r="B2048" i="60"/>
  <c r="F2047" i="60"/>
  <c r="F2046" i="60"/>
  <c r="B2046" i="60"/>
  <c r="F2045" i="60"/>
  <c r="F2044" i="60"/>
  <c r="B2044" i="60"/>
  <c r="F2043" i="60"/>
  <c r="F2042" i="60"/>
  <c r="B2042" i="60"/>
  <c r="F2041" i="60"/>
  <c r="F2040" i="60"/>
  <c r="B2040" i="60"/>
  <c r="F2039" i="60"/>
  <c r="F2038" i="60"/>
  <c r="B2038" i="60"/>
  <c r="F2037" i="60"/>
  <c r="F2036" i="60"/>
  <c r="B2036" i="60"/>
  <c r="F2035" i="60"/>
  <c r="F2034" i="60"/>
  <c r="B2034" i="60"/>
  <c r="F2033" i="60"/>
  <c r="F2032" i="60"/>
  <c r="B2032" i="60"/>
  <c r="F2031" i="60"/>
  <c r="F2030" i="60"/>
  <c r="B2030" i="60"/>
  <c r="F2029" i="60"/>
  <c r="F2028" i="60"/>
  <c r="B2028" i="60"/>
  <c r="F2027" i="60"/>
  <c r="F2026" i="60"/>
  <c r="B2026" i="60"/>
  <c r="F2025" i="60"/>
  <c r="F2024" i="60"/>
  <c r="B2024" i="60"/>
  <c r="F2023" i="60"/>
  <c r="F2022" i="60"/>
  <c r="B2022" i="60"/>
  <c r="F2021" i="60"/>
  <c r="F2020" i="60"/>
  <c r="B2020" i="60"/>
  <c r="F2019" i="60"/>
  <c r="F2018" i="60"/>
  <c r="B2018" i="60"/>
  <c r="F2017" i="60"/>
  <c r="F2016" i="60"/>
  <c r="B2016" i="60"/>
  <c r="F2015" i="60"/>
  <c r="F2014" i="60"/>
  <c r="B2014" i="60"/>
  <c r="F2013" i="60"/>
  <c r="F2012" i="60"/>
  <c r="B2012" i="60"/>
  <c r="F2011" i="60"/>
  <c r="F2010" i="60"/>
  <c r="B2010" i="60"/>
  <c r="F2009" i="60"/>
  <c r="F2008" i="60"/>
  <c r="B2008" i="60"/>
  <c r="F2007" i="60"/>
  <c r="F2006" i="60"/>
  <c r="B2006" i="60"/>
  <c r="F2005" i="60"/>
  <c r="F2004" i="60"/>
  <c r="B2004" i="60"/>
  <c r="F2003" i="60"/>
  <c r="F2002" i="60"/>
  <c r="B2002" i="60"/>
  <c r="F2001" i="60"/>
  <c r="F2000" i="60"/>
  <c r="B2000" i="60"/>
  <c r="F1999" i="60"/>
  <c r="F1998" i="60"/>
  <c r="B1998" i="60"/>
  <c r="F1997" i="60"/>
  <c r="F1996" i="60"/>
  <c r="B1996" i="60"/>
  <c r="F1995" i="60"/>
  <c r="F1994" i="60"/>
  <c r="B1994" i="60"/>
  <c r="F1993" i="60"/>
  <c r="F1992" i="60"/>
  <c r="B1992" i="60"/>
  <c r="F1991" i="60"/>
  <c r="F1990" i="60"/>
  <c r="F1989" i="60"/>
  <c r="F1988" i="60"/>
  <c r="F1987" i="60"/>
  <c r="F1986" i="60"/>
  <c r="F1985" i="60"/>
  <c r="F1984" i="60"/>
  <c r="F1983" i="60"/>
  <c r="F1982" i="60"/>
  <c r="F1981" i="60"/>
  <c r="F1980" i="60"/>
  <c r="F1979" i="60"/>
  <c r="F1978" i="60"/>
  <c r="F1977" i="60"/>
  <c r="F1976" i="60"/>
  <c r="F1975" i="60"/>
  <c r="F1974" i="60"/>
  <c r="F1973" i="60"/>
  <c r="F1972" i="60"/>
  <c r="F1971" i="60"/>
  <c r="F1970" i="60"/>
  <c r="F1969" i="60"/>
  <c r="F1968" i="60"/>
  <c r="F1967" i="60"/>
  <c r="F1966" i="60"/>
  <c r="F1965" i="60"/>
  <c r="F1964" i="60"/>
  <c r="F1963" i="60"/>
  <c r="F1962" i="60"/>
  <c r="F1961" i="60"/>
  <c r="F1960" i="60"/>
  <c r="F1959" i="60"/>
  <c r="F1958" i="60"/>
  <c r="F1957" i="60"/>
  <c r="F1956" i="60"/>
  <c r="F1955" i="60"/>
  <c r="F1954" i="60"/>
  <c r="F1953" i="60"/>
  <c r="F1952" i="60"/>
  <c r="F1951" i="60"/>
  <c r="F1950" i="60"/>
  <c r="F1949" i="60"/>
  <c r="F1948" i="60"/>
  <c r="F1947" i="60"/>
  <c r="F1946" i="60"/>
  <c r="F1945" i="60"/>
  <c r="F1944" i="60"/>
  <c r="F1943" i="60"/>
  <c r="F1942" i="60"/>
  <c r="F1941" i="60"/>
  <c r="F1940" i="60"/>
  <c r="F1939" i="60"/>
  <c r="F1938" i="60"/>
  <c r="F1937" i="60"/>
  <c r="F1936" i="60"/>
  <c r="F1935" i="60"/>
  <c r="F1934" i="60"/>
  <c r="F1933" i="60"/>
  <c r="F1932" i="60"/>
  <c r="F1931" i="60"/>
  <c r="F1930" i="60"/>
  <c r="F1929" i="60"/>
  <c r="F1928" i="60"/>
  <c r="F1927" i="60"/>
  <c r="F1926" i="60"/>
  <c r="F1925" i="60"/>
  <c r="F1924" i="60"/>
  <c r="F1923" i="60"/>
  <c r="F1922" i="60"/>
  <c r="F1921" i="60"/>
  <c r="F1920" i="60"/>
  <c r="F1919" i="60"/>
  <c r="F1918" i="60"/>
  <c r="F1917" i="60"/>
  <c r="F1916" i="60"/>
  <c r="F1915" i="60"/>
  <c r="F1914" i="60"/>
  <c r="F1913" i="60"/>
  <c r="F1912" i="60"/>
  <c r="F1911" i="60"/>
  <c r="F1910" i="60"/>
  <c r="F1909" i="60"/>
  <c r="F1908" i="60"/>
  <c r="F1907" i="60"/>
  <c r="F1906" i="60"/>
  <c r="F1905" i="60"/>
  <c r="F1904" i="60"/>
  <c r="F1903" i="60"/>
  <c r="F1902" i="60"/>
  <c r="F1901" i="60"/>
  <c r="F1900" i="60"/>
  <c r="F1899" i="60"/>
  <c r="F1898" i="60"/>
  <c r="F1897" i="60"/>
  <c r="F1896" i="60"/>
  <c r="F1895" i="60"/>
  <c r="F1894" i="60"/>
  <c r="F1893" i="60"/>
  <c r="F1892" i="60"/>
  <c r="F1891" i="60"/>
  <c r="F1890" i="60"/>
  <c r="F1889" i="60"/>
  <c r="F1888" i="60"/>
  <c r="F1887" i="60"/>
  <c r="F1886" i="60"/>
  <c r="F1885" i="60"/>
  <c r="F1884" i="60"/>
  <c r="F1883" i="60"/>
  <c r="F1882" i="60"/>
  <c r="F1881" i="60"/>
  <c r="F1880" i="60"/>
  <c r="F1879" i="60"/>
  <c r="F1878" i="60"/>
  <c r="F1877" i="60"/>
  <c r="F1876" i="60"/>
  <c r="F1875" i="60"/>
  <c r="F1874" i="60"/>
  <c r="F1873" i="60"/>
  <c r="F1872" i="60"/>
  <c r="F1871" i="60"/>
  <c r="F1870" i="60"/>
  <c r="F1869" i="60"/>
  <c r="F1868" i="60"/>
  <c r="F1867" i="60"/>
  <c r="F1866" i="60"/>
  <c r="F1865" i="60"/>
  <c r="F1864" i="60"/>
  <c r="F1863" i="60"/>
  <c r="F1862" i="60"/>
  <c r="F1861" i="60"/>
  <c r="F1860" i="60"/>
  <c r="F1859" i="60"/>
  <c r="F1858" i="60"/>
  <c r="F1857" i="60"/>
  <c r="F1856" i="60"/>
  <c r="F1855" i="60"/>
  <c r="F1854" i="60"/>
  <c r="F1853" i="60"/>
  <c r="F1852" i="60"/>
  <c r="F1851" i="60"/>
  <c r="F1850" i="60"/>
  <c r="F1849" i="60"/>
  <c r="F1848" i="60"/>
  <c r="F1847" i="60"/>
  <c r="F1846" i="60"/>
  <c r="F1845" i="60"/>
  <c r="F1844" i="60"/>
  <c r="F1843" i="60"/>
  <c r="F1842" i="60"/>
  <c r="F1841" i="60"/>
  <c r="F1840" i="60"/>
  <c r="F1839" i="60"/>
  <c r="F1838" i="60"/>
  <c r="F1837" i="60"/>
  <c r="F1836" i="60"/>
  <c r="F1835" i="60"/>
  <c r="F1834" i="60"/>
  <c r="F1833" i="60"/>
  <c r="F1832" i="60"/>
  <c r="F1831" i="60"/>
  <c r="F1830" i="60"/>
  <c r="F1829" i="60"/>
  <c r="F1828" i="60"/>
  <c r="F1827" i="60"/>
  <c r="F1826" i="60"/>
  <c r="F1825" i="60"/>
  <c r="F1824" i="60"/>
  <c r="F1823" i="60"/>
  <c r="F1822" i="60"/>
  <c r="F1821" i="60"/>
  <c r="F1820" i="60"/>
  <c r="F1819" i="60"/>
  <c r="F1818" i="60"/>
  <c r="F1817" i="60"/>
  <c r="F1816" i="60"/>
  <c r="F1815" i="60"/>
  <c r="F1814" i="60"/>
  <c r="F1813" i="60"/>
  <c r="F1812" i="60"/>
  <c r="F1811" i="60"/>
  <c r="F1810" i="60"/>
  <c r="F1809" i="60"/>
  <c r="F1808" i="60"/>
  <c r="F1807" i="60"/>
  <c r="F1806" i="60"/>
  <c r="F1805" i="60"/>
  <c r="F1804" i="60"/>
  <c r="F1803" i="60"/>
  <c r="F1802" i="60"/>
  <c r="F1801" i="60"/>
  <c r="F1800" i="60"/>
  <c r="F1799" i="60"/>
  <c r="F1798" i="60"/>
  <c r="F1797" i="60"/>
  <c r="F1796" i="60"/>
  <c r="F1795" i="60"/>
  <c r="F1794" i="60"/>
  <c r="F1793" i="60"/>
  <c r="F1792" i="60"/>
  <c r="F1791" i="60"/>
  <c r="F1790" i="60"/>
  <c r="F1789" i="60"/>
  <c r="F1788" i="60"/>
  <c r="F1787" i="60"/>
  <c r="F1786" i="60"/>
  <c r="F1785" i="60"/>
  <c r="F1784" i="60"/>
  <c r="F1783" i="60"/>
  <c r="F1782" i="60"/>
  <c r="F1781" i="60"/>
  <c r="F1780" i="60"/>
  <c r="F1779" i="60"/>
  <c r="F1778" i="60"/>
  <c r="F1777" i="60"/>
  <c r="F1776" i="60"/>
  <c r="F1775" i="60"/>
  <c r="F1774" i="60"/>
  <c r="F1773" i="60"/>
  <c r="F1772" i="60"/>
  <c r="F1771" i="60"/>
  <c r="F1770" i="60"/>
  <c r="F1769" i="60"/>
  <c r="F1768" i="60"/>
  <c r="F1767" i="60"/>
  <c r="F1766" i="60"/>
  <c r="F1765" i="60"/>
  <c r="F1764" i="60"/>
  <c r="F1763" i="60"/>
  <c r="F1762" i="60"/>
  <c r="F1761" i="60"/>
  <c r="F1760" i="60"/>
  <c r="F1759" i="60"/>
  <c r="F1758" i="60"/>
  <c r="F1757" i="60"/>
  <c r="F1756" i="60"/>
  <c r="F1755" i="60"/>
  <c r="F1754" i="60"/>
  <c r="F1753" i="60"/>
  <c r="F1752" i="60"/>
  <c r="F1751" i="60"/>
  <c r="F1750" i="60"/>
  <c r="F1749" i="60"/>
  <c r="F1748" i="60"/>
  <c r="F1747" i="60"/>
  <c r="F1746" i="60"/>
  <c r="F1745" i="60"/>
  <c r="F1744" i="60"/>
  <c r="F1743" i="60"/>
  <c r="F1742" i="60"/>
  <c r="F1741" i="60"/>
  <c r="F1740" i="60"/>
  <c r="F1739" i="60"/>
  <c r="F1738" i="60"/>
  <c r="F1737" i="60"/>
  <c r="F1736" i="60"/>
  <c r="F1735" i="60"/>
  <c r="F1734" i="60"/>
  <c r="F1733" i="60"/>
  <c r="F1732" i="60"/>
  <c r="F1731" i="60"/>
  <c r="L1730" i="60"/>
  <c r="F1730" i="60"/>
  <c r="F1729" i="60"/>
  <c r="F1728" i="60"/>
  <c r="F1727" i="60"/>
  <c r="F1726" i="60"/>
  <c r="F1725" i="60"/>
  <c r="F1724" i="60"/>
  <c r="F1723" i="60"/>
  <c r="F1722" i="60"/>
  <c r="F1721" i="60"/>
  <c r="F1720" i="60"/>
  <c r="F1719" i="60"/>
  <c r="F1718" i="60"/>
  <c r="F1717" i="60"/>
  <c r="F1716" i="60"/>
  <c r="F1715" i="60"/>
  <c r="F1714" i="60"/>
  <c r="F1713" i="60"/>
  <c r="F1712" i="60"/>
  <c r="F1711" i="60"/>
  <c r="F1710" i="60"/>
  <c r="F1709" i="60"/>
  <c r="F1708" i="60"/>
  <c r="F1707" i="60"/>
  <c r="F1706" i="60"/>
  <c r="F1705" i="60"/>
  <c r="F1704" i="60"/>
  <c r="F1703" i="60"/>
  <c r="F1702" i="60"/>
  <c r="F1701" i="60"/>
  <c r="F1700" i="60"/>
  <c r="F1699" i="60"/>
  <c r="F1698" i="60"/>
  <c r="F1697" i="60"/>
  <c r="F1696" i="60"/>
  <c r="F1695" i="60"/>
  <c r="F1694" i="60"/>
  <c r="F1693" i="60"/>
  <c r="F1692" i="60"/>
  <c r="F1691" i="60"/>
  <c r="F1690" i="60"/>
  <c r="F1689" i="60"/>
  <c r="F1688" i="60"/>
  <c r="F1687" i="60"/>
  <c r="F1686" i="60"/>
  <c r="F1685" i="60"/>
  <c r="F1684" i="60"/>
  <c r="F1683" i="60"/>
  <c r="F1682" i="60"/>
  <c r="F1681" i="60"/>
  <c r="F1680" i="60"/>
  <c r="F1679" i="60"/>
  <c r="F1678" i="60"/>
  <c r="F1677" i="60"/>
  <c r="F1676" i="60"/>
  <c r="F1675" i="60"/>
  <c r="F1674" i="60"/>
  <c r="F1673" i="60"/>
  <c r="F1672" i="60"/>
  <c r="F1671" i="60"/>
  <c r="F1670" i="60"/>
  <c r="F1669" i="60"/>
  <c r="F1668" i="60"/>
  <c r="F1667" i="60"/>
  <c r="F1666" i="60"/>
  <c r="F1665" i="60"/>
  <c r="F1664" i="60"/>
  <c r="F1663" i="60"/>
  <c r="F1662" i="60"/>
  <c r="F1661" i="60"/>
  <c r="F1660" i="60"/>
  <c r="F1659" i="60"/>
  <c r="F1658" i="60"/>
  <c r="F1657" i="60"/>
  <c r="F1656" i="60"/>
  <c r="F1655" i="60"/>
  <c r="F1654" i="60"/>
  <c r="F1653" i="60"/>
  <c r="F1652" i="60"/>
  <c r="F1651" i="60"/>
  <c r="F1650" i="60"/>
  <c r="F1649" i="60"/>
  <c r="F1648" i="60"/>
  <c r="F1647" i="60"/>
  <c r="F1646" i="60"/>
  <c r="F1645" i="60"/>
  <c r="F1644" i="60"/>
  <c r="F1643" i="60"/>
  <c r="F1642" i="60"/>
  <c r="F1641" i="60"/>
  <c r="F1640" i="60"/>
  <c r="F1639" i="60"/>
  <c r="F1638" i="60"/>
  <c r="F1637" i="60"/>
  <c r="F1636" i="60"/>
  <c r="F1635" i="60"/>
  <c r="F1634" i="60"/>
  <c r="F1633" i="60"/>
  <c r="F1632" i="60"/>
  <c r="F1631" i="60"/>
  <c r="F1630" i="60"/>
  <c r="F1629" i="60"/>
  <c r="F1628" i="60"/>
  <c r="F1627" i="60"/>
  <c r="F1626" i="60"/>
  <c r="F1625" i="60"/>
  <c r="F1624" i="60"/>
  <c r="F1623" i="60"/>
  <c r="F1622" i="60"/>
  <c r="F1621" i="60"/>
  <c r="F1620" i="60"/>
  <c r="F1619" i="60"/>
  <c r="F1618" i="60"/>
  <c r="F1617" i="60"/>
  <c r="F1616" i="60"/>
  <c r="F1615" i="60"/>
  <c r="F1614" i="60"/>
  <c r="F1613" i="60"/>
  <c r="F1612" i="60"/>
  <c r="F1611" i="60"/>
  <c r="F1610" i="60"/>
  <c r="F1609" i="60"/>
  <c r="F1608" i="60"/>
  <c r="F1607" i="60"/>
  <c r="F1606" i="60"/>
  <c r="F1605" i="60"/>
  <c r="F1604" i="60"/>
  <c r="F1603" i="60"/>
  <c r="F1602" i="60"/>
  <c r="F1601" i="60"/>
  <c r="F1600" i="60"/>
  <c r="F1599" i="60"/>
  <c r="F1598" i="60"/>
  <c r="F1597" i="60"/>
  <c r="F1596" i="60"/>
  <c r="F1595" i="60"/>
  <c r="F1594" i="60"/>
  <c r="F1593" i="60"/>
  <c r="F1592" i="60"/>
  <c r="F1591" i="60"/>
  <c r="F1590" i="60"/>
  <c r="F1589" i="60"/>
  <c r="F1588" i="60"/>
  <c r="F1587" i="60"/>
  <c r="F1586" i="60"/>
  <c r="F1585" i="60"/>
  <c r="F1584" i="60"/>
  <c r="F1583" i="60"/>
  <c r="F1582" i="60"/>
  <c r="F1581" i="60"/>
  <c r="F1580" i="60"/>
  <c r="F1579" i="60"/>
  <c r="F1578" i="60"/>
  <c r="F1577" i="60"/>
  <c r="F1576" i="60"/>
  <c r="F1575" i="60"/>
  <c r="F1574" i="60"/>
  <c r="F1573" i="60"/>
  <c r="F1572" i="60"/>
  <c r="F1571" i="60"/>
  <c r="F1570" i="60"/>
  <c r="F1569" i="60"/>
  <c r="F1568" i="60"/>
  <c r="F1567" i="60"/>
  <c r="F1566" i="60"/>
  <c r="F1565" i="60"/>
  <c r="F1564" i="60"/>
  <c r="F1563" i="60"/>
  <c r="F1562" i="60"/>
  <c r="F1561" i="60"/>
  <c r="F1560" i="60"/>
  <c r="F1559" i="60"/>
  <c r="F1558" i="60"/>
  <c r="B1558" i="60"/>
  <c r="F1557" i="60"/>
  <c r="F1556" i="60"/>
  <c r="B1556" i="60"/>
  <c r="F1555" i="60"/>
  <c r="F1554" i="60"/>
  <c r="B1554" i="60"/>
  <c r="F1553" i="60"/>
  <c r="F1552" i="60"/>
  <c r="B1552" i="60"/>
  <c r="F1551" i="60"/>
  <c r="F1550" i="60"/>
  <c r="B1550" i="60"/>
  <c r="F1549" i="60"/>
  <c r="F1548" i="60"/>
  <c r="B1548" i="60"/>
  <c r="F1547" i="60"/>
  <c r="F1546" i="60"/>
  <c r="B1546" i="60"/>
  <c r="F1545" i="60"/>
  <c r="F1544" i="60"/>
  <c r="B1544" i="60"/>
  <c r="F1543" i="60"/>
  <c r="F1542" i="60"/>
  <c r="B1542" i="60"/>
  <c r="F1541" i="60"/>
  <c r="F1540" i="60"/>
  <c r="B1540" i="60"/>
  <c r="F1539" i="60"/>
  <c r="F1538" i="60"/>
  <c r="B1538" i="60"/>
  <c r="F1537" i="60"/>
  <c r="F1536" i="60"/>
  <c r="B1536" i="60"/>
  <c r="F1535" i="60"/>
  <c r="F1534" i="60"/>
  <c r="B1534" i="60"/>
  <c r="F1533" i="60"/>
  <c r="F1532" i="60"/>
  <c r="B1532" i="60"/>
  <c r="F1531" i="60"/>
  <c r="F1530" i="60"/>
  <c r="B1530" i="60"/>
  <c r="F1529" i="60"/>
  <c r="F1528" i="60"/>
  <c r="B1528" i="60"/>
  <c r="F1527" i="60"/>
  <c r="F1526" i="60"/>
  <c r="B1526" i="60"/>
  <c r="F1525" i="60"/>
  <c r="F1524" i="60"/>
  <c r="B1524" i="60"/>
  <c r="F1523" i="60"/>
  <c r="F1522" i="60"/>
  <c r="B1522" i="60"/>
  <c r="F1521" i="60"/>
  <c r="F1520" i="60"/>
  <c r="B1520" i="60"/>
  <c r="F1519" i="60"/>
  <c r="F1518" i="60"/>
  <c r="B1518" i="60"/>
  <c r="F1517" i="60"/>
  <c r="F1516" i="60"/>
  <c r="B1516" i="60"/>
  <c r="F1515" i="60"/>
  <c r="F1514" i="60"/>
  <c r="B1514" i="60"/>
  <c r="F1513" i="60"/>
  <c r="F1512" i="60"/>
  <c r="B1512" i="60"/>
  <c r="F1511" i="60"/>
  <c r="F1510" i="60"/>
  <c r="B1510" i="60"/>
  <c r="F1509" i="60"/>
  <c r="F1508" i="60"/>
  <c r="B1508" i="60"/>
  <c r="F1507" i="60"/>
  <c r="F1506" i="60"/>
  <c r="B1506" i="60"/>
  <c r="F1505" i="60"/>
  <c r="F1504" i="60"/>
  <c r="B1504" i="60"/>
  <c r="F1503" i="60"/>
  <c r="F1502" i="60"/>
  <c r="B1502" i="60"/>
  <c r="F1501" i="60"/>
  <c r="F1500" i="60"/>
  <c r="B1500" i="60"/>
  <c r="F1499" i="60"/>
  <c r="F1498" i="60"/>
  <c r="B1498" i="60"/>
  <c r="F1497" i="60"/>
  <c r="F1496" i="60"/>
  <c r="B1496" i="60"/>
  <c r="F1495" i="60"/>
  <c r="F1494" i="60"/>
  <c r="B1494" i="60"/>
  <c r="F1493" i="60"/>
  <c r="F1492" i="60"/>
  <c r="B1492" i="60"/>
  <c r="F1491" i="60"/>
  <c r="F1490" i="60"/>
  <c r="B1490" i="60"/>
  <c r="F1489" i="60"/>
  <c r="F1488" i="60"/>
  <c r="B1488" i="60"/>
  <c r="F1487" i="60"/>
  <c r="F1486" i="60"/>
  <c r="B1486" i="60"/>
  <c r="F1485" i="60"/>
  <c r="F1484" i="60"/>
  <c r="B1484" i="60"/>
  <c r="F1483" i="60"/>
  <c r="F1482" i="60"/>
  <c r="B1482" i="60"/>
  <c r="F1481" i="60"/>
  <c r="F1480" i="60"/>
  <c r="B1480" i="60"/>
  <c r="F1479" i="60"/>
  <c r="F1478" i="60"/>
  <c r="B1478" i="60"/>
  <c r="F1477" i="60"/>
  <c r="F1476" i="60"/>
  <c r="B1476" i="60"/>
  <c r="F1475" i="60"/>
  <c r="F1474" i="60"/>
  <c r="B1474" i="60"/>
  <c r="F1473" i="60"/>
  <c r="F1472" i="60"/>
  <c r="B1472" i="60"/>
  <c r="F1471" i="60"/>
  <c r="F1470" i="60"/>
  <c r="B1470" i="60"/>
  <c r="F1469" i="60"/>
  <c r="F1468" i="60"/>
  <c r="B1468" i="60"/>
  <c r="F1467" i="60"/>
  <c r="F1466" i="60"/>
  <c r="B1466" i="60"/>
  <c r="F1465" i="60"/>
  <c r="F1464" i="60"/>
  <c r="B1464" i="60"/>
  <c r="F1463" i="60"/>
  <c r="F1462" i="60"/>
  <c r="B1462" i="60"/>
  <c r="F1461" i="60"/>
  <c r="F1460" i="60"/>
  <c r="B1460" i="60"/>
  <c r="F1459" i="60"/>
  <c r="F1458" i="60"/>
  <c r="B1458" i="60"/>
  <c r="F1457" i="60"/>
  <c r="F1456" i="60"/>
  <c r="B1456" i="60"/>
  <c r="F1455" i="60"/>
  <c r="F1454" i="60"/>
  <c r="B1454" i="60"/>
  <c r="F1453" i="60"/>
  <c r="F1452" i="60"/>
  <c r="B1452" i="60"/>
  <c r="F1451" i="60"/>
  <c r="F1450" i="60"/>
  <c r="B1450" i="60"/>
  <c r="F1449" i="60"/>
  <c r="F1448" i="60"/>
  <c r="B1448" i="60"/>
  <c r="F1447" i="60"/>
  <c r="F1446" i="60"/>
  <c r="B1446" i="60"/>
  <c r="F1445" i="60"/>
  <c r="F1444" i="60"/>
  <c r="B1444" i="60"/>
  <c r="F1443" i="60"/>
  <c r="F1442" i="60"/>
  <c r="B1442" i="60"/>
  <c r="F1441" i="60"/>
  <c r="F1440" i="60"/>
  <c r="B1440" i="60"/>
  <c r="F1439" i="60"/>
  <c r="F1438" i="60"/>
  <c r="B1438" i="60"/>
  <c r="F1437" i="60"/>
  <c r="F1436" i="60"/>
  <c r="B1436" i="60"/>
  <c r="F1435" i="60"/>
  <c r="F1434" i="60"/>
  <c r="B1434" i="60"/>
  <c r="F1433" i="60"/>
  <c r="F1432" i="60"/>
  <c r="B1432" i="60"/>
  <c r="F1431" i="60"/>
  <c r="F1430" i="60"/>
  <c r="B1430" i="60"/>
  <c r="F1429" i="60"/>
  <c r="F1428" i="60"/>
  <c r="B1428" i="60"/>
  <c r="F1427" i="60"/>
  <c r="F1426" i="60"/>
  <c r="B1426" i="60"/>
  <c r="F1425" i="60"/>
  <c r="F1424" i="60"/>
  <c r="B1424" i="60"/>
  <c r="F1423" i="60"/>
  <c r="F1422" i="60"/>
  <c r="B1422" i="60"/>
  <c r="F1421" i="60"/>
  <c r="F1420" i="60"/>
  <c r="B1420" i="60"/>
  <c r="F1419" i="60"/>
  <c r="F1418" i="60"/>
  <c r="B1418" i="60"/>
  <c r="F1417" i="60"/>
  <c r="F1416" i="60"/>
  <c r="B1416" i="60"/>
  <c r="F1415" i="60"/>
  <c r="F1414" i="60"/>
  <c r="B1414" i="60"/>
  <c r="F1413" i="60"/>
  <c r="F1412" i="60"/>
  <c r="B1412" i="60"/>
  <c r="F1411" i="60"/>
  <c r="F1410" i="60"/>
  <c r="B1410" i="60"/>
  <c r="F1409" i="60"/>
  <c r="F1408" i="60"/>
  <c r="B1408" i="60"/>
  <c r="F1407" i="60"/>
  <c r="F1406" i="60"/>
  <c r="B1406" i="60"/>
  <c r="F1405" i="60"/>
  <c r="F1404" i="60"/>
  <c r="B1404" i="60"/>
  <c r="F1403" i="60"/>
  <c r="F1402" i="60"/>
  <c r="B1402" i="60"/>
  <c r="F1401" i="60"/>
  <c r="F1400" i="60"/>
  <c r="B1400" i="60"/>
  <c r="F1399" i="60"/>
  <c r="F1398" i="60"/>
  <c r="B1398" i="60"/>
  <c r="F1397" i="60"/>
  <c r="F1396" i="60"/>
  <c r="B1396" i="60"/>
  <c r="F1395" i="60"/>
  <c r="F1394" i="60"/>
  <c r="B1394" i="60"/>
  <c r="F1393" i="60"/>
  <c r="F1392" i="60"/>
  <c r="B1392" i="60"/>
  <c r="F1391" i="60"/>
  <c r="F1390" i="60"/>
  <c r="F1389" i="60"/>
  <c r="F1388" i="60"/>
  <c r="F1387" i="60"/>
  <c r="F1386" i="60"/>
  <c r="F1385" i="60"/>
  <c r="F1384" i="60"/>
  <c r="F1383" i="60"/>
  <c r="F1382" i="60"/>
  <c r="F1381" i="60"/>
  <c r="F1380" i="60"/>
  <c r="F1379" i="60"/>
  <c r="F1378" i="60"/>
  <c r="F1377" i="60"/>
  <c r="F1376" i="60"/>
  <c r="F1375" i="60"/>
  <c r="F1374" i="60"/>
  <c r="F1373" i="60"/>
  <c r="F1372" i="60"/>
  <c r="F1371" i="60"/>
  <c r="F1370" i="60"/>
  <c r="F1369" i="60"/>
  <c r="F1368" i="60"/>
  <c r="F1367" i="60"/>
  <c r="F1366" i="60"/>
  <c r="F1365" i="60"/>
  <c r="F1364" i="60"/>
  <c r="F1363" i="60"/>
  <c r="F1362" i="60"/>
  <c r="F1361" i="60"/>
  <c r="F1360" i="60"/>
  <c r="F1359" i="60"/>
  <c r="F1358" i="60"/>
  <c r="F1357" i="60"/>
  <c r="F1356" i="60"/>
  <c r="F1355" i="60"/>
  <c r="F1354" i="60"/>
  <c r="F1353" i="60"/>
  <c r="F1352" i="60"/>
  <c r="F1351" i="60"/>
  <c r="F1350" i="60"/>
  <c r="F1349" i="60"/>
  <c r="F1348" i="60"/>
  <c r="F1347" i="60"/>
  <c r="F1346" i="60"/>
  <c r="F1345" i="60"/>
  <c r="F1344" i="60"/>
  <c r="F1343" i="60"/>
  <c r="F1342" i="60"/>
  <c r="F1341" i="60"/>
  <c r="F1340" i="60"/>
  <c r="F1339" i="60"/>
  <c r="F1338" i="60"/>
  <c r="F1337" i="60"/>
  <c r="F1336" i="60"/>
  <c r="F1335" i="60"/>
  <c r="F1334" i="60"/>
  <c r="F1333" i="60"/>
  <c r="F1332" i="60"/>
  <c r="F1331" i="60"/>
  <c r="F1330" i="60"/>
  <c r="F1329" i="60"/>
  <c r="F1328" i="60"/>
  <c r="F1327" i="60"/>
  <c r="F1326" i="60"/>
  <c r="F1325" i="60"/>
  <c r="F1324" i="60"/>
  <c r="F1323" i="60"/>
  <c r="F1322" i="60"/>
  <c r="F1321" i="60"/>
  <c r="F1320" i="60"/>
  <c r="F1319" i="60"/>
  <c r="F1318" i="60"/>
  <c r="F1317" i="60"/>
  <c r="F1316" i="60"/>
  <c r="F1315" i="60"/>
  <c r="F1314" i="60"/>
  <c r="F1313" i="60"/>
  <c r="F1312" i="60"/>
  <c r="F1311" i="60"/>
  <c r="F1310" i="60"/>
  <c r="F1309" i="60"/>
  <c r="F1308" i="60"/>
  <c r="F1307" i="60"/>
  <c r="F1306" i="60"/>
  <c r="F1305" i="60"/>
  <c r="F1304" i="60"/>
  <c r="F1303" i="60"/>
  <c r="F1302" i="60"/>
  <c r="F1301" i="60"/>
  <c r="F1300" i="60"/>
  <c r="F1299" i="60"/>
  <c r="F1298" i="60"/>
  <c r="F1297" i="60"/>
  <c r="F1296" i="60"/>
  <c r="F1295" i="60"/>
  <c r="F1294" i="60"/>
  <c r="F1293" i="60"/>
  <c r="F1292" i="60"/>
  <c r="F1291" i="60"/>
  <c r="F1290" i="60"/>
  <c r="F1289" i="60"/>
  <c r="F1288" i="60"/>
  <c r="F1287" i="60"/>
  <c r="F1286" i="60"/>
  <c r="F1285" i="60"/>
  <c r="F1284" i="60"/>
  <c r="F1283" i="60"/>
  <c r="F1282" i="60"/>
  <c r="F1281" i="60"/>
  <c r="F1280" i="60"/>
  <c r="F1279" i="60"/>
  <c r="F1278" i="60"/>
  <c r="F1277" i="60"/>
  <c r="F1276" i="60"/>
  <c r="F1275" i="60"/>
  <c r="F1274" i="60"/>
  <c r="F1273" i="60"/>
  <c r="F1272" i="60"/>
  <c r="F1271" i="60"/>
  <c r="F1270" i="60"/>
  <c r="F1269" i="60"/>
  <c r="F1268" i="60"/>
  <c r="F1267" i="60"/>
  <c r="F1266" i="60"/>
  <c r="F1265" i="60"/>
  <c r="F1264" i="60"/>
  <c r="F1263" i="60"/>
  <c r="F1262" i="60"/>
  <c r="F1261" i="60"/>
  <c r="F1260" i="60"/>
  <c r="F1259" i="60"/>
  <c r="F1258" i="60"/>
  <c r="F1257" i="60"/>
  <c r="F1256" i="60"/>
  <c r="F1255" i="60"/>
  <c r="F1254" i="60"/>
  <c r="F1253" i="60"/>
  <c r="F1252" i="60"/>
  <c r="F1251" i="60"/>
  <c r="F1250" i="60"/>
  <c r="F1249" i="60"/>
  <c r="F1248" i="60"/>
  <c r="F1247" i="60"/>
  <c r="F1246" i="60"/>
  <c r="F1245" i="60"/>
  <c r="F1244" i="60"/>
  <c r="F1243" i="60"/>
  <c r="F1242" i="60"/>
  <c r="F1241" i="60"/>
  <c r="F1240" i="60"/>
  <c r="F1239" i="60"/>
  <c r="F1238" i="60"/>
  <c r="F1237" i="60"/>
  <c r="F1236" i="60"/>
  <c r="F1235" i="60"/>
  <c r="F1234" i="60"/>
  <c r="F1233" i="60"/>
  <c r="F1232" i="60"/>
  <c r="F1231" i="60"/>
  <c r="F1230" i="60"/>
  <c r="F1229" i="60"/>
  <c r="F1228" i="60"/>
  <c r="F1227" i="60"/>
  <c r="F1226" i="60"/>
  <c r="F1225" i="60"/>
  <c r="F1224" i="60"/>
  <c r="F1223" i="60"/>
  <c r="F1222" i="60"/>
  <c r="B1222" i="60"/>
  <c r="F1221" i="60"/>
  <c r="F1220" i="60"/>
  <c r="B1220" i="60"/>
  <c r="F1219" i="60"/>
  <c r="F1218" i="60"/>
  <c r="B1218" i="60"/>
  <c r="F1217" i="60"/>
  <c r="F1216" i="60"/>
  <c r="B1216" i="60"/>
  <c r="F1215" i="60"/>
  <c r="F1214" i="60"/>
  <c r="B1214" i="60"/>
  <c r="F1213" i="60"/>
  <c r="F1212" i="60"/>
  <c r="B1212" i="60"/>
  <c r="F1211" i="60"/>
  <c r="F1210" i="60"/>
  <c r="B1210" i="60"/>
  <c r="F1209" i="60"/>
  <c r="F1208" i="60"/>
  <c r="B1208" i="60"/>
  <c r="F1207" i="60"/>
  <c r="F1206" i="60"/>
  <c r="B1206" i="60"/>
  <c r="F1205" i="60"/>
  <c r="F1204" i="60"/>
  <c r="B1204" i="60"/>
  <c r="F1203" i="60"/>
  <c r="F1202" i="60"/>
  <c r="B1202" i="60"/>
  <c r="F1201" i="60"/>
  <c r="F1200" i="60"/>
  <c r="B1200" i="60"/>
  <c r="F1199" i="60"/>
  <c r="F1198" i="60"/>
  <c r="B1198" i="60"/>
  <c r="F1197" i="60"/>
  <c r="F1196" i="60"/>
  <c r="B1196" i="60"/>
  <c r="F1195" i="60"/>
  <c r="F1194" i="60"/>
  <c r="B1194" i="60"/>
  <c r="F1193" i="60"/>
  <c r="F1192" i="60"/>
  <c r="B1192" i="60"/>
  <c r="F1191" i="60"/>
  <c r="F1190" i="60"/>
  <c r="B1190" i="60"/>
  <c r="F1189" i="60"/>
  <c r="F1188" i="60"/>
  <c r="B1188" i="60"/>
  <c r="F1187" i="60"/>
  <c r="F1186" i="60"/>
  <c r="B1186" i="60"/>
  <c r="F1185" i="60"/>
  <c r="F1184" i="60"/>
  <c r="B1184" i="60"/>
  <c r="F1183" i="60"/>
  <c r="F1182" i="60"/>
  <c r="B1182" i="60"/>
  <c r="F1181" i="60"/>
  <c r="F1180" i="60"/>
  <c r="B1180" i="60"/>
  <c r="F1179" i="60"/>
  <c r="F1178" i="60"/>
  <c r="B1178" i="60"/>
  <c r="F1177" i="60"/>
  <c r="F1176" i="60"/>
  <c r="B1176" i="60"/>
  <c r="F1175" i="60"/>
  <c r="F1174" i="60"/>
  <c r="B1174" i="60"/>
  <c r="F1173" i="60"/>
  <c r="F1172" i="60"/>
  <c r="B1172" i="60"/>
  <c r="F1171" i="60"/>
  <c r="F1170" i="60"/>
  <c r="B1170" i="60"/>
  <c r="F1169" i="60"/>
  <c r="F1168" i="60"/>
  <c r="B1168" i="60"/>
  <c r="F1167" i="60"/>
  <c r="F1166" i="60"/>
  <c r="B1166" i="60"/>
  <c r="F1165" i="60"/>
  <c r="F1164" i="60"/>
  <c r="B1164" i="60"/>
  <c r="F1163" i="60"/>
  <c r="F1162" i="60"/>
  <c r="B1162" i="60"/>
  <c r="F1161" i="60"/>
  <c r="F1160" i="60"/>
  <c r="B1160" i="60"/>
  <c r="F1159" i="60"/>
  <c r="F1158" i="60"/>
  <c r="B1158" i="60"/>
  <c r="F1157" i="60"/>
  <c r="F1156" i="60"/>
  <c r="B1156" i="60"/>
  <c r="F1155" i="60"/>
  <c r="F1154" i="60"/>
  <c r="B1154" i="60"/>
  <c r="F1153" i="60"/>
  <c r="F1152" i="60"/>
  <c r="B1152" i="60"/>
  <c r="F1151" i="60"/>
  <c r="F1150" i="60"/>
  <c r="B1150" i="60"/>
  <c r="F1149" i="60"/>
  <c r="F1148" i="60"/>
  <c r="B1148" i="60"/>
  <c r="F1147" i="60"/>
  <c r="F1146" i="60"/>
  <c r="B1146" i="60"/>
  <c r="F1145" i="60"/>
  <c r="F1144" i="60"/>
  <c r="B1144" i="60"/>
  <c r="F1143" i="60"/>
  <c r="F1142" i="60"/>
  <c r="B1142" i="60"/>
  <c r="F1141" i="60"/>
  <c r="F1140" i="60"/>
  <c r="B1140" i="60"/>
  <c r="F1139" i="60"/>
  <c r="F1138" i="60"/>
  <c r="B1138" i="60"/>
  <c r="F1137" i="60"/>
  <c r="F1136" i="60"/>
  <c r="B1136" i="60"/>
  <c r="F1135" i="60"/>
  <c r="F1134" i="60"/>
  <c r="B1134" i="60"/>
  <c r="F1133" i="60"/>
  <c r="F1132" i="60"/>
  <c r="B1132" i="60"/>
  <c r="F1131" i="60"/>
  <c r="F1130" i="60"/>
  <c r="B1130" i="60"/>
  <c r="F1129" i="60"/>
  <c r="F1128" i="60"/>
  <c r="B1128" i="60"/>
  <c r="F1127" i="60"/>
  <c r="F1126" i="60"/>
  <c r="B1126" i="60"/>
  <c r="F1125" i="60"/>
  <c r="F1124" i="60"/>
  <c r="B1124" i="60"/>
  <c r="F1123" i="60"/>
  <c r="F1122" i="60"/>
  <c r="B1122" i="60"/>
  <c r="F1121" i="60"/>
  <c r="F1120" i="60"/>
  <c r="B1120" i="60"/>
  <c r="F1119" i="60"/>
  <c r="F1118" i="60"/>
  <c r="B1118" i="60"/>
  <c r="F1117" i="60"/>
  <c r="F1116" i="60"/>
  <c r="B1116" i="60"/>
  <c r="F1115" i="60"/>
  <c r="F1114" i="60"/>
  <c r="B1114" i="60"/>
  <c r="F1113" i="60"/>
  <c r="F1112" i="60"/>
  <c r="B1112" i="60"/>
  <c r="F1111" i="60"/>
  <c r="F1110" i="60"/>
  <c r="B1110" i="60"/>
  <c r="F1109" i="60"/>
  <c r="F1108" i="60"/>
  <c r="B1108" i="60"/>
  <c r="F1107" i="60"/>
  <c r="F1106" i="60"/>
  <c r="B1106" i="60"/>
  <c r="F1105" i="60"/>
  <c r="F1104" i="60"/>
  <c r="B1104" i="60"/>
  <c r="F1103" i="60"/>
  <c r="F1102" i="60"/>
  <c r="B1102" i="60"/>
  <c r="F1101" i="60"/>
  <c r="F1100" i="60"/>
  <c r="B1100" i="60"/>
  <c r="F1099" i="60"/>
  <c r="F1098" i="60"/>
  <c r="B1098" i="60"/>
  <c r="F1097" i="60"/>
  <c r="F1096" i="60"/>
  <c r="B1096" i="60"/>
  <c r="F1095" i="60"/>
  <c r="F1094" i="60"/>
  <c r="B1094" i="60"/>
  <c r="F1093" i="60"/>
  <c r="F1092" i="60"/>
  <c r="B1092" i="60"/>
  <c r="F1091" i="60"/>
  <c r="F1090" i="60"/>
  <c r="B1090" i="60"/>
  <c r="F1089" i="60"/>
  <c r="F1088" i="60"/>
  <c r="B1088" i="60"/>
  <c r="F1087" i="60"/>
  <c r="F1086" i="60"/>
  <c r="B1086" i="60"/>
  <c r="F1085" i="60"/>
  <c r="F1084" i="60"/>
  <c r="B1084" i="60"/>
  <c r="F1083" i="60"/>
  <c r="F1082" i="60"/>
  <c r="B1082" i="60"/>
  <c r="F1081" i="60"/>
  <c r="F1080" i="60"/>
  <c r="B1080" i="60"/>
  <c r="F1079" i="60"/>
  <c r="F1078" i="60"/>
  <c r="B1078" i="60"/>
  <c r="F1077" i="60"/>
  <c r="F1076" i="60"/>
  <c r="B1076" i="60"/>
  <c r="F1075" i="60"/>
  <c r="F1074" i="60"/>
  <c r="B1074" i="60"/>
  <c r="F1073" i="60"/>
  <c r="F1072" i="60"/>
  <c r="B1072" i="60"/>
  <c r="F1071" i="60"/>
  <c r="F1070" i="60"/>
  <c r="B1070" i="60"/>
  <c r="F1069" i="60"/>
  <c r="F1068" i="60"/>
  <c r="B1068" i="60"/>
  <c r="F1067" i="60"/>
  <c r="F1066" i="60"/>
  <c r="B1066" i="60"/>
  <c r="F1065" i="60"/>
  <c r="F1064" i="60"/>
  <c r="B1064" i="60"/>
  <c r="F1063" i="60"/>
  <c r="F1062" i="60"/>
  <c r="B1062" i="60"/>
  <c r="F1061" i="60"/>
  <c r="F1060" i="60"/>
  <c r="B1060" i="60"/>
  <c r="F1059" i="60"/>
  <c r="F1058" i="60"/>
  <c r="B1058" i="60"/>
  <c r="F1057" i="60"/>
  <c r="F1056" i="60"/>
  <c r="B1056" i="60"/>
  <c r="F1055" i="60"/>
  <c r="F1054" i="60"/>
  <c r="B1054" i="60"/>
  <c r="F1053" i="60"/>
  <c r="F1052" i="60"/>
  <c r="B1052" i="60"/>
  <c r="F1051" i="60"/>
  <c r="F1050" i="60"/>
  <c r="B1050" i="60"/>
  <c r="F1049" i="60"/>
  <c r="F1048" i="60"/>
  <c r="B1048" i="60"/>
  <c r="F1047" i="60"/>
  <c r="F1046" i="60"/>
  <c r="B1046" i="60"/>
  <c r="F1045" i="60"/>
  <c r="F1044" i="60"/>
  <c r="B1044" i="60"/>
  <c r="F1043" i="60"/>
  <c r="F1042" i="60"/>
  <c r="B1042" i="60"/>
  <c r="F1041" i="60"/>
  <c r="F1040" i="60"/>
  <c r="B1040" i="60"/>
  <c r="F1039" i="60"/>
  <c r="F1038" i="60"/>
  <c r="B1038" i="60"/>
  <c r="F1037" i="60"/>
  <c r="F1036" i="60"/>
  <c r="B1036" i="60"/>
  <c r="F1035" i="60"/>
  <c r="F1034" i="60"/>
  <c r="B1034" i="60"/>
  <c r="F1033" i="60"/>
  <c r="F1032" i="60"/>
  <c r="B1032" i="60"/>
  <c r="F1031" i="60"/>
  <c r="F1030" i="60"/>
  <c r="B1030" i="60"/>
  <c r="F1029" i="60"/>
  <c r="F1028" i="60"/>
  <c r="B1028" i="60"/>
  <c r="F1027" i="60"/>
  <c r="F1026" i="60"/>
  <c r="B1026" i="60"/>
  <c r="F1025" i="60"/>
  <c r="F1024" i="60"/>
  <c r="B1024" i="60"/>
  <c r="F1023" i="60"/>
  <c r="F1022" i="60"/>
  <c r="B1022" i="60"/>
  <c r="F1021" i="60"/>
  <c r="F1020" i="60"/>
  <c r="B1020" i="60"/>
  <c r="F1019" i="60"/>
  <c r="F1018" i="60"/>
  <c r="B1018" i="60"/>
  <c r="F1017" i="60"/>
  <c r="F1016" i="60"/>
  <c r="B1016" i="60"/>
  <c r="F1015" i="60"/>
  <c r="F1014" i="60"/>
  <c r="B1014" i="60"/>
  <c r="F1013" i="60"/>
  <c r="F1012" i="60"/>
  <c r="B1012" i="60"/>
  <c r="F1011" i="60"/>
  <c r="F1010" i="60"/>
  <c r="B1010" i="60"/>
  <c r="F1009" i="60"/>
  <c r="F1008" i="60"/>
  <c r="B1008" i="60"/>
  <c r="F1007" i="60"/>
  <c r="F1006" i="60"/>
  <c r="B1006" i="60"/>
  <c r="F1005" i="60"/>
  <c r="F1004" i="60"/>
  <c r="B1004" i="60"/>
  <c r="F1003" i="60"/>
  <c r="F1002" i="60"/>
  <c r="B1002" i="60"/>
  <c r="F1001" i="60"/>
  <c r="F1000" i="60"/>
  <c r="B1000" i="60"/>
  <c r="F999" i="60"/>
  <c r="F998" i="60"/>
  <c r="B998" i="60"/>
  <c r="F997" i="60"/>
  <c r="F996" i="60"/>
  <c r="B996" i="60"/>
  <c r="F995" i="60"/>
  <c r="F994" i="60"/>
  <c r="B994" i="60"/>
  <c r="F993" i="60"/>
  <c r="F992" i="60"/>
  <c r="B992" i="60"/>
  <c r="F991" i="60"/>
  <c r="F990" i="60"/>
  <c r="B990" i="60"/>
  <c r="F989" i="60"/>
  <c r="F988" i="60"/>
  <c r="B988" i="60"/>
  <c r="F987" i="60"/>
  <c r="F986" i="60"/>
  <c r="B986" i="60"/>
  <c r="F985" i="60"/>
  <c r="F984" i="60"/>
  <c r="B984" i="60"/>
  <c r="F983" i="60"/>
  <c r="F982" i="60"/>
  <c r="B982" i="60"/>
  <c r="F981" i="60"/>
  <c r="F980" i="60"/>
  <c r="B980" i="60"/>
  <c r="F979" i="60"/>
  <c r="F978" i="60"/>
  <c r="B978" i="60"/>
  <c r="F977" i="60"/>
  <c r="F976" i="60"/>
  <c r="B976" i="60"/>
  <c r="F975" i="60"/>
  <c r="F974" i="60"/>
  <c r="B974" i="60"/>
  <c r="F973" i="60"/>
  <c r="F972" i="60"/>
  <c r="B972" i="60"/>
  <c r="F971" i="60"/>
  <c r="F970" i="60"/>
  <c r="B970" i="60"/>
  <c r="F969" i="60"/>
  <c r="F968" i="60"/>
  <c r="B968" i="60"/>
  <c r="F967" i="60"/>
  <c r="F966" i="60"/>
  <c r="B966" i="60"/>
  <c r="F965" i="60"/>
  <c r="F964" i="60"/>
  <c r="B964" i="60"/>
  <c r="F963" i="60"/>
  <c r="F962" i="60"/>
  <c r="B962" i="60"/>
  <c r="F961" i="60"/>
  <c r="F960" i="60"/>
  <c r="B960" i="60"/>
  <c r="F959" i="60"/>
  <c r="F958" i="60"/>
  <c r="B958" i="60"/>
  <c r="F957" i="60"/>
  <c r="F956" i="60"/>
  <c r="B956" i="60"/>
  <c r="F955" i="60"/>
  <c r="F954" i="60"/>
  <c r="B954" i="60"/>
  <c r="F953" i="60"/>
  <c r="F952" i="60"/>
  <c r="B952" i="60"/>
  <c r="F951" i="60"/>
  <c r="F950" i="60"/>
  <c r="B950" i="60"/>
  <c r="F949" i="60"/>
  <c r="F948" i="60"/>
  <c r="B948" i="60"/>
  <c r="F947" i="60"/>
  <c r="F946" i="60"/>
  <c r="B946" i="60"/>
  <c r="F945" i="60"/>
  <c r="F944" i="60"/>
  <c r="B944" i="60"/>
  <c r="F943" i="60"/>
  <c r="F942" i="60"/>
  <c r="B942" i="60"/>
  <c r="F941" i="60"/>
  <c r="F940" i="60"/>
  <c r="B940" i="60"/>
  <c r="F939" i="60"/>
  <c r="F938" i="60"/>
  <c r="B938" i="60"/>
  <c r="F937" i="60"/>
  <c r="F936" i="60"/>
  <c r="B936" i="60"/>
  <c r="F935" i="60"/>
  <c r="F934" i="60"/>
  <c r="B934" i="60"/>
  <c r="F933" i="60"/>
  <c r="F932" i="60"/>
  <c r="B932" i="60"/>
  <c r="F931" i="60"/>
  <c r="F930" i="60"/>
  <c r="B930" i="60"/>
  <c r="F929" i="60"/>
  <c r="F928" i="60"/>
  <c r="B928" i="60"/>
  <c r="F927" i="60"/>
  <c r="F926" i="60"/>
  <c r="B926" i="60"/>
  <c r="F925" i="60"/>
  <c r="F924" i="60"/>
  <c r="B924" i="60"/>
  <c r="F923" i="60"/>
  <c r="F922" i="60"/>
  <c r="B922" i="60"/>
  <c r="F921" i="60"/>
  <c r="F920" i="60"/>
  <c r="B920" i="60"/>
  <c r="F919" i="60"/>
  <c r="F918" i="60"/>
  <c r="B918" i="60"/>
  <c r="F917" i="60"/>
  <c r="F916" i="60"/>
  <c r="B916" i="60"/>
  <c r="F915" i="60"/>
  <c r="F914" i="60"/>
  <c r="B914" i="60"/>
  <c r="F913" i="60"/>
  <c r="F912" i="60"/>
  <c r="B912" i="60"/>
  <c r="F911" i="60"/>
  <c r="F910" i="60"/>
  <c r="B910" i="60"/>
  <c r="F909" i="60"/>
  <c r="F908" i="60"/>
  <c r="B908" i="60"/>
  <c r="F907" i="60"/>
  <c r="F906" i="60"/>
  <c r="B906" i="60"/>
  <c r="F905" i="60"/>
  <c r="F904" i="60"/>
  <c r="B904" i="60"/>
  <c r="F903" i="60"/>
  <c r="F902" i="60"/>
  <c r="B902" i="60"/>
  <c r="F901" i="60"/>
  <c r="F900" i="60"/>
  <c r="B900" i="60"/>
  <c r="F899" i="60"/>
  <c r="F898" i="60"/>
  <c r="B898" i="60"/>
  <c r="F897" i="60"/>
  <c r="F896" i="60"/>
  <c r="B896" i="60"/>
  <c r="F895" i="60"/>
  <c r="F894" i="60"/>
  <c r="B894" i="60"/>
  <c r="F893" i="60"/>
  <c r="F892" i="60"/>
  <c r="B892" i="60"/>
  <c r="F891" i="60"/>
  <c r="F890" i="60"/>
  <c r="B890" i="60"/>
  <c r="F889" i="60"/>
  <c r="F888" i="60"/>
  <c r="B888" i="60"/>
  <c r="F887" i="60"/>
  <c r="F886" i="60"/>
  <c r="B886" i="60"/>
  <c r="F885" i="60"/>
  <c r="F884" i="60"/>
  <c r="B884" i="60"/>
  <c r="F883" i="60"/>
  <c r="F882" i="60"/>
  <c r="B882" i="60"/>
  <c r="F881" i="60"/>
  <c r="F880" i="60"/>
  <c r="B880" i="60"/>
  <c r="F879" i="60"/>
  <c r="F878" i="60"/>
  <c r="B878" i="60"/>
  <c r="F877" i="60"/>
  <c r="F876" i="60"/>
  <c r="B876" i="60"/>
  <c r="F875" i="60"/>
  <c r="F874" i="60"/>
  <c r="B874" i="60"/>
  <c r="F873" i="60"/>
  <c r="F872" i="60"/>
  <c r="B872" i="60"/>
  <c r="F871" i="60"/>
  <c r="F870" i="60"/>
  <c r="B870" i="60"/>
  <c r="F869" i="60"/>
  <c r="F868" i="60"/>
  <c r="B868" i="60"/>
  <c r="F867" i="60"/>
  <c r="F866" i="60"/>
  <c r="B866" i="60"/>
  <c r="F865" i="60"/>
  <c r="F864" i="60"/>
  <c r="B864" i="60"/>
  <c r="F863" i="60"/>
  <c r="F862" i="60"/>
  <c r="B862" i="60"/>
  <c r="F861" i="60"/>
  <c r="F860" i="60"/>
  <c r="B860" i="60"/>
  <c r="F859" i="60"/>
  <c r="F858" i="60"/>
  <c r="B858" i="60"/>
  <c r="F857" i="60"/>
  <c r="F856" i="60"/>
  <c r="B856" i="60"/>
  <c r="F855" i="60"/>
  <c r="F854" i="60"/>
  <c r="B854" i="60"/>
  <c r="F853" i="60"/>
  <c r="F852" i="60"/>
  <c r="B852" i="60"/>
  <c r="F851" i="60"/>
  <c r="F850" i="60"/>
  <c r="B850" i="60"/>
  <c r="F849" i="60"/>
  <c r="F848" i="60"/>
  <c r="B848" i="60"/>
  <c r="F847" i="60"/>
  <c r="F846" i="60"/>
  <c r="B846" i="60"/>
  <c r="F845" i="60"/>
  <c r="F844" i="60"/>
  <c r="B844" i="60"/>
  <c r="F843" i="60"/>
  <c r="F842" i="60"/>
  <c r="B842" i="60"/>
  <c r="F841" i="60"/>
  <c r="F840" i="60"/>
  <c r="B840" i="60"/>
  <c r="F839" i="60"/>
  <c r="F838" i="60"/>
  <c r="B838" i="60"/>
  <c r="F837" i="60"/>
  <c r="F836" i="60"/>
  <c r="B836" i="60"/>
  <c r="F835" i="60"/>
  <c r="F834" i="60"/>
  <c r="B834" i="60"/>
  <c r="F833" i="60"/>
  <c r="F832" i="60"/>
  <c r="B832" i="60"/>
  <c r="F831" i="60"/>
  <c r="F830" i="60"/>
  <c r="B830" i="60"/>
  <c r="F829" i="60"/>
  <c r="F828" i="60"/>
  <c r="B828" i="60"/>
  <c r="F827" i="60"/>
  <c r="F826" i="60"/>
  <c r="B826" i="60"/>
  <c r="F825" i="60"/>
  <c r="F824" i="60"/>
  <c r="B824" i="60"/>
  <c r="F823" i="60"/>
  <c r="F822" i="60"/>
  <c r="B822" i="60"/>
  <c r="F821" i="60"/>
  <c r="F820" i="60"/>
  <c r="B820" i="60"/>
  <c r="F819" i="60"/>
  <c r="F818" i="60"/>
  <c r="B818" i="60"/>
  <c r="F817" i="60"/>
  <c r="F816" i="60"/>
  <c r="B816" i="60"/>
  <c r="F815" i="60"/>
  <c r="F814" i="60"/>
  <c r="B814" i="60"/>
  <c r="F813" i="60"/>
  <c r="F812" i="60"/>
  <c r="B812" i="60"/>
  <c r="F811" i="60"/>
  <c r="F810" i="60"/>
  <c r="B810" i="60"/>
  <c r="F809" i="60"/>
  <c r="F808" i="60"/>
  <c r="B808" i="60"/>
  <c r="F807" i="60"/>
  <c r="F806" i="60"/>
  <c r="B806" i="60"/>
  <c r="F805" i="60"/>
  <c r="F804" i="60"/>
  <c r="B804" i="60"/>
  <c r="F803" i="60"/>
  <c r="F802" i="60"/>
  <c r="B802" i="60"/>
  <c r="F801" i="60"/>
  <c r="F800" i="60"/>
  <c r="B800" i="60"/>
  <c r="F799" i="60"/>
  <c r="F798" i="60"/>
  <c r="B798" i="60"/>
  <c r="F797" i="60"/>
  <c r="F796" i="60"/>
  <c r="B796" i="60"/>
  <c r="F795" i="60"/>
  <c r="F794" i="60"/>
  <c r="B794" i="60"/>
  <c r="F793" i="60"/>
  <c r="F792" i="60"/>
  <c r="B792" i="60"/>
  <c r="F791" i="60"/>
  <c r="F790" i="60"/>
  <c r="B790" i="60"/>
  <c r="F789" i="60"/>
  <c r="F788" i="60"/>
  <c r="B788" i="60"/>
  <c r="F787" i="60"/>
  <c r="F786" i="60"/>
  <c r="B786" i="60"/>
  <c r="F785" i="60"/>
  <c r="F784" i="60"/>
  <c r="B784" i="60"/>
  <c r="F783" i="60"/>
  <c r="F782" i="60"/>
  <c r="B782" i="60"/>
  <c r="F781" i="60"/>
  <c r="F780" i="60"/>
  <c r="B780" i="60"/>
  <c r="F779" i="60"/>
  <c r="F778" i="60"/>
  <c r="B778" i="60"/>
  <c r="F777" i="60"/>
  <c r="F776" i="60"/>
  <c r="B776" i="60"/>
  <c r="F775" i="60"/>
  <c r="F774" i="60"/>
  <c r="B774" i="60"/>
  <c r="F773" i="60"/>
  <c r="F772" i="60"/>
  <c r="B772" i="60"/>
  <c r="F771" i="60"/>
  <c r="F770" i="60"/>
  <c r="B770" i="60"/>
  <c r="F769" i="60"/>
  <c r="F768" i="60"/>
  <c r="B768" i="60"/>
  <c r="F767" i="60"/>
  <c r="F766" i="60"/>
  <c r="B766" i="60"/>
  <c r="F765" i="60"/>
  <c r="F764" i="60"/>
  <c r="B764" i="60"/>
  <c r="F763" i="60"/>
  <c r="F762" i="60"/>
  <c r="B762" i="60"/>
  <c r="F761" i="60"/>
  <c r="F760" i="60"/>
  <c r="B760" i="60"/>
  <c r="F759" i="60"/>
  <c r="F758" i="60"/>
  <c r="B758" i="60"/>
  <c r="F757" i="60"/>
  <c r="F756" i="60"/>
  <c r="B756" i="60"/>
  <c r="F755" i="60"/>
  <c r="F754" i="60"/>
  <c r="B754" i="60"/>
  <c r="F753" i="60"/>
  <c r="F752" i="60"/>
  <c r="B752" i="60"/>
  <c r="F751" i="60"/>
  <c r="F750" i="60"/>
  <c r="B750" i="60"/>
  <c r="F749" i="60"/>
  <c r="F748" i="60"/>
  <c r="B748" i="60"/>
  <c r="F747" i="60"/>
  <c r="F746" i="60"/>
  <c r="B746" i="60"/>
  <c r="F745" i="60"/>
  <c r="F744" i="60"/>
  <c r="B744" i="60"/>
  <c r="F743" i="60"/>
  <c r="F742" i="60"/>
  <c r="B742" i="60"/>
  <c r="F741" i="60"/>
  <c r="F740" i="60"/>
  <c r="B740" i="60"/>
  <c r="F739" i="60"/>
  <c r="F738" i="60"/>
  <c r="B738" i="60"/>
  <c r="F737" i="60"/>
  <c r="F736" i="60"/>
  <c r="B736" i="60"/>
  <c r="F735" i="60"/>
  <c r="F734" i="60"/>
  <c r="B734" i="60"/>
  <c r="F733" i="60"/>
  <c r="F732" i="60"/>
  <c r="B732" i="60"/>
  <c r="F731" i="60"/>
  <c r="F730" i="60"/>
  <c r="B730" i="60"/>
  <c r="F729" i="60"/>
  <c r="F728" i="60"/>
  <c r="B728" i="60"/>
  <c r="F727" i="60"/>
  <c r="F726" i="60"/>
  <c r="B726" i="60"/>
  <c r="F725" i="60"/>
  <c r="F724" i="60"/>
  <c r="B724" i="60"/>
  <c r="F723" i="60"/>
  <c r="F722" i="60"/>
  <c r="B722" i="60"/>
  <c r="F721" i="60"/>
  <c r="F720" i="60"/>
  <c r="B720" i="60"/>
  <c r="F719" i="60"/>
  <c r="F718" i="60"/>
  <c r="B718" i="60"/>
  <c r="F717" i="60"/>
  <c r="F716" i="60"/>
  <c r="B716" i="60"/>
  <c r="F715" i="60"/>
  <c r="F714" i="60"/>
  <c r="B714" i="60"/>
  <c r="F713" i="60"/>
  <c r="F712" i="60"/>
  <c r="B712" i="60"/>
  <c r="F711" i="60"/>
  <c r="F710" i="60"/>
  <c r="B710" i="60"/>
  <c r="F709" i="60"/>
  <c r="F708" i="60"/>
  <c r="B708" i="60"/>
  <c r="F707" i="60"/>
  <c r="F706" i="60"/>
  <c r="B706" i="60"/>
  <c r="F705" i="60"/>
  <c r="F704" i="60"/>
  <c r="B704" i="60"/>
  <c r="F703" i="60"/>
  <c r="F702" i="60"/>
  <c r="B702" i="60"/>
  <c r="F701" i="60"/>
  <c r="F700" i="60"/>
  <c r="B700" i="60"/>
  <c r="F699" i="60"/>
  <c r="F698" i="60"/>
  <c r="B698" i="60"/>
  <c r="F697" i="60"/>
  <c r="F696" i="60"/>
  <c r="B696" i="60"/>
  <c r="F695" i="60"/>
  <c r="F694" i="60"/>
  <c r="B694" i="60"/>
  <c r="F693" i="60"/>
  <c r="F692" i="60"/>
  <c r="B692" i="60"/>
  <c r="F691" i="60"/>
  <c r="F690" i="60"/>
  <c r="B690" i="60"/>
  <c r="F689" i="60"/>
  <c r="F688" i="60"/>
  <c r="B688" i="60"/>
  <c r="F687" i="60"/>
  <c r="F686" i="60"/>
  <c r="B686" i="60"/>
  <c r="F685" i="60"/>
  <c r="F684" i="60"/>
  <c r="B684" i="60"/>
  <c r="F683" i="60"/>
  <c r="F682" i="60"/>
  <c r="B682" i="60"/>
  <c r="F681" i="60"/>
  <c r="F680" i="60"/>
  <c r="B680" i="60"/>
  <c r="F679" i="60"/>
  <c r="F678" i="60"/>
  <c r="B678" i="60"/>
  <c r="F677" i="60"/>
  <c r="F676" i="60"/>
  <c r="B676" i="60"/>
  <c r="F675" i="60"/>
  <c r="F674" i="60"/>
  <c r="B674" i="60"/>
  <c r="F673" i="60"/>
  <c r="F672" i="60"/>
  <c r="B672" i="60"/>
  <c r="F671" i="60"/>
  <c r="F670" i="60"/>
  <c r="B670" i="60"/>
  <c r="F669" i="60"/>
  <c r="F668" i="60"/>
  <c r="B668" i="60"/>
  <c r="F667" i="60"/>
  <c r="F666" i="60"/>
  <c r="B666" i="60"/>
  <c r="F665" i="60"/>
  <c r="F664" i="60"/>
  <c r="B664" i="60"/>
  <c r="F663" i="60"/>
  <c r="F662" i="60"/>
  <c r="B662" i="60"/>
  <c r="F661" i="60"/>
  <c r="F660" i="60"/>
  <c r="B660" i="60"/>
  <c r="F659" i="60"/>
  <c r="F658" i="60"/>
  <c r="B658" i="60"/>
  <c r="F657" i="60"/>
  <c r="F656" i="60"/>
  <c r="B656" i="60"/>
  <c r="F655" i="60"/>
  <c r="F654" i="60"/>
  <c r="B654" i="60"/>
  <c r="F653" i="60"/>
  <c r="F652" i="60"/>
  <c r="B652" i="60"/>
  <c r="F651" i="60"/>
  <c r="F650" i="60"/>
  <c r="B650" i="60"/>
  <c r="F649" i="60"/>
  <c r="F648" i="60"/>
  <c r="B648" i="60"/>
  <c r="F647" i="60"/>
  <c r="F646" i="60"/>
  <c r="B646" i="60"/>
  <c r="F645" i="60"/>
  <c r="F644" i="60"/>
  <c r="B644" i="60"/>
  <c r="F643" i="60"/>
  <c r="F642" i="60"/>
  <c r="B642" i="60"/>
  <c r="F641" i="60"/>
  <c r="F640" i="60"/>
  <c r="B640" i="60"/>
  <c r="F639" i="60"/>
  <c r="F638" i="60"/>
  <c r="B638" i="60"/>
  <c r="F637" i="60"/>
  <c r="F636" i="60"/>
  <c r="B636" i="60"/>
  <c r="F635" i="60"/>
  <c r="F634" i="60"/>
  <c r="B634" i="60"/>
  <c r="F633" i="60"/>
  <c r="F632" i="60"/>
  <c r="B632" i="60"/>
  <c r="F631" i="60"/>
  <c r="F630" i="60"/>
  <c r="B630" i="60"/>
  <c r="F629" i="60"/>
  <c r="F628" i="60"/>
  <c r="B628" i="60"/>
  <c r="F627" i="60"/>
  <c r="F626" i="60"/>
  <c r="B626" i="60"/>
  <c r="F625" i="60"/>
  <c r="F624" i="60"/>
  <c r="B624" i="60"/>
  <c r="F623" i="60"/>
  <c r="F622" i="60"/>
  <c r="B622" i="60"/>
  <c r="F621" i="60"/>
  <c r="F620" i="60"/>
  <c r="B620" i="60"/>
  <c r="F619" i="60"/>
  <c r="F618" i="60"/>
  <c r="B618" i="60"/>
  <c r="F617" i="60"/>
  <c r="F616" i="60"/>
  <c r="B616" i="60"/>
  <c r="F615" i="60"/>
  <c r="F614" i="60"/>
  <c r="B614" i="60"/>
  <c r="F613" i="60"/>
  <c r="F612" i="60"/>
  <c r="B612" i="60"/>
  <c r="F611" i="60"/>
  <c r="F610" i="60"/>
  <c r="B610" i="60"/>
  <c r="F609" i="60"/>
  <c r="F608" i="60"/>
  <c r="B608" i="60"/>
  <c r="F607" i="60"/>
  <c r="F606" i="60"/>
  <c r="B606" i="60"/>
  <c r="F605" i="60"/>
  <c r="F604" i="60"/>
  <c r="B604" i="60"/>
  <c r="F603" i="60"/>
  <c r="F602" i="60"/>
  <c r="B602" i="60"/>
  <c r="F601" i="60"/>
  <c r="F600" i="60"/>
  <c r="B600" i="60"/>
  <c r="F599" i="60"/>
  <c r="F598" i="60"/>
  <c r="B598" i="60"/>
  <c r="F597" i="60"/>
  <c r="F596" i="60"/>
  <c r="B596" i="60"/>
  <c r="F595" i="60"/>
  <c r="F594" i="60"/>
  <c r="B594" i="60"/>
  <c r="F593" i="60"/>
  <c r="F592" i="60"/>
  <c r="B592" i="60"/>
  <c r="F591" i="60"/>
  <c r="F590" i="60"/>
  <c r="B590" i="60"/>
  <c r="F589" i="60"/>
  <c r="F588" i="60"/>
  <c r="B588" i="60"/>
  <c r="F587" i="60"/>
  <c r="F586" i="60"/>
  <c r="B586" i="60"/>
  <c r="F585" i="60"/>
  <c r="F584" i="60"/>
  <c r="B584" i="60"/>
  <c r="F583" i="60"/>
  <c r="F582" i="60"/>
  <c r="B582" i="60"/>
  <c r="F581" i="60"/>
  <c r="F580" i="60"/>
  <c r="B580" i="60"/>
  <c r="F579" i="60"/>
  <c r="F578" i="60"/>
  <c r="B578" i="60"/>
  <c r="F577" i="60"/>
  <c r="F576" i="60"/>
  <c r="B576" i="60"/>
  <c r="F575" i="60"/>
  <c r="F574" i="60"/>
  <c r="F573" i="60"/>
  <c r="F572" i="60"/>
  <c r="F571" i="60"/>
  <c r="F570" i="60"/>
  <c r="F569" i="60"/>
  <c r="F568" i="60"/>
  <c r="F567" i="60"/>
  <c r="F566" i="60"/>
  <c r="F565" i="60"/>
  <c r="F564" i="60"/>
  <c r="F563" i="60"/>
  <c r="F562" i="60"/>
  <c r="F561" i="60"/>
  <c r="F560" i="60"/>
  <c r="F559" i="60"/>
  <c r="F558" i="60"/>
  <c r="F557" i="60"/>
  <c r="F556" i="60"/>
  <c r="F555" i="60"/>
  <c r="F554" i="60"/>
  <c r="F553" i="60"/>
  <c r="F552" i="60"/>
  <c r="F551" i="60"/>
  <c r="F550" i="60"/>
  <c r="F549" i="60"/>
  <c r="F548" i="60"/>
  <c r="F547" i="60"/>
  <c r="F546" i="60"/>
  <c r="F545" i="60"/>
  <c r="F544" i="60"/>
  <c r="F543" i="60"/>
  <c r="F542" i="60"/>
  <c r="F541" i="60"/>
  <c r="F540" i="60"/>
  <c r="F539" i="60"/>
  <c r="F538" i="60"/>
  <c r="F537" i="60"/>
  <c r="F536" i="60"/>
  <c r="F535" i="60"/>
  <c r="F534" i="60"/>
  <c r="F533" i="60"/>
  <c r="F532" i="60"/>
  <c r="F531" i="60"/>
  <c r="F530" i="60"/>
  <c r="F529" i="60"/>
  <c r="F528" i="60"/>
  <c r="F527" i="60"/>
  <c r="F526" i="60"/>
  <c r="F525" i="60"/>
  <c r="F524" i="60"/>
  <c r="F523" i="60"/>
  <c r="F522" i="60"/>
  <c r="F521" i="60"/>
  <c r="F520" i="60"/>
  <c r="F519" i="60"/>
  <c r="F518" i="60"/>
  <c r="F517" i="60"/>
  <c r="F516" i="60"/>
  <c r="F515" i="60"/>
  <c r="F514" i="60"/>
  <c r="F513" i="60"/>
  <c r="F512" i="60"/>
  <c r="F511" i="60"/>
  <c r="F510" i="60"/>
  <c r="F509" i="60"/>
  <c r="F508" i="60"/>
  <c r="F507" i="60"/>
  <c r="F506" i="60"/>
  <c r="F505" i="60"/>
  <c r="F504" i="60"/>
  <c r="F503" i="60"/>
  <c r="F502" i="60"/>
  <c r="B502" i="60"/>
  <c r="F501" i="60"/>
  <c r="F500" i="60"/>
  <c r="B500" i="60"/>
  <c r="F499" i="60"/>
  <c r="F498" i="60"/>
  <c r="B498" i="60"/>
  <c r="F497" i="60"/>
  <c r="F496" i="60"/>
  <c r="B496" i="60"/>
  <c r="F495" i="60"/>
  <c r="F494" i="60"/>
  <c r="B494" i="60"/>
  <c r="F493" i="60"/>
  <c r="F492" i="60"/>
  <c r="B492" i="60"/>
  <c r="F491" i="60"/>
  <c r="F490" i="60"/>
  <c r="B490" i="60"/>
  <c r="F489" i="60"/>
  <c r="F488" i="60"/>
  <c r="B488" i="60"/>
  <c r="F487" i="60"/>
  <c r="F486" i="60"/>
  <c r="B486" i="60"/>
  <c r="F485" i="60"/>
  <c r="F484" i="60"/>
  <c r="B484" i="60"/>
  <c r="F483" i="60"/>
  <c r="F482" i="60"/>
  <c r="B482" i="60"/>
  <c r="F481" i="60"/>
  <c r="F480" i="60"/>
  <c r="B480" i="60"/>
  <c r="F479" i="60"/>
  <c r="F478" i="60"/>
  <c r="B478" i="60"/>
  <c r="F477" i="60"/>
  <c r="F476" i="60"/>
  <c r="B476" i="60"/>
  <c r="F475" i="60"/>
  <c r="F474" i="60"/>
  <c r="B474" i="60"/>
  <c r="F473" i="60"/>
  <c r="F472" i="60"/>
  <c r="B472" i="60"/>
  <c r="F471" i="60"/>
  <c r="F470" i="60"/>
  <c r="B470" i="60"/>
  <c r="F469" i="60"/>
  <c r="F468" i="60"/>
  <c r="B468" i="60"/>
  <c r="F467" i="60"/>
  <c r="F466" i="60"/>
  <c r="B466" i="60"/>
  <c r="F465" i="60"/>
  <c r="F464" i="60"/>
  <c r="B464" i="60"/>
  <c r="F463" i="60"/>
  <c r="F462" i="60"/>
  <c r="B462" i="60"/>
  <c r="F461" i="60"/>
  <c r="F460" i="60"/>
  <c r="B460" i="60"/>
  <c r="F459" i="60"/>
  <c r="F458" i="60"/>
  <c r="B458" i="60"/>
  <c r="F457" i="60"/>
  <c r="F456" i="60"/>
  <c r="B456" i="60"/>
  <c r="F455" i="60"/>
  <c r="F454" i="60"/>
  <c r="B454" i="60"/>
  <c r="F453" i="60"/>
  <c r="F452" i="60"/>
  <c r="B452" i="60"/>
  <c r="F451" i="60"/>
  <c r="F450" i="60"/>
  <c r="B450" i="60"/>
  <c r="F449" i="60"/>
  <c r="F448" i="60"/>
  <c r="B448" i="60"/>
  <c r="F447" i="60"/>
  <c r="F446" i="60"/>
  <c r="B446" i="60"/>
  <c r="F445" i="60"/>
  <c r="F444" i="60"/>
  <c r="B444" i="60"/>
  <c r="F443" i="60"/>
  <c r="F442" i="60"/>
  <c r="B442" i="60"/>
  <c r="F441" i="60"/>
  <c r="F440" i="60"/>
  <c r="B440" i="60"/>
  <c r="F439" i="60"/>
  <c r="F438" i="60"/>
  <c r="B438" i="60"/>
  <c r="F437" i="60"/>
  <c r="F436" i="60"/>
  <c r="B436" i="60"/>
  <c r="F435" i="60"/>
  <c r="F434" i="60"/>
  <c r="B434" i="60"/>
  <c r="F433" i="60"/>
  <c r="F432" i="60"/>
  <c r="B432" i="60"/>
  <c r="F431" i="60"/>
  <c r="F430" i="60"/>
  <c r="B430" i="60"/>
  <c r="F429" i="60"/>
  <c r="F428" i="60"/>
  <c r="B428" i="60"/>
  <c r="F427" i="60"/>
  <c r="F426" i="60"/>
  <c r="B426" i="60"/>
  <c r="F425" i="60"/>
  <c r="F424" i="60"/>
  <c r="B424" i="60"/>
  <c r="F423" i="60"/>
  <c r="F422" i="60"/>
  <c r="B422" i="60"/>
  <c r="F421" i="60"/>
  <c r="F420" i="60"/>
  <c r="B420" i="60"/>
  <c r="F419" i="60"/>
  <c r="F418" i="60"/>
  <c r="B418" i="60"/>
  <c r="F417" i="60"/>
  <c r="F416" i="60"/>
  <c r="B416" i="60"/>
  <c r="F415" i="60"/>
  <c r="F414" i="60"/>
  <c r="B414" i="60"/>
  <c r="F413" i="60"/>
  <c r="F412" i="60"/>
  <c r="B412" i="60"/>
  <c r="F411" i="60"/>
  <c r="F410" i="60"/>
  <c r="B410" i="60"/>
  <c r="F409" i="60"/>
  <c r="F408" i="60"/>
  <c r="B408" i="60"/>
  <c r="F407" i="60"/>
  <c r="F406" i="60"/>
  <c r="B406" i="60"/>
  <c r="F405" i="60"/>
  <c r="F404" i="60"/>
  <c r="B404" i="60"/>
  <c r="F403" i="60"/>
  <c r="F402" i="60"/>
  <c r="B402" i="60"/>
  <c r="F401" i="60"/>
  <c r="F400" i="60"/>
  <c r="B400" i="60"/>
  <c r="F399" i="60"/>
  <c r="F398" i="60"/>
  <c r="B398" i="60"/>
  <c r="F397" i="60"/>
  <c r="F396" i="60"/>
  <c r="B396" i="60"/>
  <c r="F395" i="60"/>
  <c r="F394" i="60"/>
  <c r="B394" i="60"/>
  <c r="F393" i="60"/>
  <c r="F392" i="60"/>
  <c r="B392" i="60"/>
  <c r="F391" i="60"/>
  <c r="F390" i="60"/>
  <c r="B390" i="60"/>
  <c r="F389" i="60"/>
  <c r="F388" i="60"/>
  <c r="B388" i="60"/>
  <c r="F387" i="60"/>
  <c r="F386" i="60"/>
  <c r="B386" i="60"/>
  <c r="F385" i="60"/>
  <c r="F384" i="60"/>
  <c r="B384" i="60"/>
  <c r="F383" i="60"/>
  <c r="F382" i="60"/>
  <c r="B382" i="60"/>
  <c r="F381" i="60"/>
  <c r="F380" i="60"/>
  <c r="B380" i="60"/>
  <c r="F379" i="60"/>
  <c r="F378" i="60"/>
  <c r="B378" i="60"/>
  <c r="F377" i="60"/>
  <c r="F376" i="60"/>
  <c r="B376" i="60"/>
  <c r="F375" i="60"/>
  <c r="F374" i="60"/>
  <c r="B374" i="60"/>
  <c r="F373" i="60"/>
  <c r="F372" i="60"/>
  <c r="B372" i="60"/>
  <c r="F371" i="60"/>
  <c r="F370" i="60"/>
  <c r="B370" i="60"/>
  <c r="F369" i="60"/>
  <c r="F368" i="60"/>
  <c r="B368" i="60"/>
  <c r="F367" i="60"/>
  <c r="F366" i="60"/>
  <c r="B366" i="60"/>
  <c r="F365" i="60"/>
  <c r="F364" i="60"/>
  <c r="B364" i="60"/>
  <c r="F363" i="60"/>
  <c r="F362" i="60"/>
  <c r="B362" i="60"/>
  <c r="F361" i="60"/>
  <c r="F360" i="60"/>
  <c r="B360" i="60"/>
  <c r="F359" i="60"/>
  <c r="F358" i="60"/>
  <c r="B358" i="60"/>
  <c r="F357" i="60"/>
  <c r="F356" i="60"/>
  <c r="B356" i="60"/>
  <c r="F355" i="60"/>
  <c r="F354" i="60"/>
  <c r="B354" i="60"/>
  <c r="F353" i="60"/>
  <c r="F352" i="60"/>
  <c r="B352" i="60"/>
  <c r="F351" i="60"/>
  <c r="F350" i="60"/>
  <c r="B350" i="60"/>
  <c r="F349" i="60"/>
  <c r="F348" i="60"/>
  <c r="B348" i="60"/>
  <c r="F347" i="60"/>
  <c r="F346" i="60"/>
  <c r="F345" i="60"/>
  <c r="F344" i="60"/>
  <c r="F343" i="60"/>
  <c r="F342" i="60"/>
  <c r="F341" i="60"/>
  <c r="F340" i="60"/>
  <c r="F339" i="60"/>
  <c r="F338" i="60"/>
  <c r="F337" i="60"/>
  <c r="F336" i="60"/>
  <c r="F335" i="60"/>
  <c r="F334" i="60"/>
  <c r="F333" i="60"/>
  <c r="F332" i="60"/>
  <c r="F331" i="60"/>
  <c r="F330" i="60"/>
  <c r="F329" i="60"/>
  <c r="F328" i="60"/>
  <c r="F327" i="60"/>
  <c r="F326" i="60"/>
  <c r="F325" i="60"/>
  <c r="F324" i="60"/>
  <c r="F323" i="60"/>
  <c r="F322" i="60"/>
  <c r="F321" i="60"/>
  <c r="F320" i="60"/>
  <c r="F319" i="60"/>
  <c r="F318" i="60"/>
  <c r="F317" i="60"/>
  <c r="F316" i="60"/>
  <c r="F315" i="60"/>
  <c r="F314" i="60"/>
  <c r="F313" i="60"/>
  <c r="F312" i="60"/>
  <c r="F311" i="60"/>
  <c r="F310" i="60"/>
  <c r="F309" i="60"/>
  <c r="F308" i="60"/>
  <c r="F307" i="60"/>
  <c r="F306" i="60"/>
  <c r="F305" i="60"/>
  <c r="F304" i="60"/>
  <c r="F303" i="60"/>
  <c r="F302" i="60"/>
  <c r="F301" i="60"/>
  <c r="F300" i="60"/>
  <c r="F299" i="60"/>
  <c r="F298" i="60"/>
  <c r="F297" i="60"/>
  <c r="F296" i="60"/>
  <c r="F295" i="60"/>
  <c r="F294" i="60"/>
  <c r="F293" i="60"/>
  <c r="F292" i="60"/>
  <c r="F291" i="60"/>
  <c r="F290" i="60"/>
  <c r="F289" i="60"/>
  <c r="F288" i="60"/>
  <c r="F287" i="60"/>
  <c r="F286" i="60"/>
  <c r="F285" i="60"/>
  <c r="F284" i="60"/>
  <c r="F283" i="60"/>
  <c r="F282" i="60"/>
  <c r="F281" i="60"/>
  <c r="F280" i="60"/>
  <c r="F279" i="60"/>
  <c r="F278" i="60"/>
  <c r="F277" i="60"/>
  <c r="F276" i="60"/>
  <c r="F275" i="60"/>
  <c r="F274" i="60"/>
  <c r="F273" i="60"/>
  <c r="F272" i="60"/>
  <c r="F271" i="60"/>
  <c r="F270" i="60"/>
  <c r="F269" i="60"/>
  <c r="F268" i="60"/>
  <c r="F267" i="60"/>
  <c r="F266" i="60"/>
  <c r="F265" i="60"/>
  <c r="F264" i="60"/>
  <c r="F263" i="60"/>
  <c r="F262" i="60"/>
  <c r="F261" i="60"/>
  <c r="F260" i="60"/>
  <c r="F259" i="60"/>
  <c r="F258" i="60"/>
  <c r="F257" i="60"/>
  <c r="F256" i="60"/>
  <c r="F255" i="60"/>
  <c r="F254" i="60"/>
  <c r="F253" i="60"/>
  <c r="F252" i="60"/>
  <c r="F251" i="60"/>
  <c r="F250" i="60"/>
  <c r="F249" i="60"/>
  <c r="F248" i="60"/>
  <c r="F247" i="60"/>
  <c r="F246" i="60"/>
  <c r="F245" i="60"/>
  <c r="F244" i="60"/>
  <c r="F243" i="60"/>
  <c r="F242" i="60"/>
  <c r="F241" i="60"/>
  <c r="F240" i="60"/>
  <c r="F239" i="60"/>
  <c r="F238" i="60"/>
  <c r="F237" i="60"/>
  <c r="F236" i="60"/>
  <c r="F235" i="60"/>
  <c r="F234" i="60"/>
  <c r="F233" i="60"/>
  <c r="F232" i="60"/>
  <c r="F231" i="60"/>
  <c r="F230" i="60"/>
  <c r="F229" i="60"/>
  <c r="F228" i="60"/>
  <c r="F227" i="60"/>
  <c r="F226" i="60"/>
  <c r="F225" i="60"/>
  <c r="F224" i="60"/>
  <c r="F223" i="60"/>
  <c r="F222" i="60"/>
  <c r="F221" i="60"/>
  <c r="F220" i="60"/>
  <c r="F219" i="60"/>
  <c r="F218" i="60"/>
  <c r="F217" i="60"/>
  <c r="F216" i="60"/>
  <c r="F215" i="60"/>
  <c r="F214" i="60"/>
  <c r="F213" i="60"/>
  <c r="F212" i="60"/>
  <c r="F211" i="60"/>
  <c r="F210" i="60"/>
  <c r="F209" i="60"/>
  <c r="F208" i="60"/>
  <c r="F207" i="60"/>
  <c r="F206" i="60"/>
  <c r="F205" i="60"/>
  <c r="F204" i="60"/>
  <c r="F203" i="60"/>
  <c r="F202" i="60"/>
  <c r="F201" i="60"/>
  <c r="F200" i="60"/>
  <c r="F199" i="60"/>
  <c r="F198" i="60"/>
  <c r="F197" i="60"/>
  <c r="F196" i="60"/>
  <c r="F195" i="60"/>
  <c r="F194" i="60"/>
  <c r="F193" i="60"/>
  <c r="F192" i="60"/>
  <c r="F191" i="60"/>
  <c r="F190" i="60"/>
  <c r="F189" i="60"/>
  <c r="F188" i="60"/>
  <c r="F187" i="60"/>
  <c r="F186" i="60"/>
  <c r="F185" i="60"/>
  <c r="F184" i="60"/>
  <c r="F183" i="60"/>
  <c r="F182" i="60"/>
  <c r="F181" i="60"/>
  <c r="F180" i="60"/>
  <c r="F179" i="60"/>
  <c r="F178" i="60"/>
  <c r="B178" i="60"/>
  <c r="F177" i="60"/>
  <c r="F176" i="60"/>
  <c r="B176" i="60"/>
  <c r="F175" i="60"/>
  <c r="F174" i="60"/>
  <c r="B174" i="60"/>
  <c r="F173" i="60"/>
  <c r="F172" i="60"/>
  <c r="B172" i="60"/>
  <c r="F171" i="60"/>
  <c r="F170" i="60"/>
  <c r="B170" i="60"/>
  <c r="F169" i="60"/>
  <c r="F168" i="60"/>
  <c r="B168" i="60"/>
  <c r="F167" i="60"/>
  <c r="F166" i="60"/>
  <c r="B166" i="60"/>
  <c r="F165" i="60"/>
  <c r="F164" i="60"/>
  <c r="B164" i="60"/>
  <c r="F163" i="60"/>
  <c r="F162" i="60"/>
  <c r="B162" i="60"/>
  <c r="F161" i="60"/>
  <c r="F160" i="60"/>
  <c r="B160" i="60"/>
  <c r="F159" i="60"/>
  <c r="F158" i="60"/>
  <c r="B158" i="60"/>
  <c r="F157" i="60"/>
  <c r="F156" i="60"/>
  <c r="B156" i="60"/>
  <c r="F155" i="60"/>
  <c r="F154" i="60"/>
  <c r="B154" i="60"/>
  <c r="F153" i="60"/>
  <c r="F152" i="60"/>
  <c r="B152" i="60"/>
  <c r="F151" i="60"/>
  <c r="F150" i="60"/>
  <c r="B150" i="60"/>
  <c r="F149" i="60"/>
  <c r="F148" i="60"/>
  <c r="B148" i="60"/>
  <c r="F147" i="60"/>
  <c r="F146" i="60"/>
  <c r="B146" i="60"/>
  <c r="F145" i="60"/>
  <c r="F144" i="60"/>
  <c r="B144" i="60"/>
  <c r="F143" i="60"/>
  <c r="F142" i="60"/>
  <c r="B142" i="60"/>
  <c r="F141" i="60"/>
  <c r="F140" i="60"/>
  <c r="B140" i="60"/>
  <c r="F139" i="60"/>
  <c r="F138" i="60"/>
  <c r="B138" i="60"/>
  <c r="F137" i="60"/>
  <c r="F136" i="60"/>
  <c r="B136" i="60"/>
  <c r="F135" i="60"/>
  <c r="F134" i="60"/>
  <c r="B134" i="60"/>
  <c r="F133" i="60"/>
  <c r="F132" i="60"/>
  <c r="B132" i="60"/>
  <c r="F131" i="60"/>
  <c r="F130" i="60"/>
  <c r="B130" i="60"/>
  <c r="F129" i="60"/>
  <c r="F128" i="60"/>
  <c r="B128" i="60"/>
  <c r="F127" i="60"/>
  <c r="F126" i="60"/>
  <c r="B126" i="60"/>
  <c r="F125" i="60"/>
  <c r="F124" i="60"/>
  <c r="B124" i="60"/>
  <c r="F123" i="60"/>
  <c r="F122" i="60"/>
  <c r="B122" i="60"/>
  <c r="F121" i="60"/>
  <c r="F120" i="60"/>
  <c r="B120" i="60"/>
  <c r="F119" i="60"/>
  <c r="F118" i="60"/>
  <c r="B118" i="60"/>
  <c r="F117" i="60"/>
  <c r="F116" i="60"/>
  <c r="B116" i="60"/>
  <c r="F115" i="60"/>
  <c r="F114" i="60"/>
  <c r="B114" i="60"/>
  <c r="F113" i="60"/>
  <c r="F112" i="60"/>
  <c r="B112" i="60"/>
  <c r="F111" i="60"/>
  <c r="F110" i="60"/>
  <c r="B110" i="60"/>
  <c r="F109" i="60"/>
  <c r="F108" i="60"/>
  <c r="B108" i="60"/>
  <c r="F107" i="60"/>
  <c r="F106" i="60"/>
  <c r="B106" i="60"/>
  <c r="F105" i="60"/>
  <c r="F104" i="60"/>
  <c r="B104" i="60"/>
  <c r="F103" i="60"/>
  <c r="F102" i="60"/>
  <c r="B102" i="60"/>
  <c r="F101" i="60"/>
  <c r="F100" i="60"/>
  <c r="B100" i="60"/>
  <c r="F99" i="60"/>
  <c r="F98" i="60"/>
  <c r="B98" i="60"/>
  <c r="F97" i="60"/>
  <c r="F96" i="60"/>
  <c r="B96" i="60"/>
  <c r="F95" i="60"/>
  <c r="F94" i="60"/>
  <c r="B94" i="60"/>
  <c r="F93" i="60"/>
  <c r="F92" i="60"/>
  <c r="B92" i="60"/>
  <c r="F91" i="60"/>
  <c r="F90" i="60"/>
  <c r="B90" i="60"/>
  <c r="F89" i="60"/>
  <c r="F88" i="60"/>
  <c r="B88" i="60"/>
  <c r="F87" i="60"/>
  <c r="F86" i="60"/>
  <c r="B86" i="60"/>
  <c r="F85" i="60"/>
  <c r="F84" i="60"/>
  <c r="B84" i="60"/>
  <c r="F83" i="60"/>
  <c r="F82" i="60"/>
  <c r="B82" i="60"/>
  <c r="F81" i="60"/>
  <c r="F80" i="60"/>
  <c r="B80" i="60"/>
  <c r="F79" i="60"/>
  <c r="F78" i="60"/>
  <c r="B78" i="60"/>
  <c r="F77" i="60"/>
  <c r="F76" i="60"/>
  <c r="B76" i="60"/>
  <c r="F75" i="60"/>
  <c r="F74" i="60"/>
  <c r="B74" i="60"/>
  <c r="F73" i="60"/>
  <c r="F72" i="60"/>
  <c r="B72" i="60"/>
  <c r="F71" i="60"/>
  <c r="F70" i="60"/>
  <c r="B70" i="60"/>
  <c r="F69" i="60"/>
  <c r="F68" i="60"/>
  <c r="B68" i="60"/>
  <c r="F67" i="60"/>
  <c r="F66" i="60"/>
  <c r="B66" i="60"/>
  <c r="F65" i="60"/>
  <c r="F64" i="60"/>
  <c r="B64" i="60"/>
  <c r="F63" i="60"/>
  <c r="F62" i="60"/>
  <c r="F61" i="60"/>
  <c r="F60" i="60"/>
  <c r="F59" i="60"/>
  <c r="F58" i="60"/>
  <c r="F57" i="60"/>
  <c r="F56" i="60"/>
  <c r="F55" i="60"/>
  <c r="F54" i="60"/>
  <c r="F53" i="60"/>
  <c r="F52" i="60"/>
  <c r="F51" i="60"/>
  <c r="F50" i="60"/>
  <c r="F49" i="60"/>
  <c r="F48" i="60"/>
  <c r="F47" i="60"/>
  <c r="F46" i="60"/>
  <c r="B46" i="60"/>
  <c r="F45" i="60"/>
  <c r="F44" i="60"/>
  <c r="B44" i="60"/>
  <c r="F43" i="60"/>
  <c r="F42" i="60"/>
  <c r="B42" i="60"/>
  <c r="F41" i="60"/>
  <c r="F40" i="60"/>
  <c r="B40" i="60"/>
  <c r="F39" i="60"/>
  <c r="F38" i="60"/>
  <c r="B38" i="60"/>
  <c r="F37" i="60"/>
  <c r="F36" i="60"/>
  <c r="B36" i="60"/>
  <c r="F35" i="60"/>
  <c r="F34" i="60"/>
  <c r="B34" i="60"/>
  <c r="F33" i="60"/>
  <c r="F32" i="60"/>
  <c r="B32" i="60"/>
  <c r="F31" i="60"/>
  <c r="F30" i="60"/>
  <c r="F29" i="60"/>
  <c r="F28" i="60"/>
  <c r="F27" i="60"/>
  <c r="F26" i="60"/>
  <c r="F25" i="60"/>
  <c r="F24" i="60"/>
  <c r="F23" i="60"/>
  <c r="G22" i="60"/>
  <c r="F22" i="60"/>
  <c r="F21" i="60"/>
  <c r="G20" i="60"/>
  <c r="F20" i="60"/>
  <c r="F19" i="60"/>
  <c r="F18" i="60"/>
  <c r="F17" i="60"/>
  <c r="G16" i="60"/>
  <c r="F16" i="60"/>
  <c r="F15" i="60"/>
  <c r="G14" i="60"/>
  <c r="F14" i="60"/>
  <c r="F13" i="60"/>
  <c r="K10" i="60"/>
  <c r="G10" i="60"/>
  <c r="C3" i="43"/>
  <c r="H5" i="46"/>
  <c r="B15" i="43" a="1"/>
  <c r="H6" i="46"/>
  <c r="H7" i="46"/>
  <c r="AE23" i="41" a="1"/>
  <c r="Q15" i="41" a="1"/>
  <c r="F3191" i="60"/>
  <c r="D10" i="60"/>
  <c r="I6" i="46" a="1"/>
  <c r="I7" i="46" a="1"/>
  <c r="AG16" i="41" a="1"/>
  <c r="AF16" i="41" a="1"/>
  <c r="AA18" i="41" a="1"/>
  <c r="H16" i="41"/>
  <c r="B2" i="46"/>
  <c r="C15" i="41" l="1"/>
  <c r="Z18" i="41" s="1" a="1"/>
  <c r="I13" i="39"/>
  <c r="B11" i="38" s="1"/>
  <c r="F13" i="39"/>
  <c r="B12" i="38" s="1"/>
  <c r="C13" i="39"/>
  <c r="B13" i="3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01838E-4A6C-4A1B-8F97-8EDD694E39BD}" keepAlive="1" name="Consulta - Table001 (Page 1)" description="Conexión a la consulta 'Table001 (Page 1)' en el libro." type="5" refreshedVersion="0" background="1">
    <dbPr connection="Provider=Microsoft.Mashup.OleDb.1;Data Source=$Workbook$;Location=&quot;Table001 (Page 1)&quot;;Extended Properties=&quot;&quot;" command="SELECT * FROM [Table001 (Page 1)]"/>
  </connection>
  <connection id="2" xr16:uid="{F3693D4A-B156-4C61-AF63-C9EC1FD5B499}" keepAlive="1" name="Consulta - Table002 (Page 1-2)" description="Conexión a la consulta 'Table002 (Page 1-2)' en el libro." type="5" refreshedVersion="0" background="1">
    <dbPr connection="Provider=Microsoft.Mashup.OleDb.1;Data Source=$Workbook$;Location=&quot;Table002 (Page 1-2)&quot;;Extended Properties=&quot;&quot;" command="SELECT * FROM [Table002 (Page 1-2)]"/>
  </connection>
  <connection id="3" xr16:uid="{311F283B-705F-4503-8EFC-7F595F7B8161}" keepAlive="1" name="Consulta - Table002 (Page 1-2) (10)" description="Conexión a la consulta 'Table002 (Page 1-2) (10)' en el libro." type="5" refreshedVersion="8" background="1" saveData="1">
    <dbPr connection="Provider=Microsoft.Mashup.OleDb.1;Data Source=$Workbook$;Location=&quot;Table002 (Page 1-2) (10)&quot;;Extended Properties=&quot;&quot;" command="SELECT * FROM [Table002 (Page 1-2) (10)]"/>
  </connection>
  <connection id="4" xr16:uid="{5ACF0769-DEAA-465B-A935-05698BF6E26A}" keepAlive="1" name="Consulta - Table002 (Page 1-2) (11)" description="Conexión a la consulta 'Table002 (Page 1-2) (11)' en el libro." type="5" refreshedVersion="8" background="1" saveData="1">
    <dbPr connection="Provider=Microsoft.Mashup.OleDb.1;Data Source=$Workbook$;Location=&quot;Table002 (Page 1-2) (11)&quot;;Extended Properties=&quot;&quot;" command="SELECT * FROM [Table002 (Page 1-2) (11)]"/>
  </connection>
  <connection id="5" xr16:uid="{B2BAC071-4A95-4A52-A0D4-2F9EEA9D941E}" keepAlive="1" name="Consulta - Table002 (Page 1-2) (12)" description="Conexión a la consulta 'Table002 (Page 1-2) (12)' en el libro." type="5" refreshedVersion="8" background="1" saveData="1">
    <dbPr connection="Provider=Microsoft.Mashup.OleDb.1;Data Source=$Workbook$;Location=&quot;Table002 (Page 1-2) (12)&quot;;Extended Properties=&quot;&quot;" command="SELECT * FROM [Table002 (Page 1-2) (12)]"/>
  </connection>
  <connection id="6" xr16:uid="{64E78B17-DFD7-4A7F-AF3C-C33049DA59EA}" keepAlive="1" name="Consulta - Table002 (Page 1-2) (2)" description="Conexión a la consulta 'Table002 (Page 1-2) (2)' en el libro." type="5" refreshedVersion="8" background="1" saveData="1">
    <dbPr connection="Provider=Microsoft.Mashup.OleDb.1;Data Source=$Workbook$;Location=&quot;Table002 (Page 1-2) (2)&quot;;Extended Properties=&quot;&quot;" command="SELECT * FROM [Table002 (Page 1-2) (2)]"/>
  </connection>
  <connection id="7" xr16:uid="{04BBC157-E9C1-49C1-82D1-DA658E55E677}" keepAlive="1" name="Consulta - Table002 (Page 1-2) (3)" description="Conexión a la consulta 'Table002 (Page 1-2) (3)' en el libro." type="5" refreshedVersion="0" background="1">
    <dbPr connection="Provider=Microsoft.Mashup.OleDb.1;Data Source=$Workbook$;Location=&quot;Table002 (Page 1-2) (3)&quot;;Extended Properties=&quot;&quot;" command="SELECT * FROM [Table002 (Page 1-2) (3)]"/>
  </connection>
  <connection id="8" xr16:uid="{A5165D06-89CA-438A-B584-0A3C906A7E5B}" keepAlive="1" name="Consulta - Table002 (Page 1-2) (4)" description="Conexión a la consulta 'Table002 (Page 1-2) (4)' en el libro." type="5" refreshedVersion="0" background="1">
    <dbPr connection="Provider=Microsoft.Mashup.OleDb.1;Data Source=$Workbook$;Location=&quot;Table002 (Page 1-2) (4)&quot;;Extended Properties=&quot;&quot;" command="SELECT * FROM [Table002 (Page 1-2) (4)]"/>
  </connection>
  <connection id="9" xr16:uid="{E9AA52B1-861E-44D1-A270-0BE94BDA99B5}" keepAlive="1" name="Consulta - Table002 (Page 1-2) (5)" description="Conexión a la consulta 'Table002 (Page 1-2) (5)' en el libro." type="5" refreshedVersion="0" background="1">
    <dbPr connection="Provider=Microsoft.Mashup.OleDb.1;Data Source=$Workbook$;Location=&quot;Table002 (Page 1-2) (5)&quot;;Extended Properties=&quot;&quot;" command="SELECT * FROM [Table002 (Page 1-2) (5)]"/>
  </connection>
  <connection id="10" xr16:uid="{6E848808-FEC6-42D4-9C50-35637C997ACB}" keepAlive="1" name="Consulta - Table002 (Page 1-2) (6)" description="Conexión a la consulta 'Table002 (Page 1-2) (6)' en el libro." type="5" refreshedVersion="0" background="1">
    <dbPr connection="Provider=Microsoft.Mashup.OleDb.1;Data Source=$Workbook$;Location=&quot;Table002 (Page 1-2) (6)&quot;;Extended Properties=&quot;&quot;" command="SELECT * FROM [Table002 (Page 1-2) (6)]"/>
  </connection>
  <connection id="11" xr16:uid="{A849291A-D31B-493A-8123-F5CF7FF878C0}" keepAlive="1" name="Consulta - Table002 (Page 1-2) (7)" description="Conexión a la consulta 'Table002 (Page 1-2) (7)' en el libro." type="5" refreshedVersion="0" background="1">
    <dbPr connection="Provider=Microsoft.Mashup.OleDb.1;Data Source=$Workbook$;Location=&quot;Table002 (Page 1-2) (7)&quot;;Extended Properties=&quot;&quot;" command="SELECT * FROM [Table002 (Page 1-2) (7)]"/>
  </connection>
  <connection id="12" xr16:uid="{7DAACFCB-3185-44AC-8807-65B84AD0E2E6}" keepAlive="1" name="Consulta - Table002 (Page 1-2) (8)" description="Conexión a la consulta 'Table002 (Page 1-2) (8)' en el libro." type="5" refreshedVersion="8" background="1" saveData="1">
    <dbPr connection="Provider=Microsoft.Mashup.OleDb.1;Data Source=$Workbook$;Location=&quot;Table002 (Page 1-2) (8)&quot;;Extended Properties=&quot;&quot;" command="SELECT * FROM [Table002 (Page 1-2) (8)]"/>
  </connection>
  <connection id="13" xr16:uid="{6D90CD21-3629-4E40-B0A7-7977F0718365}" keepAlive="1" name="Consulta - Table002 (Page 1-2) (9)" description="Conexión a la consulta 'Table002 (Page 1-2) (9)' en el libro." type="5" refreshedVersion="8" background="1" saveData="1">
    <dbPr connection="Provider=Microsoft.Mashup.OleDb.1;Data Source=$Workbook$;Location=&quot;Table002 (Page 1-2) (9)&quot;;Extended Properties=&quot;&quot;" command="SELECT * FROM [Table002 (Page 1-2) (9)]"/>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<sst xmlns="http://schemas.openxmlformats.org/spreadsheetml/2006/main" count="9825" uniqueCount="253">
  <si>
    <t>Cuota
N°</t>
  </si>
  <si>
    <t>Capital($)</t>
  </si>
  <si>
    <t>Interés
Financiero($)</t>
  </si>
  <si>
    <t>Interés
Resarcitorio($)</t>
  </si>
  <si>
    <t>Total($)</t>
  </si>
  <si>
    <t>Plan</t>
  </si>
  <si>
    <t>PENDIENTE</t>
  </si>
  <si>
    <t>2DO VTO</t>
  </si>
  <si>
    <t>Status</t>
  </si>
  <si>
    <t>PAGADO</t>
  </si>
  <si>
    <t>Nro cuotas</t>
  </si>
  <si>
    <t>TOTAL CUOTAS A DEBITAR</t>
  </si>
  <si>
    <t>Empresa</t>
  </si>
  <si>
    <t>EMPRESA</t>
  </si>
  <si>
    <t>1</t>
  </si>
  <si>
    <t>2</t>
  </si>
  <si>
    <t>3</t>
  </si>
  <si>
    <t>4</t>
  </si>
  <si>
    <t>5</t>
  </si>
  <si>
    <t>6</t>
  </si>
  <si>
    <t>7</t>
  </si>
  <si>
    <t>8</t>
  </si>
  <si>
    <t>9</t>
  </si>
  <si>
    <t>10</t>
  </si>
  <si>
    <t>11</t>
  </si>
  <si>
    <t>12</t>
  </si>
  <si>
    <t>PLAN</t>
  </si>
  <si>
    <t>TOTAL</t>
  </si>
  <si>
    <t>FECHA ACTUAL</t>
  </si>
  <si>
    <t>FILTRAR</t>
  </si>
  <si>
    <t>APILARH</t>
  </si>
  <si>
    <t>ORDENAR</t>
  </si>
  <si>
    <t>UNICOS</t>
  </si>
  <si>
    <t>AGRUPARPOR</t>
  </si>
  <si>
    <t>PIVOTARPOR</t>
  </si>
  <si>
    <t>LISTAS AUXILIARES</t>
  </si>
  <si>
    <t>ORDENAR Y UNICOS</t>
  </si>
  <si>
    <t>EMPRESAS</t>
  </si>
  <si>
    <t>STATUS</t>
  </si>
  <si>
    <t>Fecha
Vto.</t>
  </si>
  <si>
    <t>FUNCIÓN:</t>
  </si>
  <si>
    <t>TOP</t>
  </si>
  <si>
    <t>SECUENCIA</t>
  </si>
  <si>
    <t>K.ÉSIMO.MAYOR</t>
  </si>
  <si>
    <t>PLANES DE FACILIDADES A PAGAR EN EL MES</t>
  </si>
  <si>
    <t>VTO.</t>
  </si>
  <si>
    <t>Carpe Diem</t>
  </si>
  <si>
    <t>Nelly´s Data</t>
  </si>
  <si>
    <t>123 Asociados</t>
  </si>
  <si>
    <t>(GRUPO ECONÓMICO)</t>
  </si>
  <si>
    <t>M12345</t>
  </si>
  <si>
    <t>B12345</t>
  </si>
  <si>
    <t>C12345</t>
  </si>
  <si>
    <t>D12345</t>
  </si>
  <si>
    <t>E12345</t>
  </si>
  <si>
    <t>F12345</t>
  </si>
  <si>
    <t>G12345</t>
  </si>
  <si>
    <t>H12345</t>
  </si>
  <si>
    <t>I12345</t>
  </si>
  <si>
    <t>J12345</t>
  </si>
  <si>
    <t>BUSCARX</t>
  </si>
  <si>
    <t>K12345</t>
  </si>
  <si>
    <t>L12345</t>
  </si>
  <si>
    <t>N12345</t>
  </si>
  <si>
    <t>Ñ12345</t>
  </si>
  <si>
    <t>O12345</t>
  </si>
  <si>
    <t>P12345</t>
  </si>
  <si>
    <t>R12345</t>
  </si>
  <si>
    <t>S12345</t>
  </si>
  <si>
    <t>T12345</t>
  </si>
  <si>
    <t>U12345</t>
  </si>
  <si>
    <t>U45321</t>
  </si>
  <si>
    <t>R54321</t>
  </si>
  <si>
    <t>T09876</t>
  </si>
  <si>
    <t>T88888</t>
  </si>
  <si>
    <t>T77777</t>
  </si>
  <si>
    <t>T66666</t>
  </si>
  <si>
    <t>T88111</t>
  </si>
  <si>
    <t>U77766</t>
  </si>
  <si>
    <t>U03254</t>
  </si>
  <si>
    <t>U11123</t>
  </si>
  <si>
    <t>U12121</t>
  </si>
  <si>
    <t>U00008</t>
  </si>
  <si>
    <t>U00009</t>
  </si>
  <si>
    <t>U00001</t>
  </si>
  <si>
    <t>U87878</t>
  </si>
  <si>
    <t>U87870</t>
  </si>
  <si>
    <t>B87870</t>
  </si>
  <si>
    <t>A87123</t>
  </si>
  <si>
    <t>B78901</t>
  </si>
  <si>
    <t>S76901</t>
  </si>
  <si>
    <t xml:space="preserve">DETALLE DE PLANES ACTIVOS </t>
  </si>
  <si>
    <t>SUBTOTALES</t>
  </si>
  <si>
    <t>Prompt</t>
  </si>
  <si>
    <t>{"hash":"48470b020b94bb8bfde036389ed5e27bda9c5b9d4682d6b93487ef4964632608","version":1,"value":"[[\"Cuenta\",\"Debe\",\"Haber\"],[\"Impuestos a Pagar\",\"26.374.920,15\",\"\"],[\"Deuda por Facilidades\",\"\",\"26.374.920,15\"]]"}</t>
  </si>
  <si>
    <t>Registro del Plan</t>
  </si>
  <si>
    <t>{"hash":"c916e66a38204c08df6baf8db3c02f64f9226ceb083e046bd9805f5d1a7b93e0","version":1,"value":"[[\"Cuenta\",\"Debe\",\"Haber\"],[\"Impuestos a Pagar\",\"114.487.443,13\",\"\"],[\"Deuda por Plan\",\"\",\"114.487.443,13\"]]"}</t>
  </si>
  <si>
    <t>{"hash":"fba9285430155a30b2e9b63fe4c21568b3a368ebeabadfe42f351a46e7552932","version":1,"value":"[[\"Cuenta\",\"Debe\",\"Haber\"],[\"Impuestos a Pagar\",\"114.487.443,13\",\"\"],[\"Deuda por Plan de Facilidades\",\"\",\"114.487.443,13\"]]"}</t>
  </si>
  <si>
    <t>{"hash":"73d4cd7980a312de8a747a11130e20be66855d8138bca385a678c5f6891022e6","version":1,"value":"[[\"Cuenta\",\"Debe\",\"Haber\"],[\"Impuestos a Pagar\",\"114.487.443,13\",\"\"],[\"Deuda por Plan de Facilidades\",\"\",\"114.487.443,13\"],[\"Cuenta\",\"Debe\",\"Haber\"],[\"Deuda por Plan de Facilidades\",\"12.108.181,65\",\"\"],[\"Gastos por Intereses\",\"418.550,42\",\"\"],[\"Banco\",\"\",\"12.526.732,07\"]]"}</t>
  </si>
  <si>
    <t>Observaciones</t>
  </si>
  <si>
    <t>Plan de facilidades AFIP por IVA y contribuciones</t>
  </si>
  <si>
    <t>Última cuota pendiente, interés reducido al 2%</t>
  </si>
  <si>
    <t>Plan de facilidades por Ganancias sociedades 2023</t>
  </si>
  <si>
    <t>Cuotas al día, pago mensual debitado</t>
  </si>
  <si>
    <t>Plan monotributo caído por falta de pago (período 2024)</t>
  </si>
  <si>
    <t>3 cuotas impagas, en gestión judicial</t>
  </si>
  <si>
    <t>CUIT</t>
  </si>
  <si>
    <t>Tipo</t>
  </si>
  <si>
    <t>Total</t>
  </si>
  <si>
    <t>Clasificación</t>
  </si>
  <si>
    <t>Clasificación por urgencia</t>
  </si>
  <si>
    <t>=GPT("Clasifica el plan según el nivel de urgencia: Crítico si vence en menos de 15 días, Moderado si vence en 15–45 días, Bajo si vence en más de 45 días. Fecha de vencimiento: " &amp; TEXTO([@FechaVencimiento],"dd/mm/yyyy"))</t>
  </si>
  <si>
    <t>Días por vencer</t>
  </si>
  <si>
    <t>Crítico</t>
  </si>
  <si>
    <t>Moderado</t>
  </si>
  <si>
    <t>Bajo</t>
  </si>
  <si>
    <t>&lt;15</t>
  </si>
  <si>
    <t>&gt;45</t>
  </si>
  <si>
    <t>{"hash":"c5c5474f8b57c02f52599a24f91a01fb231e2874f07b60d8e0f15871b539e78e","version":1,"value":"[[\"Moderado\"]]"}</t>
  </si>
  <si>
    <t>{"hash":"f2511e7a5b87a3cf653c4647462df463b88535fc885060da7935fcd80721e5f0","version":1,"value":"[[\"Bajo\"]]"}</t>
  </si>
  <si>
    <t>{"hash":"adae926cf4fb1adfc1ae845e54f98626169d608ca96fa0ded3245fc136ee7bdb","version":1,"value":"[[\"Moderado\"]]"}</t>
  </si>
  <si>
    <t>{"hash":"72357945d155671a0f0e5ad2ee0f9a04da47fb7a3aa93ee945e76b8c5c285a6d","version":1,"value":"[[\"Moderado\"]]"}</t>
  </si>
  <si>
    <t>{"hash":"c6c6fda19286a031301a655c8c8c04802b6152de2db7fb90829caa553f9f421b","version":1,"value":"[[\"#N/A\"]]"}</t>
  </si>
  <si>
    <t>{"hash":"ed27dbb59e176bb8a30facfa9a990b2912c3d03285c1a65d4d8eee2da482afa6","version":1,"value":"[[\"Moderado\"]]"}</t>
  </si>
  <si>
    <t>{"hash":"9cbdbce00f325da2f102f8bdec9ab80c4fa4f4e39edf2e12bb0a4a9a82485f4e","version":1,"value":"[[\"Crítico\"]]"}</t>
  </si>
  <si>
    <t>{"hash":"e1ed1fbf5487def3aa6e5d4f252ffedc3a838f2f90d93ac1e10ed46c031a3bad","version":1,"value":"[[\"Bajo\"]]"}</t>
  </si>
  <si>
    <t>{"hash":"5b78d0fb2852a254c28ae631737c77dca83d3bf6975304d1406ff3614f9ad868","version":1,"value":"[[\"Bajo\"]]"}</t>
  </si>
  <si>
    <t>{"hash":"7249256c8e6434388b8e6b10fc68bf8a9fc4f51923b734704d20f923fe616eae","version":1,"value":"[[\"Moderado\"]]"}</t>
  </si>
  <si>
    <t>&gt;=15&lt;=45</t>
  </si>
  <si>
    <t>{"hash":"b2a5e51f3f0d5cb291204f2205a8f32835af428ea4287ee22add19144d395108","version":1,"value":"[[\"Moderado\"]]"}</t>
  </si>
  <si>
    <t>{"hash":"e8f9bebf66493033f0933a61d2457e7055a150036b9331f1e10eb7f22d1277fd","version":1,"value":"[[\"Moderado\"]]"}</t>
  </si>
  <si>
    <t>{"hash":"ab1148d722c5a4f6c95e177567506b1beff67ab9dab875328ef5f0fd4d8d77c9","version":1,"value":"[[\"Moderado\"]]"}</t>
  </si>
  <si>
    <t>{"hash":"6c3a8d3902f2e2181b906749adf2b7df4bd676ac37c5311facd996451753656c","version":1,"value":"[[\"Moderado\"]]"}</t>
  </si>
  <si>
    <t>Fecha de Vto</t>
  </si>
  <si>
    <t>{"hash":"b06e6eec8f3d94b0d4efbff78a04c57242295fb8f9f51ae8e2f4c173859796a5","version":1,"value":"[[\"Moderado\"]]"}</t>
  </si>
  <si>
    <t>{"hash":"17d2c80324c3440f8573bd733f9a5607dc81e99f2c1f627f4db4b7f247fb20cc","version":1,"value":"[[\"Moderado\"]]"}</t>
  </si>
  <si>
    <t>{"hash":"c0110c1e0b5a054639abb79213e1722065ae2e09c1b5ac64ed84592b889e8d82","version":1,"value":"[[\"Bajo\"]]"}</t>
  </si>
  <si>
    <t>{"hash":"d0ca7cd16010d9723d40a577736777ee4d765e2c01611d96a26f614838d8dbd7","version":1,"value":"[[\"Moderado\"]]"}</t>
  </si>
  <si>
    <t>{"hash":"86db6b47d02ee9c07f576a6896d68c6004fff731680573325ba5e411b56d9ee8","version":1,"value":"[[\"#N/A\"]]"}</t>
  </si>
  <si>
    <t>{"hash":"7333e612817bdbe5c6890c5aa343f5964d118666d27471ffcf57e49cbbc0802e","version":1,"value":"[[\"#N/A\"]]"}</t>
  </si>
  <si>
    <t>{"hash":"ce61b4119afcbe92a12d7d3d40957c41b2a18a5827581322b079e92e827ec282","version":1,"value":"[[\"Crítico\"]]"}</t>
  </si>
  <si>
    <t>{"hash":"a1dd2d6a586b9f79321faac431ad2abebf6993f8c067228c6a3b3fabb329364a","version":1,"value":"[[\"Bajo\"]]"}</t>
  </si>
  <si>
    <t>{"hash":"ca0f4be8d2c3eb7966e94cdcd5baaf05ee15c917b8f60325b489aca99d7ba28d","version":1,"value":"[[\"Crítico\"]]"}</t>
  </si>
  <si>
    <t>{"hash":"53f608fbfef6c4c52d113200ba6d9c44635febf949eb661b05e81628367e79c7","version":1,"value":"[[\"Informe de Riesgos de Análisis de Planes y Vencimientos\\n\\nDirigido a: Nellys' Data\\nDe parte de: El Contador\\n\\nEn el presente informe se detallan los posibles riesgos asociados al análisis de los planes y sus vencimientos, clasificados según su nivel de criticidad.\\n\\n1. **Plan 10245 - Crítico**\\n   - **CUIT:** 30-71234567-8\\n   - **Tipo:** Plan de facilidades AFIP por IVA y contribuciones\\n   - **Fecha de Vencimiento:** 45889\\n   - **Total:** $1,200,000\\n   - **Observaciones:** Última cuota pendiente, interés reducido al 2%\\n   - **Días por vencer:** 11\\n   - **Riesgo:** La proximidad del vencimiento y la naturaleza crítica del plan requieren atención inmediata para evitar penalidades adicionales y asegurar el cumplimiento fiscal.\\n\\n2. **Plan 10407 - Crítico**\\n   - **CUIT:** 20-29876543-2\\n   - **Tipo:** Plan monotributo caído por falta de pago (período 2024)\\n   - **Fecha de Vencimiento:** 45884\\n   - **Total:** $350\\n   - **Observaciones:** 3 cuotas impagas, en gestión judicial\\n   - **Días por vencer:** 6\\n   - **Riesgo:** La situación judicial y el estado de impago presentan un riesgo significativo de sanciones legales y financieras. Se recomienda una revisión urgente para mitigar consecuencias adversas.\\n\\n3. **Plan 10312 - Bajo**\\n   - **CUIT:** 30-60543210-9\\n   - **Tipo:** Plan de facilidades por Ganancias sociedades 2023\\n   - **Fecha de Vencimiento:** 45925\\n   - **Total:** $3,500,000\\n   - **Observaciones:** Cuotas al día, pago mensual debitado\\n   - **Días por vencer:** 47\\n   - **Riesgo:** Este plan presenta un riesgo bajo debido a su cumplimiento regular y la automatización de pagos. No se requieren acciones inmediatas.\\n\\nConclusión:\\nSe recomienda priorizar la atención en los planes clasificados como críticos, especialmente aquellos con vencimientos inminentes, para evitar consecuencias negativas. La implementación de medidas correctivas y el seguimiento constante son esenciales para asegurar el cumplimiento de las obligaciones fiscales.\"]]"}</t>
  </si>
  <si>
    <t>{"hash":"8ba74ae512b8aeac646de577abd8b8106482bd9b9d4bf72519e2d924392d3ce2","version":1,"value":"[[\"Informe sobre los Posibles Riesgos del Análisis de los Planes y sus Vencimientos\\n\\nPara: Nellys' Data  \\nDe: El Contador  \\nFecha: [Fecha Actual]\\n\\nEstimados miembros de Nellys' Data,\\n\\nEn el presente informe, se detallan los posibles riesgos asociados al análisis de los planes y sus vencimientos, clasificados según su naturaleza y potencial impacto en la organización.\\n\\n1. **Riesgo de Interpretación Incorrecta de Datos**: La falta de precisión en la interpretación de los datos puede llevar a decisiones erróneas. Es crucial asegurar que los datos sean analizados por personal capacitado y con herramientas adecuadas.\\n\\n2. **Riesgo de Vencimiento de Planes**: La no identificación oportuna de los vencimientos puede resultar en la pérdida de oportunidades o en incumplimientos contractuales. Se recomienda implementar un sistema de alertas para monitorear fechas críticas.\\n\\n3. **Riesgo de Inconsistencias en la Clasificación**: La clasificación incorrecta de los planes puede generar confusión y afectar la toma de decisiones. Es esencial establecer criterios claros y uniformes para la clasificación.\\n\\n4. **Riesgo de Seguridad de la Información**: La exposición de datos sensibles durante el análisis puede comprometer la confidencialidad. Se deben adoptar medidas de seguridad robustas para proteger la información.\\n\\n5. **Riesgo de Dependencia Tecnológica**: La dependencia excesiva de herramientas tecnológicas puede ser un riesgo si estas fallan o quedan obsoletas. Se sugiere diversificar las herramientas y mantener actualizaciones constantes.\\n\\n6. **Riesgo de Falta de Actualización de Datos**: Los datos desactualizados pueden llevar a conclusiones incorrectas. Es fundamental establecer un proceso regular de actualización y verificación de datos.\\n\\nEn conclusión, es imperativo que Nellys' Data implemente estrategias de mitigación para estos riesgos, asegurando así la integridad y eficacia del análisis de los planes y sus vencimientos. La adopción de medidas preventivas y correctivas garantizará una gestión eficiente y alineada con los objetivos organizacionales.\\n\\nAtentamente,\\n\\nEl Contador\"]]"}</t>
  </si>
  <si>
    <t>{"hash":"3d9c558e4c7678ab5b8dd324df6941a202627a90a1ff8e3e09ec60332a8f1ee1","version":1,"value":"[[\"Informe sobre los Riesgos del Análisis de Planes y sus Vencimientos\\n\\nPara: Nellys’ Data  \\nDe: El Contador  \\nFecha: [Fecha Actual]\\n\\nEstimados,\\n\\nEn el presente informe se detallan los posibles riesgos asociados al análisis de los planes y sus vencimientos, clasificados según su naturaleza y potencial impacto en la organización.\\n\\n1. **Riesgo de Información Incompleta o Inexacta**: La falta de datos precisos puede llevar a conclusiones erróneas, afectando la toma de decisiones estratégicas. Es crucial garantizar la integridad y exactitud de la información recopilada.\\n\\n2. **Riesgo de Interpretación Errónea**: La incorrecta interpretación de los datos puede resultar en decisiones inadecuadas. Es esencial contar con personal capacitado para el análisis y la interpretación de los resultados.\\n\\n3. **Riesgo de Vencimientos No Controlados**: La falta de seguimiento de los vencimientos puede generar incumplimientos contractuales y pérdidas financieras. Se recomienda implementar sistemas de alerta y seguimiento para mitigar este riesgo.\\n\\n4. **Riesgo de Cambios Regulatorios**: Las modificaciones en las normativas pueden afectar la validez de los planes actuales. Es importante mantenerse actualizado sobre cambios legislativos y ajustar los planes en consecuencia.\\n\\n5. **Riesgo Tecnológico**: La dependencia de sistemas tecnológicos para el análisis puede exponer a la organización a fallos técnicos o ciberataques. Se sugiere invertir en seguridad cibernética y realizar mantenimientos regulares.\\n\\n6. **Riesgo de Dependencia de Proveedores**: La dependencia excesiva de proveedores externos para la obtención de datos puede comprometer la calidad y disponibilidad de la información. Se recomienda diversificar las fuentes de datos.\\n\\n7. **Riesgo de Falta de Adaptación al Mercado**: La rigidez en los planes puede impedir la adaptación a cambios del mercado, afectando la competitividad. Es vital mantener la flexibilidad y revisar periódicamente los planes.\\n\\nEn conclusión, es fundamental implementar medidas de mitigación para cada uno de estos riesgos, asegurando así la eficacia y sostenibilidad de los planes. Se sugiere la creación de un comité de riesgos que supervise y actualice las estrategias de gestión de riesgos de manera continua.\\n\\nAtentamente,\\n\\nEl Contador\"]]"}</t>
  </si>
  <si>
    <t>{"hash":"bc2ba4edf09e48bd599f5cac31678df600937083f06d0150b3a44016cb2855ed","version":1,"value":"[[\"Informe sobre los Riesgos del Análisis de Planes y sus Vencimientos\\n\\nA: Nellys' Data  \\nDe: El Contador  \\nFecha: [Fecha Actual]\\n\\nEstimados,\\n\\nEn el presente informe se detallan los posibles riesgos asociados al análisis de los planes y sus vencimientos, clasificados según su naturaleza y potencial impacto en la organización.\\n\\n1. **Riesgos Financieros**: \\n   - **Desajustes de Liquidez**: La falta de sincronización entre los vencimientos de los planes y las obligaciones financieras puede generar problemas de liquidez, afectando la capacidad de la empresa para cumplir con sus compromisos.\\n   - **Variabilidad de Tasas de Interés**: Cambios inesperados en las tasas de interés pueden alterar los costos asociados a los planes, impactando negativamente en la rentabilidad proyectada.\\n\\n2. **Riesgos Operativos**:\\n   - **Errores en la Clasificación**: Una clasificación incorrecta de los planes puede llevar a decisiones erróneas, afectando la eficiencia operativa y la asignación de recursos.\\n   - **Fallas en el Sistema de Monitoreo**: La falta de un sistema robusto para el seguimiento de los vencimientos puede resultar en el incumplimiento de plazos críticos.\\n\\n3. **Riesgos Regulatorios**:\\n   - **Cumplimiento Normativo**: Cambios en la legislación pueden requerir ajustes en los planes, generando costos adicionales y posibles sanciones por incumplimiento.\\n   - **Auditorías y Revisiones**: La falta de documentación adecuada puede complicar auditorías, exponiendo a la empresa a multas y daños reputacionales.\\n\\n4. **Riesgos Estratégicos**:\\n   - **Cambios en el Mercado**: Alteraciones en las condiciones del mercado pueden hacer que los planes actuales sean obsoletos, requiriendo una reevaluación estratégica.\\n   - **Competencia**: La incapacidad para adaptarse rápidamente a los cambios en el entorno competitivo puede resultar en pérdida de cuota de mercado.\\n\\nRecomendamos implementar un sistema de gestión de riesgos que permita identificar, evaluar y mitigar estos riesgos de manera proactiva. Además, es crucial mantener una comunicación constante entre los departamentos involucrados para asegurar una respuesta coordinada ante cualquier eventualidad.\\n\\nAtentamente,\\n\\nEl Contador\"]]"}</t>
  </si>
  <si>
    <t>{"hash":"38402f2acf5ff78e4367c35bfe15c7738b36d515c8787c1d5d393399baa8ba9d","version":1,"value":"[[\"Crítico\"]]"}</t>
  </si>
  <si>
    <t>{"hash":"7822a3d06fa175d71b78528fdfbfef0dd4e26b1219641ea48fa82a586ed9541e","version":1,"value":"[[\"Moderado\"]]"}</t>
  </si>
  <si>
    <t>{"hash":"ce4b3a393254e46c1a4677a3057f8829c7ca4649773ae4102cbe1c8d6a1363f6","version":1,"value":"[[\"Crítico\"]]"}</t>
  </si>
  <si>
    <t>{"hash":"2136ef2357a43e0ac5db846a970158d9b6164ac4ef59204218e5d1f403b27a4e","version":1,"value":"[[\"Crítico\"]]"}</t>
  </si>
  <si>
    <t>{"hash":"6f030548fc8cf796e47ffe2a7045d339e4ffdddd0e404f3a35a05c5ac5eb4c32","version":1,"value":"[[\"Moderado\"]]"}</t>
  </si>
  <si>
    <t>{"hash":"a05a768a05e7d9324b8823af09719295f61f7b4bde2ddbea5335ff79812db124","version":1,"value":"[[\"Crítico\"]]"}</t>
  </si>
  <si>
    <t>{"hash":"8bf18c981177ca5d10a6171750e00b47f7433db8963b12a22b003ee0ae5bcfd3","version":1,"value":"[[\"Moderado\"]]"}</t>
  </si>
  <si>
    <t>{"hash":"d9efa7eb4874f9bba4e5d6f263a66f50660c81b84b524b77d5da46678de5a9d3","version":1,"value":"[[\"Riesgos: Errores en datos, vencimientos no actualizados, clasificación incorrecta, decisiones financieras afectadas.\"]]"}</t>
  </si>
  <si>
    <t>{"hash":"399ffdf001c3c3ad3ff20de5f7e8d27cadc3790a97c16376fc4c86a3cecd1ffc","version":1,"value":"[[\"Informe: Se identifican riesgos significativos en los planes de pago, como incumplimiento y penalidades. Se recomienda evaluar opciones y tomar medidas preventivas. Atentamente, El Contador.\"]]"}</t>
  </si>
  <si>
    <t>{"hash":"22f8ebe0d619009521dfb50e7782a667ab0a5d814f0372e3eba5062fd02a28d7","version":1,"value":"[[\"Informe: Evaluamos los planes de pago según la clasificación de riesgos. Se recomienda cautela en opciones de alto riesgo. Atentamente, El Contador.\"]]"}</t>
  </si>
  <si>
    <t>{"hash":"93fe597d1b47fb3caf2a6403d23b90be2a4c98644f1f468a295a45b17d9db9f4","version":1,"value":"[[\"Cuenta\",\"Debe\",\"Haber\"],[\"Impuestos a Pagar\",\"114.487.443,13\",\"\"],[\"Deuda por Plan de Facilidades\",\"\",\"114.487.443,13\"],[\"Cuenta\",\"Debe\",\"Haber\"],[\"Deuda por Plan de Facilidades\",\"11.530.313,05\",\"\"],[\"Gasto de Intereses\",\"418.550,42\",\"\"],[\"Banco\",\"\",\"11.948.863,47\"]]"}</t>
  </si>
  <si>
    <t>{"hash":"a3ac9fecb6e301a8795839e1be1130b027d227c3f73975d02a5d063e024e0e41","version":1,"value":"[[\"Moderado\"]]"}</t>
  </si>
  <si>
    <t>{"hash":"f28ae3601d0e2a08cd1d6d5119bddc1fe65163fbe00ac6d9f3a6fe3713f39865","version":1,"value":"[[\"Crítico\"]]"}</t>
  </si>
  <si>
    <t>{"hash":"0f3cf71a6fd3d32d3b58d018a6f83342afcc1e8432aa0cedab4a7f5ba331a24d","version":1,"value":"[[\"Moderado\"]]"}</t>
  </si>
  <si>
    <t>M10245</t>
  </si>
  <si>
    <t>O10312</t>
  </si>
  <si>
    <t>L10407</t>
  </si>
  <si>
    <t>30-777777777-8</t>
  </si>
  <si>
    <t>30-699999990-9</t>
  </si>
  <si>
    <t>20-299999999-2</t>
  </si>
  <si>
    <t>{"hash":"2d98962b627c528dde86211de72f7b92ec06d3cdf1f74f2b79f0558dd4d973c9","version":1,"value":"[[\"Cuenta\",\"Debe\",\"Haber\"],[\"Impuestos a Pagar\",\"114.587.443,13\",\"\"],[\"Deuda por Plan de Facilidades\",\"\",\"114.587.443,13\"],[\"Cuenta\",\"Debe\",\"Haber\"],[\"Deuda por Plan de Facilidades\",\"11.530.313,05\",\"\"],[\"Gasto por Intereses\",\"418.550,42\",\"\"],[\"Banco\",\"\",\"11.948.863,47\"]]"}</t>
  </si>
  <si>
    <t>{"hash":"7c68fbb067709a224fa69e2470ccea5575232f67fd1088964df90f8aee3d2924","version":1,"value":"[[\"Cuenta\",\"Debe\",\"Haber\"],[\"Impuestos a Pagar\",\"10,000.00\",\"\"],[\"Deuda por Plan de Facilidades\",\"\",\"10,000.00\"],[\"Cuenta\",\"Debe\",\"Haber\"],[\"Deuda por Plan de Facilidades\",\"11,530,313.05\",\"\"],[\"Gastos por Intereses\",\"418,550.42\",\"\"],[\"Banco\",\"\",\"11,948,863.47\"]]"}</t>
  </si>
  <si>
    <t>{"hash":"a94985c453765e0c9369b57d2c77f0e7ad3923b4544bfd8b01320166d0e50d3a","version":1,"value":"[[\"Cuenta\",\"Debe\",\"Haber\"],[\"Impuestos a Pagar\",\"&amp;J11\",\"\"],[\"Deuda por Plan de Facilidades\",\"\",\"&amp;J11\"],[\"Cuenta\",\"Debe\",\"Haber\"],[\"Deuda por Plan de Facilidades\",\"11.530.313,05\",\"\"],[\"Gastos por Intereses\",\"418.550,42\",\"\"],[\"Banco\",\"\",\"11.948.863,47\"]]"}</t>
  </si>
  <si>
    <t>{"hash":"33741bee547f3f4f8611dc5b7aee9bff715258148c0977632c9e936d20282d00","version":1,"value":"[[\"Cuenta\",\"Debe\",\"Haber\"],[\"Impuestos a Pagar\",\"11.530.313,05\",\"\"],[\"Deuda por Plan de Facilidades\",\"\",\"11.530.313,05\"],[\"Cuenta\",\"Debe\",\"Haber\"],[\"Deuda por Plan de Facilidades\",\"11.530.313,05\",\"\"],[\"Gastos por Intereses\",\"418.550,42\",\"\"],[\"Banco\",\"\",\"11.948.863,47\"]]"}</t>
  </si>
  <si>
    <t>{"hash":"ac04741d80ae3cec983bfa8ec1081d4c73d0386d098e2bd6a7ef96bb446ed735","version":1,"value":"[[\"Cuenta\",\"Debe\",\"Haber\"],[\"Impuestos a Pagar\",\"11.530.313,05\",\"\"],[\"Deuda por Plan de Facilidades\",\"\",\"11.530.313,05\"],[\"Cuenta\",\"Debe\",\"Haber\"],[\"Deuda por Plan de Facilidades\",\"11.530.313,05\",\"\"],[\"Gastos por Intereses\",\"418.550,42\",\"\"],[\"Banco\",\"\",\"11.948.863,47\"]]"}</t>
  </si>
  <si>
    <t>{"hash":"4d6cc84b4dbdd8c7b496efff10192a38d4ee58e417fc15f3d91cb98610e8c40e","version":1,"value":"[[],[],[],[],[],[],[],[],[],[],[]]"}</t>
  </si>
  <si>
    <t>{"hash":"b783e57cc5307972e9203ab0c04ba506f1dd8155e7c04e8e40499c42c2e77261","version":1,"value":"[[],[],[],[],[],[],[],[],[],[],[]]"}</t>
  </si>
  <si>
    <t>{"hash":"8cc0c6ed792940a2c1fd82d2fd396c0bd2a95551515409e7f3ad3bf7bf0f7aff","version":1,"value":"[[],[],[],[],[],[],[],[],[],[],[]]"}</t>
  </si>
  <si>
    <t>{"hash":"74df048e599c0ced1774fda4ec9598c0ca489e60f65d736985c78d1222b38fc0","version":1,"value":"[[\"Cuenta\",\"Debe\",\"Haber\"],[\"Impuestos a Pagar\",\"1,633,944.42\",\"\"],[\"Deuda por Plan de Facilidades\",\"\",\"1,633,944.42\"],[\"Cuenta\",\"Debe\",\"Haber\"],[\"Deuda por Plan de Facilidades\",\"283,071.87\",\"\"],[\"Gastos por Intereses\",\"11,322.88\",\"\"],[\"Banco\",\"\",\"294,394.75\"]]"}</t>
  </si>
  <si>
    <t>{"hash":"65968717dc917d6832aa4db484500d9aa7825da02b29a0e0e0ea349295ff73be","version":1,"value":"[[\"Moderado\"]]"}</t>
  </si>
  <si>
    <t>{"hash":"b547cdcc7f9d5a0044cbaa28791fe83256396b3318be739fe8ac41f637f5eb77","version":1,"value":"[[\"Moderado\"]]"}</t>
  </si>
  <si>
    <t>Prompts</t>
  </si>
  <si>
    <r>
      <t xml:space="preserve">Sí, lo que te está pasando con </t>
    </r>
    <r>
      <rPr>
        <b/>
        <sz val="11"/>
        <color theme="1"/>
        <rFont val="Aptos Narrow"/>
        <family val="2"/>
        <scheme val="minor"/>
      </rPr>
      <t>Copilot</t>
    </r>
    <r>
      <rPr>
        <sz val="11"/>
        <color theme="1"/>
        <rFont val="Aptos Narrow"/>
        <family val="2"/>
        <scheme val="minor"/>
      </rPr>
      <t xml:space="preserve"> suele deberse a una de estas razones:</t>
    </r>
  </si>
  <si>
    <r>
      <t>1. Limitaciones contextuales</t>
    </r>
    <r>
      <rPr>
        <sz val="11"/>
        <color theme="1"/>
        <rFont val="Aptos Narrow"/>
        <family val="2"/>
        <scheme val="minor"/>
      </rPr>
      <t>:</t>
    </r>
  </si>
  <si>
    <r>
      <t xml:space="preserve">A veces Copilot "pierde el hilo" de la conversación. Si antes te hizo la tarea y ahora te responde con </t>
    </r>
    <r>
      <rPr>
        <i/>
        <sz val="11"/>
        <color theme="1"/>
        <rFont val="Aptos Narrow"/>
        <family val="2"/>
        <scheme val="minor"/>
      </rPr>
      <t>“Aún estoy aprendiendo…”</t>
    </r>
    <r>
      <rPr>
        <sz val="11"/>
        <color theme="1"/>
        <rFont val="Aptos Narrow"/>
        <family val="2"/>
        <scheme val="minor"/>
      </rPr>
      <t>, puede ser porque cambiaste de sesión, archivo o contexto y ya no reconoce el mismo escenario.</t>
    </r>
  </si>
  <si>
    <r>
      <t>2. Restricciones por la instrucción</t>
    </r>
    <r>
      <rPr>
        <sz val="11"/>
        <color theme="1"/>
        <rFont val="Aptos Narrow"/>
        <family val="2"/>
        <scheme val="minor"/>
      </rPr>
      <t>:</t>
    </r>
  </si>
  <si>
    <t>Microsoft programó a Copilot para que, ante ciertas peticiones que interpreta como demasiado complejas, inseguras o fuera de su alcance, devuelva ese mensaje genérico. Esto ocurre incluso si antes lo hizo bien, porque puede estar usando otra versión del modelo o tener actualizaciones en su “guardrail” de seguridad.</t>
  </si>
  <si>
    <r>
      <t>3. Problema temporal del servicio</t>
    </r>
    <r>
      <rPr>
        <sz val="11"/>
        <color theme="1"/>
        <rFont val="Aptos Narrow"/>
        <family val="2"/>
        <scheme val="minor"/>
      </rPr>
      <t>:</t>
    </r>
  </si>
  <si>
    <t>A veces Copilot no accede bien al modelo o se queda atascado, y responde con ese fallback. Suele solucionarse cerrando sesión, reiniciando el editor (VS Code, Excel, Word, etc.) o borrando caché.</t>
  </si>
  <si>
    <r>
      <t>4. Cambio en la forma de pedirlo</t>
    </r>
    <r>
      <rPr>
        <sz val="11"/>
        <color theme="1"/>
        <rFont val="Aptos Narrow"/>
        <family val="2"/>
        <scheme val="minor"/>
      </rPr>
      <t>:</t>
    </r>
  </si>
  <si>
    <t>Puede que antes tu instrucción fuera interpretada como válida y ahora la misma frase esté entrando en una categoría que Copilot rechaza. Reformular la instrucción en pasos más pequeños o en otro tono a veces evita la respuesta de bloqueo.</t>
  </si>
  <si>
    <t>👉 Mi consejo:</t>
  </si>
  <si>
    <t>Cierra y vuelve a abrir la aplicación donde estés usando Copilot.</t>
  </si>
  <si>
    <t>Reformula el prompt de manera más simple o dividida en pasos.</t>
  </si>
  <si>
    <t>Si sigue ocurriendo, probablemente es una limitación reciente del modelo (Microsoft ha estado endureciendo respuestas en las últimas semanas).</t>
  </si>
  <si>
    <t>Crea una tabla dinámica con los intereses generados por empresa y por plan únicos</t>
  </si>
  <si>
    <t>Teniendo en cuenta RT 54: Norma Unificada Argentina de Contabilidad, dame un ejemplo de asiento contable simple que genere una deuda por plan de facilidades por 1.633.944,42 y por el debe, baje la cuenta de impuestos a pagar, no quiero una explicación.  En una misma tabla: Cuenta, debe, haber.      En un segundo asiento contable el registro del pago de la última cuota, rebajando la duda por Plan de Facilidades de Pago por 283.071,87, cuasando el gasto de Intereses por 11322,88 contra el banco.</t>
  </si>
  <si>
    <t>{"hash":"d20daaf6061631a1995cc4a0142105e6b599498ceea5fdb78833b5e0f93bdbaa","version":1,"value":"[[\"Cuenta\",\"Debe\",\"Haber\"],[\"Impuestos a Pagar\",\"1.633.944,42\",\"\"],[\"Deuda por Plan de Facilidades\",\"\",\"1.633.944,42\"],[\"Cuenta\",\"Debe\",\"Haber\"],[\"Deuda por Plan de Facilidades\",\"283.071,87\",\"\"],[\"Gastos por Intereses\",\"11.322,88\",\"\"],[\"Banco\",\"\",\"294.394,75\"]]"}</t>
  </si>
  <si>
    <t>{"hash":"fba79a5dcaae2bc8605ce75c40f78c614671f6a0a62529207c46fca39fad092b","version":1,"value":"[[\"Moderado\"]]"}</t>
  </si>
  <si>
    <t>{"hash":"83bc36fd603ae2b8fbe17415da2bf1786a2d5e9cfb8162b5ae40af63309c260c","version":1,"value":"[[\"Moderado\"]]"}</t>
  </si>
  <si>
    <t>{"hash":"2decd101630360412b408e7ba6e273cd53418aeb2322b60eebb37fa545e741c3","version":1,"value":"[[\"Crítico\"]]"}</t>
  </si>
  <si>
    <t>{"hash":"9aa873171a6a3936be7c6246ac43c7fdedaba42607d838b2e6660f8ce1ab1f1d","version":1,"value":"[[\"Crítico\"]]"}</t>
  </si>
  <si>
    <t>{"hash":"a8c41afd933855ea36a80b76d602020c065dcde53bd0e90c095f84a4ba7d28a0","version":1,"value":"[[\"Moderado\"]]"}</t>
  </si>
  <si>
    <t>{"hash":"82302a41092cac7c4f71526ac7ff6aac9736966e7f899711a3fad6518425147d","version":1,"value":"[[\"Crítico\"]]"}</t>
  </si>
  <si>
    <t>PLANES MÁS ALTOS POR PAGAR</t>
  </si>
  <si>
    <t>{"hash":"c4ee7d13f053a3f78d383367680c09d364dec88ca050f0c9c2f33f906430b17c","version":1,"value":"[[\"Crítico\"]]"}</t>
  </si>
  <si>
    <t>{"hash":"fea67c516cd4e9237bf06e4ac104f24711a1483523e583ac5a291604d14357d3","version":1,"value":"[[\"Moderado\"]]"}</t>
  </si>
  <si>
    <t>{"hash":"6fdfc63f19bfceb0da9a39c9bdb849fdd15e3b8c4423b67ce1159bb94e34a63a","version":1,"value":"[[\"Crítico\"]]"}</t>
  </si>
  <si>
    <t>OJO    GRAFICOS Y ACTALIZACION</t>
  </si>
  <si>
    <t>{"hash":"c214a126b65a395c62ae2f7f92b0af1ceccb93903c3525dca70214806536ef11","version":1,"value":"[[\"Moderado\"]]"}</t>
  </si>
  <si>
    <t>{"hash":"c35a56471923e025aa0e64895125a126d840ec7da18d5a0fb265a6298ac0e1b9","version":1,"value":"[[\"Crítico\"]]"}</t>
  </si>
  <si>
    <t>{"hash":"32e74f9b49c904e6ae760af384dd692d70ea15f4b923a489da3c5d5391bf1aed","version":1,"value":"[[\"Moderado\"]]"}</t>
  </si>
  <si>
    <t>{"hash":"fb61f9dec12c7ecd3f7150035b8b2341e42e9a19c1dadb1f21de62641c58781d","version":1,"value":"[[\"Crítico\"]]"}</t>
  </si>
  <si>
    <t>{"hash":"97d38d7b81596503dbae44c6502725af1b07a278d77eec86c110375b10071c5b","version":1,"value":"[[\"Moderado\"]]"}</t>
  </si>
  <si>
    <t>{"hash":"13f0bf8673a9c375c2353ba4a295610b247a79d97341580d5b03999fbe7e2be0","version":1,"value":"[[\"Crítico\"]]"}</t>
  </si>
  <si>
    <t>{"hash":"3ccf7852a140ec1f26d0e08f8f67e2e74c82e1ee8cc69aa981fe95ff91e9c7bc","version":1,"value":"[[\"Crítico\"]]"}</t>
  </si>
  <si>
    <r>
      <t>SEGÚN</t>
    </r>
    <r>
      <rPr>
        <b/>
        <sz val="11"/>
        <color theme="3" tint="0.499984740745262"/>
        <rFont val="Aptos Narrow"/>
        <family val="2"/>
        <scheme val="minor"/>
      </rPr>
      <t xml:space="preserve"> </t>
    </r>
    <r>
      <rPr>
        <b/>
        <sz val="11"/>
        <color theme="3" tint="0.249977111117893"/>
        <rFont val="Aptos Narrow"/>
        <family val="2"/>
        <scheme val="minor"/>
      </rPr>
      <t>EMPRESA</t>
    </r>
    <r>
      <rPr>
        <b/>
        <sz val="11"/>
        <color theme="1"/>
        <rFont val="Aptos Narrow"/>
        <family val="2"/>
        <scheme val="minor"/>
      </rPr>
      <t xml:space="preserve"> Y </t>
    </r>
    <r>
      <rPr>
        <b/>
        <sz val="11"/>
        <color theme="3" tint="0.249977111117893"/>
        <rFont val="Aptos Narrow"/>
        <family val="2"/>
        <scheme val="minor"/>
      </rPr>
      <t>VENCIMIENTO</t>
    </r>
  </si>
  <si>
    <r>
      <t>POR</t>
    </r>
    <r>
      <rPr>
        <b/>
        <sz val="11"/>
        <color theme="3" tint="0.249977111117893"/>
        <rFont val="Aptos Narrow"/>
        <family val="2"/>
        <scheme val="minor"/>
      </rPr>
      <t xml:space="preserve"> EMPRESA</t>
    </r>
  </si>
  <si>
    <r>
      <t xml:space="preserve">INTERESES </t>
    </r>
    <r>
      <rPr>
        <b/>
        <sz val="11"/>
        <color theme="3" tint="0.249977111117893"/>
        <rFont val="Aptos Narrow"/>
        <family val="2"/>
        <scheme val="minor"/>
      </rPr>
      <t>FINANCIEROS</t>
    </r>
  </si>
  <si>
    <t>{"hash":"fb1b2419f477dbec2855872774ff2fd2c4e618e17a7880d1a51fbfa91f4774e6","version":1,"value":"[[\"Crítico\"]]"}</t>
  </si>
  <si>
    <t>{"hash":"61701066cfc267ab2ac9443041cf96a5e5a80c831d6d0f4df1284313a426cadb","version":1,"value":"[[\"Crítico\"]]"}</t>
  </si>
  <si>
    <t>{"hash":"50d64a8ab1cb975282e243f6e79b12a95599ca8df791598292b03462257e3383","version":1,"value":"[[\"Crítico\"]]"}</t>
  </si>
  <si>
    <t>{"hash":"0ef0290e2e63bbafe3dc15e1b6d3465aaf03333aa65ce81959ce0d4bd735aa8b","version":1,"value":"[[\"Cuenta\",\"Debe\",\"Haber\"],[\"Impuestos a Pagar\",\"1.633.944,42\",\"\"],[\"Deuda por Plan de Facilidades de Pago\",\"\",\"1.633.944,42\"],[\"Cuenta\",\"Debe\",\"Haber\"],[\"Deuda por Plan de Facilidades de Pago\",\"283.071,87\",\"\"],[\"Intereses por Plan de Facilidades de Pago\",\"11.322,88\",\"\"],[\"Banco\",\"\",\"294.394,75\"]]"}</t>
  </si>
  <si>
    <t>{"hash":"0938fe12ec547f89ed0b50297ee1ad2e75b8368d44903a7f9eb1ee45ac670a58","version":1,"value":"[[\"Crítico\"]]"}</t>
  </si>
  <si>
    <t>{"hash":"16d3c5a9bfbe623163ea2274a74a88f20ce29490ed69bcfd1b4ff5edbbf642d2","version":1,"value":"[[\"Crítico\"]]"}</t>
  </si>
  <si>
    <t>{"hash":"ac8edd102551d711ec4b6f94677af628fe62951c81470461340f0f260cf1e902","version":1,"value":"[[\"Crítico\"]]"}</t>
  </si>
  <si>
    <t>{"hash":"9768f760d277fa124be2c29995769408a0c96102a770dd5f6ee17377c889abf8","version":1,"value":"[[\"Bajo\"]]"}</t>
  </si>
  <si>
    <t>{"hash":"89eb9b7f66056d31f1e7aed3c565a2d536747741c03b61cf295b9a0bb2e4a47e","version":1,"value":"[[\"Moderado\"]]"}</t>
  </si>
  <si>
    <t>{"hash":"e637cf6fb762791a12159e2c8cf369f817e8c8bf25fdee03e3ff30eec3b5e8bf","version":1,"value":"[[\"Bajo\"]]"}</t>
  </si>
  <si>
    <t>{"hash":"6e193a3e6bd707f5b590974b6e03084f49e757abbaad910e8e690f6f1ce05764","version":1,"value":"[[\"Crítico\"]]"}</t>
  </si>
  <si>
    <t>{"hash":"742f62d18dae34aead5aac01c7d846311c88faf151c590ac5e82602fb8927aa3","version":1,"value":"[[\"Crítico\"]]"}</t>
  </si>
  <si>
    <r>
      <t xml:space="preserve">INTERESES </t>
    </r>
    <r>
      <rPr>
        <b/>
        <sz val="11"/>
        <color theme="3" tint="0.249977111117893"/>
        <rFont val="Aptos Narrow"/>
        <family val="2"/>
        <scheme val="minor"/>
      </rPr>
      <t>RESARCITORIOS</t>
    </r>
    <r>
      <rPr>
        <b/>
        <sz val="11"/>
        <color theme="1"/>
        <rFont val="Aptos Narrow"/>
        <family val="2"/>
        <scheme val="minor"/>
      </rPr>
      <t xml:space="preserve"> </t>
    </r>
  </si>
  <si>
    <r>
      <t xml:space="preserve">INTERESES POR </t>
    </r>
    <r>
      <rPr>
        <b/>
        <sz val="11"/>
        <color theme="4" tint="-0.249977111117893"/>
        <rFont val="Aptos Narrow"/>
        <family val="2"/>
        <scheme val="minor"/>
      </rPr>
      <t>EMPRESA</t>
    </r>
  </si>
  <si>
    <t>GENERADOS</t>
  </si>
  <si>
    <t>POR PAGAR</t>
  </si>
  <si>
    <r>
      <t>DEUDA PENDIENTE POR</t>
    </r>
    <r>
      <rPr>
        <b/>
        <sz val="11"/>
        <color theme="3" tint="0.249977111117893"/>
        <rFont val="Aptos Narrow"/>
        <family val="2"/>
        <scheme val="minor"/>
      </rPr>
      <t xml:space="preserve"> EMPRESA</t>
    </r>
    <r>
      <rPr>
        <b/>
        <sz val="11"/>
        <color theme="6"/>
        <rFont val="Aptos Narrow"/>
        <family val="2"/>
        <scheme val="minor"/>
      </rPr>
      <t xml:space="preserve"> </t>
    </r>
    <r>
      <rPr>
        <b/>
        <sz val="11"/>
        <rFont val="Aptos Narrow"/>
        <family val="2"/>
        <scheme val="minor"/>
      </rPr>
      <t>Y</t>
    </r>
    <r>
      <rPr>
        <b/>
        <sz val="11"/>
        <color theme="4" tint="-0.249977111117893"/>
        <rFont val="Aptos Narrow"/>
        <family val="2"/>
        <scheme val="minor"/>
      </rPr>
      <t xml:space="preserve"> </t>
    </r>
    <r>
      <rPr>
        <b/>
        <sz val="11"/>
        <color theme="3" tint="0.249977111117893"/>
        <rFont val="Aptos Narrow"/>
        <family val="2"/>
        <scheme val="minor"/>
      </rPr>
      <t>PLAN</t>
    </r>
  </si>
  <si>
    <t>MONTO $</t>
  </si>
  <si>
    <t>{"hash":"e5f2ebd18d99ab2656ecdebd947484cb9ac35766418743431780cf88a07cfe7c","version":1,"value":"[[\"Crítico\"]]"}</t>
  </si>
  <si>
    <t>{"hash":"871d8491107cf72f9a673f31c9c70e0b8744916534a42bd3d390d70173a3a627","version":1,"value":"[[\"Bajo\"]]"}</t>
  </si>
  <si>
    <t>{"hash":"7e3a9bb721b55b6cae56b9d23e9725def2177120107987efaf1b1df822dcfff3","version":1,"value":"[[\"Crítico\"]]"}</t>
  </si>
  <si>
    <t>INT FINANCIEROS</t>
  </si>
  <si>
    <t>TOTAL $</t>
  </si>
  <si>
    <r>
      <t>POR</t>
    </r>
    <r>
      <rPr>
        <b/>
        <sz val="11"/>
        <color theme="4"/>
        <rFont val="Aptos Narrow"/>
        <family val="2"/>
        <scheme val="minor"/>
      </rPr>
      <t xml:space="preserve"> EMPRESA</t>
    </r>
  </si>
  <si>
    <t>VTO PROX 30 DÍAS</t>
  </si>
  <si>
    <t>VTO PROX 60 DÍAS</t>
  </si>
  <si>
    <r>
      <t>PROYECCIÓN DE VENCIMIENTOS POR POR EMPRESA</t>
    </r>
    <r>
      <rPr>
        <b/>
        <sz val="11"/>
        <color theme="4"/>
        <rFont val="Aptos Narrow"/>
        <family val="2"/>
        <scheme val="minor"/>
      </rPr>
      <t xml:space="preserve"> </t>
    </r>
    <r>
      <rPr>
        <b/>
        <sz val="11"/>
        <color theme="3" tint="0.249977111117893"/>
        <rFont val="Aptos Narrow"/>
        <family val="2"/>
        <scheme val="minor"/>
      </rPr>
      <t>(AGING)</t>
    </r>
  </si>
  <si>
    <r>
      <t xml:space="preserve">RESUMEN DEUDA PENDIENTE </t>
    </r>
    <r>
      <rPr>
        <b/>
        <sz val="11"/>
        <color theme="3" tint="0.249977111117893"/>
        <rFont val="Aptos Narrow"/>
        <family val="2"/>
        <scheme val="minor"/>
      </rPr>
      <t>POR EMPRESA</t>
    </r>
  </si>
  <si>
    <t>{"hash":"6aca4f1a1ec1a0b6ffbe27c61029fd951054a9991d8c984c6a26df8f912c4847","version":1,"value":"[[\"Situación patrimonial de Nelly´s Data al 07/06/2024. Tiene 13 planes de facilidades de pago activos con ARCA. Deuda total pendiente: $13.073.964,41. Vence en los próximos 30 días: $1.964.964,41. Cuotas en 2DO VTO: 13. % de carga financiera: 17,7%. El informe es para presentar al cliente.\"]]"}</t>
  </si>
  <si>
    <t>{"hash":"3efb0f34518b2657f6262007ff28a0d1c35c766cb5738f0c09ee671a53808091","version":1,"value":"[[\"Situación patrimonial de Nelly´s Data al 16/06/2024. Tiene 7 planes de facilidades de pago activos con ARCA. Deuda total pendiente: $13.073.964,41. Vence en los próximos 30 días: $1.073.964,41. Cuotas en 2DO VTO: 84. % de carga financiera: 19,7%.\"]]"}</t>
  </si>
  <si>
    <t>{"hash":"631219159c0c377cf24684efca733b0702d6e92829826845ba3d253a28bd9c2f","version":1,"value":"[[\"Situación patrimonial de la empresa al 10/06/2024. Tiene 20 planes de facilidades de pago activos con ARCA. Deuda total pendiente: $2.019.964,41. Vence en los próximos 30 días: $1.028.964,41. Cuotas en 2DO VTO: 1.200. % de carga financiera: 16,2%.\"]]"}</t>
  </si>
  <si>
    <t>{"hash":"b8b0c8b6d76baa53afbd89f745acbfde0286434993bdf4e70071f816b41ebde1","version":1,"value":"[[\"Situación patrimonial de Nelly´s Data al 16/06/2024. Tiene 12 planes de facilidades de pago activos con ARCA. Deuda total pendiente: $13.073.073,41. Vence en los próximos 30 días: $1.073.073,41. Cuotas en 2DO VTO: 12. % de carga financiera: 8,2%.\"]]"}</t>
  </si>
  <si>
    <t>{"hash":"4bd81a3e4260512d2b3a5c55e5c5757349f4de4a8b966ed863bc03b762247950","version":1,"value":"[[\"Situación patrimonial al 03 de mayo de 2026 para &amp;empresa&amp;: La empresa posee &amp;cant_planes&amp; planes de facilidades de pago activos con ARCA. La deuda total pendiente asciende a $&amp;total_pendiente&amp;. En los próximos 30 días vencen obligaciones por $&amp;vto_30&amp;. Actualmente, hay \\\"&amp;cant_2dovto&amp;\\\" cuotas en 2DO VTO. El porcentaje de carga financiera sobre el total es de \\\"&amp;porc_intereses&amp;\\\"%.\"]]"}</t>
  </si>
  <si>
    <t>Eres un asistente especializado en asesoramiento tributario y contable para contadores públicos de Argentina. Te voy a adjuntar un archivo Excel con planes de facilidades de pago de ARCA (ex AFIP) de varios contribuyentes. El archivo contiene las siguientes columnas: Cuota N°, Capital($), Interés Financiero($), Interés Resarcitorio($), Total($), Fecha Vto., Plan, Status (PAGADO / PENDIENTE / 2DO VTO), Nro cuotas, Empresa. Con esa información necesito que por cada empresa me generes: 1. **Situación patrimonial actual** → párrafo formal para incluir en un informe profesional contable 2. **Análisis de riesgo** → si tiene cuotas en 2DO VTO, qué riesgo de caducidad del plan existe 3. **Proyección de compromisos** → cuánto debe desembolsar en los próximos 30, 60 y 90 días 4. **Recomendación profesional** → qué debería hacer el contribuyente en función de su situación El tono debe ser formal, en español argentino, apto para presentar al cliente o ante un organismo.</t>
  </si>
  <si>
    <t>Prompt ORIGINAL</t>
  </si>
  <si>
    <t>Regla importante sobre los datos: - El status "2DO VTO" es solo informativo. Indica que la cuota no fue pagada en su primer vencimiento (PENDIENTE) y ya generó un segundo vencimiento con recargo. NO debe sumarse al monto adeudado porque representa la misma cuota que su par PENDIENTE, solo con intereses resarcitorios adicionales. - Para calcular deuda real y proyecciones usar ÚNICAMENTE registros con status "PENDIENTE". - Los registros "2DO VTO" solo se usan para identificar cuotas en mora y evaluar riesgo de caducidad del plan.</t>
  </si>
  <si>
    <t>Prompt ACLARATORIO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</si>
</sst>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 #,##0_-;_-* &quot;-&quot;_-;_-@_-"/>
    <numFmt numFmtId="43" formatCode="_-* #,##0.00_-;\-* #,##0.00_-;_-* &quot;-&quot;??_-;_-@_-"/>
    <numFmt numFmtId="164" formatCode="_ * #,##0.00_ ;_ * \-#,##0.00_ ;_ * &quot;-&quot;??_ ;_ @_ "/>
    <numFmt numFmtId="165" formatCode="dd/mm/yyyy;@"/>
    <numFmt numFmtId="166" formatCode="mm/yyyy;@"/>
    <numFmt numFmtId="167" formatCode="mm/yyyy"/>
    <numFmt numFmtId="168" formatCode="#,##0.00_ ;\-#,##0.00\ "/>
  </numFmts>
  <fonts count="32"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theme="1"/>
      <name val="Aptos Narrow"/>
      <family val="2"/>
      <scheme val="minor"/>
    </font>
    <font>
      <b/>
      <sz val="11"/>
      <color theme="0"/>
      <name val="Aptos Narrow"/>
      <family val="2"/>
      <scheme val="minor"/>
    </font>
    <font>
      <b/>
      <sz val="10"/>
      <color theme="1"/>
      <name val="Aptos Narrow"/>
      <family val="2"/>
      <scheme val="minor"/>
    </font>
    <font>
      <b/>
      <sz val="11"/>
      <color theme="6"/>
      <name val="Aptos Narrow"/>
      <family val="2"/>
      <scheme val="minor"/>
    </font>
    <font>
      <sz val="11"/>
      <color theme="9" tint="0.79998168889431442"/>
      <name val="Aptos Narrow"/>
      <family val="2"/>
      <scheme val="minor"/>
    </font>
    <font>
      <b/>
      <sz val="11"/>
      <color theme="0" tint="-4.9989318521683403E-2"/>
      <name val="Aptos Narrow"/>
      <family val="2"/>
      <scheme val="minor"/>
    </font>
    <font>
      <b/>
      <sz val="11"/>
      <color theme="8" tint="-0.249977111117893"/>
      <name val="Aptos Narrow"/>
      <family val="2"/>
      <scheme val="minor"/>
    </font>
    <font>
      <b/>
      <sz val="11"/>
      <name val="Aptos Narrow"/>
      <family val="2"/>
      <scheme val="minor"/>
    </font>
    <font>
      <b/>
      <sz val="11"/>
      <color rgb="FFFF0000"/>
      <name val="Aptos Narrow"/>
      <family val="2"/>
      <scheme val="minor"/>
    </font>
    <font>
      <b/>
      <sz val="11"/>
      <color theme="4" tint="-0.249977111117893"/>
      <name val="Aptos Narrow"/>
      <family val="2"/>
      <scheme val="minor"/>
    </font>
    <font>
      <b/>
      <sz val="11"/>
      <color theme="8" tint="-0.499984740745262"/>
      <name val="Aptos Narrow"/>
      <family val="2"/>
      <scheme val="minor"/>
    </font>
    <font>
      <sz val="11"/>
      <color theme="5" tint="0.39997558519241921"/>
      <name val="Aptos Narrow"/>
      <family val="2"/>
      <scheme val="minor"/>
    </font>
    <font>
      <b/>
      <sz val="14"/>
      <color theme="5" tint="0.39997558519241921"/>
      <name val="Aptos Narrow"/>
      <family val="2"/>
      <scheme val="minor"/>
    </font>
    <font>
      <b/>
      <sz val="11"/>
      <color theme="0"/>
      <name val="Segoe UI"/>
      <family val="2"/>
    </font>
    <font>
      <sz val="10"/>
      <color theme="1"/>
      <name val="Aptos Narrow"/>
      <family val="2"/>
      <scheme val="minor"/>
    </font>
    <font>
      <b/>
      <sz val="12"/>
      <color theme="0"/>
      <name val="Aptos Narrow"/>
      <family val="2"/>
      <scheme val="minor"/>
    </font>
    <font>
      <sz val="11"/>
      <color theme="0"/>
      <name val="Aptos Narrow"/>
      <family val="2"/>
      <scheme val="minor"/>
    </font>
    <font>
      <b/>
      <sz val="11"/>
      <color theme="8"/>
      <name val="Aptos Narrow"/>
      <family val="2"/>
      <scheme val="minor"/>
    </font>
    <font>
      <i/>
      <sz val="11"/>
      <color theme="1"/>
      <name val="Aptos Narrow"/>
      <family val="2"/>
      <scheme val="minor"/>
    </font>
    <font>
      <b/>
      <sz val="11"/>
      <color theme="8" tint="0.39997558519241921"/>
      <name val="Aptos Narrow"/>
      <family val="2"/>
      <scheme val="minor"/>
    </font>
    <font>
      <b/>
      <sz val="11"/>
      <color theme="3"/>
      <name val="Aptos Narrow"/>
      <family val="2"/>
      <scheme val="minor"/>
    </font>
    <font>
      <b/>
      <sz val="11"/>
      <color theme="3" tint="0.499984740745262"/>
      <name val="Aptos Narrow"/>
      <family val="2"/>
      <scheme val="minor"/>
    </font>
    <font>
      <b/>
      <sz val="11"/>
      <color theme="3" tint="0.249977111117893"/>
      <name val="Aptos Narrow"/>
      <family val="2"/>
      <scheme val="minor"/>
    </font>
    <font>
      <sz val="11"/>
      <name val="Aptos Narrow"/>
      <family val="2"/>
      <scheme val="minor"/>
    </font>
    <font>
      <b/>
      <sz val="11"/>
      <color theme="6" tint="-0.499984740745262"/>
      <name val="Aptos Narrow"/>
      <family val="2"/>
      <scheme val="minor"/>
    </font>
    <font>
      <b/>
      <sz val="12"/>
      <color theme="6" tint="-0.499984740745262"/>
      <name val="Aptos Narrow"/>
      <family val="2"/>
      <scheme val="minor"/>
    </font>
    <font>
      <sz val="8"/>
      <name val="Aptos Narrow"/>
      <family val="2"/>
      <scheme val="minor"/>
    </font>
    <font>
      <b/>
      <sz val="11"/>
      <color theme="4"/>
      <name val="Aptos Narrow"/>
      <family val="2"/>
      <scheme val="minor"/>
    </font>
    <font>
      <b/>
      <sz val="11"/>
      <color theme="4" tint="0.39997558519241921"/>
      <name val="Segoe UI"/>
      <family val="2"/>
    </font>
  </fonts>
  <fills count="16">
    <fill>
      <patternFill patternType="none"/>
    </fill>
    <fill>
      <patternFill patternType="gray125"/>
    </fill>
    <fill>
      <patternFill patternType="solid">
        <fgColor theme="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0" tint="-0.14999847407452621"/>
        <bgColor theme="0" tint="-0.14999847407452621"/>
      </patternFill>
    </fill>
    <fill>
      <patternFill patternType="solid">
        <fgColor theme="6"/>
        <bgColor indexed="64"/>
      </patternFill>
    </fill>
    <fill>
      <patternFill patternType="solid">
        <fgColor theme="7"/>
        <bgColor indexed="64"/>
      </patternFill>
    </fill>
    <fill>
      <patternFill patternType="solid">
        <fgColor theme="6" tint="0.39997558519241921"/>
        <bgColor indexed="64"/>
      </patternFill>
    </fill>
    <fill>
      <patternFill patternType="solid">
        <fgColor theme="6"/>
        <bgColor theme="0" tint="-0.14999847407452621"/>
      </patternFill>
    </fill>
    <fill>
      <patternFill patternType="solid">
        <fgColor theme="7"/>
        <bgColor theme="5"/>
      </patternFill>
    </fill>
    <fill>
      <patternFill patternType="solid">
        <fgColor theme="6" tint="0.79998168889431442"/>
        <bgColor indexed="64"/>
      </patternFill>
    </fill>
    <fill>
      <patternFill patternType="solid">
        <fgColor theme="4"/>
        <bgColor indexed="64"/>
      </patternFill>
    </fill>
    <fill>
      <patternFill patternType="solid">
        <fgColor theme="4" tint="-0.499984740745262"/>
        <bgColor indexed="64"/>
      </patternFill>
    </fill>
    <fill>
      <patternFill patternType="solid">
        <fgColor theme="3"/>
        <bgColor indexed="64"/>
      </patternFill>
    </fill>
  </fills>
  <borders count="5">
    <border>
      <left/>
      <right/>
      <top/>
      <bottom/>
      <diagonal/>
    </border>
    <border>
      <left style="thin">
        <color theme="5"/>
      </left>
      <right style="thin">
        <color theme="5"/>
      </right>
      <top style="thin">
        <color theme="5"/>
      </top>
      <bottom style="thin">
        <color theme="5"/>
      </bottom>
      <diagonal/>
    </border>
    <border>
      <left/>
      <right/>
      <top style="thin">
        <color theme="5"/>
      </top>
      <bottom/>
      <diagonal/>
    </border>
    <border>
      <left/>
      <right/>
      <top/>
      <bottom style="thin">
        <color theme="1"/>
      </bottom>
      <diagonal/>
    </border>
    <border>
      <left/>
      <right/>
      <top style="thin">
        <color theme="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6">
    <xf numFmtId="0" fontId="0" fillId="0" borderId="0" xfId="0"/>
    <xf numFmtId="43" fontId="0" fillId="0" borderId="0" xfId="1" applyFont="1"/>
    <xf numFmtId="0" fontId="0" fillId="0" borderId="0" xfId="0" applyAlignment="1">
      <alignment horizontal="center"/>
    </xf>
    <xf numFmtId="0" fontId="2" fillId="0" borderId="0" xfId="0" applyFont="1"/>
    <xf numFmtId="4" fontId="0" fillId="0" borderId="0" xfId="0" applyNumberFormat="1"/>
    <xf numFmtId="0" fontId="5" fillId="0" borderId="0" xfId="0" applyFont="1"/>
    <xf numFmtId="164" fontId="0" fillId="0" borderId="0" xfId="0" applyNumberFormat="1" applyAlignment="1">
      <alignment horizontal="center"/>
    </xf>
    <xf numFmtId="164" fontId="2" fillId="0" borderId="0" xfId="0" applyNumberFormat="1" applyFont="1" applyAlignment="1">
      <alignment horizontal="left"/>
    </xf>
    <xf numFmtId="14" fontId="0" fillId="0" borderId="0" xfId="0" applyNumberFormat="1"/>
    <xf numFmtId="0" fontId="3" fillId="0" borderId="0" xfId="0" applyFont="1"/>
    <xf numFmtId="3" fontId="0" fillId="0" borderId="0" xfId="0" applyNumberFormat="1"/>
    <xf numFmtId="4" fontId="2" fillId="0" borderId="0" xfId="0" applyNumberFormat="1" applyFont="1"/>
    <xf numFmtId="165" fontId="0" fillId="0" borderId="0" xfId="0" applyNumberFormat="1"/>
    <xf numFmtId="166" fontId="0" fillId="0" borderId="0" xfId="0" applyNumberFormat="1"/>
    <xf numFmtId="4" fontId="7" fillId="0" borderId="0" xfId="0" applyNumberFormat="1" applyFont="1"/>
    <xf numFmtId="4" fontId="8" fillId="2" borderId="0" xfId="0" applyNumberFormat="1" applyFont="1" applyFill="1"/>
    <xf numFmtId="4" fontId="7" fillId="2" borderId="0" xfId="0" applyNumberFormat="1" applyFont="1" applyFill="1"/>
    <xf numFmtId="4" fontId="10" fillId="0" borderId="0" xfId="0" applyNumberFormat="1" applyFont="1" applyAlignment="1">
      <alignment horizontal="center"/>
    </xf>
    <xf numFmtId="0" fontId="11" fillId="0" borderId="0" xfId="0" applyFont="1"/>
    <xf numFmtId="0" fontId="0" fillId="3" borderId="0" xfId="0" applyFill="1"/>
    <xf numFmtId="0" fontId="2" fillId="3" borderId="0" xfId="0" applyFont="1" applyFill="1"/>
    <xf numFmtId="4" fontId="0" fillId="3" borderId="0" xfId="0" applyNumberFormat="1" applyFill="1"/>
    <xf numFmtId="4" fontId="2" fillId="0" borderId="0" xfId="0" applyNumberFormat="1" applyFont="1" applyAlignment="1">
      <alignment horizontal="right"/>
    </xf>
    <xf numFmtId="41" fontId="1" fillId="0" borderId="0" xfId="1" applyNumberFormat="1" applyFont="1"/>
    <xf numFmtId="41" fontId="1" fillId="0" borderId="0" xfId="1" applyNumberFormat="1" applyFont="1" applyFill="1"/>
    <xf numFmtId="0" fontId="14" fillId="0" borderId="0" xfId="0" applyFont="1"/>
    <xf numFmtId="0" fontId="14" fillId="4" borderId="0" xfId="0" applyFont="1" applyFill="1"/>
    <xf numFmtId="0" fontId="14" fillId="5" borderId="0" xfId="0" applyFont="1" applyFill="1"/>
    <xf numFmtId="0" fontId="15" fillId="5" borderId="0" xfId="0" applyFont="1" applyFill="1"/>
    <xf numFmtId="4" fontId="8" fillId="0" borderId="0" xfId="0" applyNumberFormat="1" applyFont="1"/>
    <xf numFmtId="3" fontId="9" fillId="0" borderId="0" xfId="0" applyNumberFormat="1" applyFont="1"/>
    <xf numFmtId="0" fontId="16" fillId="5" borderId="0" xfId="0" applyFont="1" applyFill="1" applyAlignment="1">
      <alignment horizontal="center"/>
    </xf>
    <xf numFmtId="0" fontId="16" fillId="5" borderId="0" xfId="0" applyFont="1" applyFill="1" applyAlignment="1">
      <alignment horizontal="left" indent="1"/>
    </xf>
    <xf numFmtId="43" fontId="0" fillId="0" borderId="0" xfId="0" applyNumberFormat="1"/>
    <xf numFmtId="0" fontId="17" fillId="0" borderId="0" xfId="0" applyFont="1"/>
    <xf numFmtId="0" fontId="20" fillId="0" borderId="0" xfId="0" applyFont="1"/>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68" fontId="0" fillId="0" borderId="0" xfId="1" applyNumberFormat="1" applyFont="1" applyAlignment="1">
      <alignment vertical="center" wrapText="1"/>
    </xf>
    <xf numFmtId="0" fontId="21" fillId="0" borderId="0" xfId="0" applyFont="1" applyAlignment="1">
      <alignment horizontal="left" vertical="center" indent="1"/>
    </xf>
    <xf numFmtId="0" fontId="22" fillId="0" borderId="0" xfId="0" applyFont="1" applyAlignment="1">
      <alignment horizontal="left" wrapText="1"/>
    </xf>
    <xf numFmtId="0" fontId="0" fillId="6" borderId="0" xfId="0" applyFill="1" applyAlignment="1">
      <alignment horizontal="center"/>
    </xf>
    <xf numFmtId="4" fontId="0" fillId="6" borderId="0" xfId="0" applyNumberFormat="1" applyFill="1"/>
    <xf numFmtId="43" fontId="0" fillId="6" borderId="0" xfId="1" applyFont="1" applyFill="1"/>
    <xf numFmtId="14" fontId="0" fillId="6" borderId="0" xfId="0" applyNumberFormat="1" applyFill="1"/>
    <xf numFmtId="43" fontId="0" fillId="6" borderId="0" xfId="1" applyFont="1" applyFill="1" applyAlignment="1">
      <alignment horizontal="center"/>
    </xf>
    <xf numFmtId="0" fontId="0" fillId="6" borderId="0" xfId="1" applyNumberFormat="1" applyFont="1" applyFill="1" applyAlignment="1">
      <alignment horizontal="center"/>
    </xf>
    <xf numFmtId="0" fontId="3" fillId="6" borderId="0" xfId="0" applyFont="1" applyFill="1"/>
    <xf numFmtId="43" fontId="0" fillId="0" borderId="0" xfId="1" applyFont="1" applyAlignment="1">
      <alignment horizontal="center"/>
    </xf>
    <xf numFmtId="0" fontId="0" fillId="0" borderId="0" xfId="1" applyNumberFormat="1" applyFont="1" applyAlignment="1">
      <alignment horizontal="center"/>
    </xf>
    <xf numFmtId="0" fontId="0" fillId="0" borderId="0" xfId="0" applyAlignment="1">
      <alignment horizontal="left" vertical="center" indent="1"/>
    </xf>
    <xf numFmtId="0" fontId="2" fillId="0" borderId="0" xfId="0" applyFont="1" applyAlignment="1">
      <alignment horizontal="left" vertical="center" indent="1"/>
    </xf>
    <xf numFmtId="4" fontId="8" fillId="8" borderId="0" xfId="0" applyNumberFormat="1" applyFont="1" applyFill="1"/>
    <xf numFmtId="0" fontId="4" fillId="8" borderId="0" xfId="0" applyFont="1" applyFill="1" applyAlignment="1">
      <alignment horizontal="center"/>
    </xf>
    <xf numFmtId="4" fontId="4" fillId="8" borderId="0" xfId="0" applyNumberFormat="1" applyFont="1" applyFill="1" applyAlignment="1">
      <alignment horizontal="center"/>
    </xf>
    <xf numFmtId="4" fontId="2" fillId="9" borderId="0" xfId="0" applyNumberFormat="1" applyFont="1" applyFill="1"/>
    <xf numFmtId="0" fontId="10" fillId="9" borderId="0" xfId="0" applyFont="1" applyFill="1" applyAlignment="1">
      <alignment horizontal="center"/>
    </xf>
    <xf numFmtId="3" fontId="10" fillId="9" borderId="0" xfId="0" applyNumberFormat="1" applyFont="1" applyFill="1"/>
    <xf numFmtId="0" fontId="0" fillId="10" borderId="0" xfId="0" applyFill="1" applyAlignment="1">
      <alignment horizontal="center"/>
    </xf>
    <xf numFmtId="4" fontId="0" fillId="10" borderId="0" xfId="0" applyNumberFormat="1" applyFill="1"/>
    <xf numFmtId="43" fontId="0" fillId="10" borderId="0" xfId="1" applyFont="1" applyFill="1"/>
    <xf numFmtId="14" fontId="0" fillId="10" borderId="0" xfId="0" applyNumberFormat="1" applyFill="1"/>
    <xf numFmtId="43" fontId="0" fillId="10" borderId="0" xfId="1" applyFont="1" applyFill="1" applyAlignment="1">
      <alignment horizontal="center"/>
    </xf>
    <xf numFmtId="0" fontId="2" fillId="2" borderId="0" xfId="0" applyFont="1" applyFill="1" applyAlignment="1">
      <alignment horizontal="left"/>
    </xf>
    <xf numFmtId="0" fontId="4" fillId="8" borderId="0" xfId="0" applyFont="1" applyFill="1" applyAlignment="1">
      <alignment horizontal="left" wrapText="1"/>
    </xf>
    <xf numFmtId="0" fontId="4" fillId="2" borderId="0" xfId="0" applyFont="1" applyFill="1"/>
    <xf numFmtId="0" fontId="19" fillId="2" borderId="0" xfId="0" applyFont="1" applyFill="1"/>
    <xf numFmtId="0" fontId="5" fillId="0" borderId="3" xfId="0" applyFont="1" applyBorder="1" applyAlignment="1">
      <alignment horizontal="center"/>
    </xf>
    <xf numFmtId="0" fontId="5" fillId="0" borderId="3" xfId="0" applyFont="1" applyBorder="1" applyAlignment="1">
      <alignment horizontal="center" wrapText="1"/>
    </xf>
    <xf numFmtId="0" fontId="2" fillId="0" borderId="4" xfId="0" applyFont="1" applyBorder="1"/>
    <xf numFmtId="43" fontId="2" fillId="7" borderId="4" xfId="0" applyNumberFormat="1" applyFont="1" applyFill="1" applyBorder="1"/>
    <xf numFmtId="43" fontId="2" fillId="0" borderId="4" xfId="0" applyNumberFormat="1" applyFont="1" applyBorder="1"/>
    <xf numFmtId="43" fontId="17" fillId="6" borderId="0" xfId="1" applyFont="1" applyFill="1"/>
    <xf numFmtId="43" fontId="17" fillId="0" borderId="0" xfId="1" applyFont="1"/>
    <xf numFmtId="3" fontId="0" fillId="12" borderId="0" xfId="0" applyNumberFormat="1" applyFill="1"/>
    <xf numFmtId="0" fontId="11" fillId="12" borderId="0" xfId="0" applyFont="1" applyFill="1" applyAlignment="1">
      <alignment horizontal="center"/>
    </xf>
    <xf numFmtId="0" fontId="0" fillId="0" borderId="0" xfId="0" applyAlignment="1">
      <alignment horizontal="center" wrapText="1"/>
    </xf>
    <xf numFmtId="43" fontId="0" fillId="0" borderId="0" xfId="1" applyFont="1" applyFill="1" applyBorder="1"/>
    <xf numFmtId="43" fontId="0" fillId="0" borderId="0" xfId="1" applyFont="1" applyFill="1" applyBorder="1" applyAlignment="1">
      <alignment horizontal="center"/>
    </xf>
    <xf numFmtId="0" fontId="0" fillId="0" borderId="0" xfId="1" applyNumberFormat="1" applyFont="1" applyFill="1" applyBorder="1" applyAlignment="1">
      <alignment horizontal="center"/>
    </xf>
    <xf numFmtId="4" fontId="0" fillId="0" borderId="0" xfId="1" applyNumberFormat="1" applyFont="1" applyFill="1" applyBorder="1"/>
    <xf numFmtId="4" fontId="8" fillId="13" borderId="0" xfId="0" applyNumberFormat="1" applyFont="1" applyFill="1"/>
    <xf numFmtId="4" fontId="4" fillId="13" borderId="0" xfId="0" applyNumberFormat="1" applyFont="1" applyFill="1" applyAlignment="1">
      <alignment horizontal="center"/>
    </xf>
    <xf numFmtId="0" fontId="11" fillId="3" borderId="0" xfId="0" applyFont="1" applyFill="1"/>
    <xf numFmtId="0" fontId="23" fillId="9" borderId="0" xfId="0" applyFont="1" applyFill="1" applyAlignment="1">
      <alignment horizontal="center"/>
    </xf>
    <xf numFmtId="4" fontId="23" fillId="9" borderId="0" xfId="0" applyNumberFormat="1" applyFont="1" applyFill="1" applyAlignment="1">
      <alignment horizontal="center"/>
    </xf>
    <xf numFmtId="0" fontId="4" fillId="14" borderId="0" xfId="0" applyFont="1" applyFill="1"/>
    <xf numFmtId="4" fontId="4" fillId="14" borderId="0" xfId="0" applyNumberFormat="1" applyFont="1" applyFill="1"/>
    <xf numFmtId="165" fontId="2" fillId="9" borderId="0" xfId="0" applyNumberFormat="1" applyFont="1" applyFill="1"/>
    <xf numFmtId="167" fontId="2" fillId="9" borderId="0" xfId="0" applyNumberFormat="1" applyFont="1" applyFill="1"/>
    <xf numFmtId="165" fontId="2" fillId="9" borderId="0" xfId="0" applyNumberFormat="1" applyFont="1" applyFill="1" applyAlignment="1">
      <alignment horizontal="center"/>
    </xf>
    <xf numFmtId="4" fontId="27" fillId="0" borderId="0" xfId="0" applyNumberFormat="1" applyFont="1"/>
    <xf numFmtId="4" fontId="26" fillId="0" borderId="0" xfId="0" applyNumberFormat="1" applyFont="1"/>
    <xf numFmtId="0" fontId="28" fillId="0" borderId="0" xfId="0" applyFont="1"/>
    <xf numFmtId="0" fontId="28" fillId="0" borderId="0" xfId="0" applyFont="1" applyAlignment="1">
      <alignment horizontal="center"/>
    </xf>
    <xf numFmtId="41" fontId="28" fillId="0" borderId="0" xfId="1" applyNumberFormat="1" applyFont="1"/>
    <xf numFmtId="41" fontId="28" fillId="0" borderId="0" xfId="1" applyNumberFormat="1" applyFont="1" applyFill="1"/>
    <xf numFmtId="0" fontId="10" fillId="0" borderId="0" xfId="0" applyFont="1"/>
    <xf numFmtId="0" fontId="0" fillId="15" borderId="0" xfId="0" applyFill="1"/>
    <xf numFmtId="0" fontId="0" fillId="13" borderId="0" xfId="0" applyFill="1"/>
    <xf numFmtId="9" fontId="0" fillId="0" borderId="0" xfId="2" applyFont="1"/>
    <xf numFmtId="4" fontId="30" fillId="0" borderId="0" xfId="0" applyNumberFormat="1" applyFont="1"/>
    <xf numFmtId="0" fontId="9" fillId="7" borderId="0" xfId="0" applyFont="1" applyFill="1" applyAlignment="1">
      <alignment horizontal="center"/>
    </xf>
    <xf numFmtId="3" fontId="9" fillId="7" borderId="0" xfId="0" applyNumberFormat="1" applyFont="1" applyFill="1"/>
    <xf numFmtId="4" fontId="4" fillId="15" borderId="0" xfId="0" applyNumberFormat="1" applyFont="1" applyFill="1"/>
    <xf numFmtId="0" fontId="2" fillId="7" borderId="0" xfId="0" applyFont="1" applyFill="1" applyAlignment="1">
      <alignment horizontal="center"/>
    </xf>
    <xf numFmtId="0" fontId="25" fillId="0" borderId="0" xfId="0" applyFont="1"/>
    <xf numFmtId="0" fontId="31" fillId="5" borderId="0" xfId="0" applyFont="1" applyFill="1" applyAlignment="1">
      <alignment horizontal="left" indent="1"/>
    </xf>
    <xf numFmtId="3" fontId="31" fillId="5" borderId="0" xfId="0" applyNumberFormat="1" applyFont="1" applyFill="1" applyAlignment="1">
      <alignment horizontal="center"/>
    </xf>
    <xf numFmtId="15" fontId="2" fillId="0" borderId="0" xfId="0" applyNumberFormat="1" applyFont="1" applyAlignment="1">
      <alignment horizontal="left"/>
    </xf>
    <xf numFmtId="0" fontId="18" fillId="11" borderId="1" xfId="0" applyFont="1" applyFill="1" applyBorder="1" applyAlignment="1">
      <alignment horizontal="center" wrapText="1"/>
    </xf>
    <xf numFmtId="0" fontId="0" fillId="0" borderId="2" xfId="0" applyBorder="1" applyAlignment="1">
      <alignment horizontal="left" wrapText="1"/>
    </xf>
    <xf numFmtId="0" fontId="0" fillId="0" borderId="0" xfId="0" applyAlignment="1">
      <alignment horizontal="left" wrapText="1"/>
    </xf>
    <xf numFmtId="0" fontId="13" fillId="0" borderId="0" xfId="0" applyFont="1" applyAlignment="1">
      <alignment horizontal="left" wrapText="1"/>
    </xf>
  </cellXfs>
  <cellStyles count="3">
    <cellStyle name="Millares" xfId="1" builtinId="3"/>
    <cellStyle name="Normal" xfId="0" builtinId="0"/>
    <cellStyle name="Porcentaje" xfId="2" builtinId="5"/>
  </cellStyles>
  <dxfs count="11">
    <dxf>
      <border outline="0">
        <top style="thin">
          <color theme="1"/>
        </top>
        <bottom style="thin">
          <color theme="1"/>
        </bottom>
      </border>
    </dxf>
    <dxf>
      <border outline="0">
        <bottom style="thin">
          <color theme="1"/>
        </bottom>
      </border>
    </dxf>
    <dxf>
      <font>
        <b/>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numFmt numFmtId="35" formatCode="_-* #,##0.00_-;\-* #,##0.00_-;_-* &quot;-&quot;??_-;_-@_-"/>
    </dxf>
    <dxf>
      <numFmt numFmtId="35" formatCode="_-* #,##0.00_-;\-* #,##0.00_-;_-* &quot;-&quot;??_-;_-@_-"/>
    </dxf>
    <dxf>
      <numFmt numFmtId="35" formatCode="_-* #,##0.00_-;\-* #,##0.00_-;_-* &quot;-&quot;??_-;_-@_-"/>
    </dxf>
    <dxf>
      <numFmt numFmtId="35" formatCode="_-* #,##0.00_-;\-* #,##0.00_-;_-* &quot;-&quot;??_-;_-@_-"/>
    </dxf>
    <dxf>
      <font>
        <b/>
        <sz val="11"/>
        <color theme="1"/>
      </font>
      <border>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SlicerStyleDark1 2" pivot="0" table="0" count="10" xr9:uid="{448E8BD3-2EAD-485A-8AC5-416FE812B566}">
      <tableStyleElement type="wholeTable" dxfId="10"/>
      <tableStyleElement type="headerRow" dxfId="9"/>
    </tableStyle>
    <tableStyle name="TimeSlicerStyleLight1 2" pivot="0" table="0" count="9" xr9:uid="{A7C1C31D-5EE6-4E5D-B19D-A7654EA68359}">
      <tableStyleElement type="wholeTable" dxfId="8"/>
      <tableStyleElement type="headerRow" dxfId="7"/>
    </tableStyle>
  </tableStyles>
  <colors>
    <mruColors>
      <color rgb="FFFFCC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r>
              <a:rPr lang="en-US" sz="1200" b="1" i="0" u="none" strike="noStrike" kern="1200" spc="0" baseline="0">
                <a:solidFill>
                  <a:schemeClr val="tx2"/>
                </a:solidFill>
              </a:rPr>
              <a:t>INTERESES RESARCITORIOS GENERADOS POR EMPRESA</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endParaRPr lang="es-AR"/>
        </a:p>
      </c:txPr>
    </c:title>
    <c:autoTitleDeleted val="0"/>
    <c:plotArea>
      <c:layout/>
      <c:doughnutChart>
        <c:varyColors val="1"/>
        <c:ser>
          <c:idx val="0"/>
          <c:order val="0"/>
          <c:tx>
            <c:strRef>
              <c:f>'FUNCIONES DINAMICAS'!$M$23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C7-4A2A-A1F6-6F94BFA13046}"/>
              </c:ext>
            </c:extLst>
          </c:dPt>
          <c:dPt>
            <c:idx val="1"/>
            <c:bubble3D val="0"/>
            <c:spPr>
              <a:solidFill>
                <a:schemeClr val="accent2">
                  <a:lumMod val="8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C7-4A2A-A1F6-6F94BFA13046}"/>
              </c:ext>
            </c:extLst>
          </c:dPt>
          <c:dPt>
            <c:idx val="2"/>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BC7-4A2A-A1F6-6F94BFA130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s-A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'FUNCIONES DINAMICAS'!$L$24:$L$26</c:f>
              <c:strCache>
                <c:ptCount val="3"/>
                <c:pt idx="0">
                  <c:v>123 Asociados</c:v>
                </c:pt>
                <c:pt idx="1">
                  <c:v>Carpe Diem</c:v>
                </c:pt>
                <c:pt idx="2">
                  <c:v>Nelly´s Data</c:v>
                </c:pt>
              </c:strCache>
            </c:strRef>
          </c:cat>
          <c:val>
            <c:numRef>
              <c:f>'FUNCIONES DINAMICAS'!$M$24:$M$26</c:f>
              <c:numCache>
                <c:formatCode>#,##0.00</c:formatCode>
                <c:ptCount val="3"/>
                <c:pt idx="0">
                  <c:v>1692212.9099999988</c:v>
                </c:pt>
                <c:pt idx="1">
                  <c:v>6203700.1800000062</c:v>
                </c:pt>
                <c:pt idx="2">
                  <c:v>18501686.459999967</c:v>
                </c:pt>
              </c:numCache>
            </c:numRef>
          </c:val>
          <c:extLst>
            <c:ext xmlns:c16="http://schemas.microsoft.com/office/drawing/2014/chart" uri="{C3380CC4-5D6E-409C-BE32-E72D297353CC}">
              <c16:uniqueId val="{00000006-2BC7-4A2A-A1F6-6F94BFA130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1" i="0" u="none" strike="noStrike" kern="1200" baseline="0">
                <a:solidFill>
                  <a:schemeClr val="tx2"/>
                </a:solidFill>
                <a:effectLst/>
                <a:latin typeface="+mn-lt"/>
                <a:ea typeface="+mn-ea"/>
                <a:cs typeface="+mn-cs"/>
              </a:defRPr>
            </a:pPr>
            <a:r>
              <a:rPr lang="es-AR" sz="1200" b="1">
                <a:solidFill>
                  <a:schemeClr val="tx2"/>
                </a:solidFill>
              </a:rPr>
              <a:t>PLANES MAS ALTOS POR PAGAR</a:t>
            </a:r>
          </a:p>
        </c:rich>
      </c:tx>
      <c:overlay val="0"/>
      <c:spPr>
        <a:noFill/>
        <a:ln>
          <a:noFill/>
        </a:ln>
        <a:effectLst/>
      </c:spPr>
      <c:txPr>
        <a:bodyPr rot="0" spcFirstLastPara="1" vertOverflow="ellipsis" vert="horz" wrap="square" anchor="ctr" anchorCtr="1"/>
        <a:lstStyle/>
        <a:p>
          <a:pPr>
            <a:defRPr b="1" i="0" u="none" strike="noStrike" kern="1200" baseline="0">
              <a:solidFill>
                <a:schemeClr val="tx2"/>
              </a:solidFill>
              <a:effectLst/>
              <a:latin typeface="+mn-lt"/>
              <a:ea typeface="+mn-ea"/>
              <a:cs typeface="+mn-cs"/>
            </a:defRPr>
          </a:pPr>
          <a:endParaRPr lang="es-AR"/>
        </a:p>
      </c:txPr>
    </c:title>
    <c:autoTitleDeleted val="0"/>
    <c:plotArea>
      <c:layout/>
      <c:barChart>
        <c:barDir val="col"/>
        <c:grouping val="clustered"/>
        <c:varyColors val="0"/>
        <c:ser>
          <c:idx val="0"/>
          <c:order val="0"/>
          <c:tx>
            <c:strRef>
              <c:f>'FUNCIONES DINAMICAS'!$AA$17</c:f>
              <c:strCache>
                <c:ptCount val="1"/>
                <c:pt idx="0">
                  <c:v>MONTO $</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'FUNCIONES DINAMICAS'!$Y$18:$Z$23</c:f>
              <c:multiLvlStrCache>
                <c:ptCount val="6"/>
                <c:lvl>
                  <c:pt idx="0">
                    <c:v>T66666</c:v>
                  </c:pt>
                  <c:pt idx="1">
                    <c:v>U00001</c:v>
                  </c:pt>
                  <c:pt idx="2">
                    <c:v>U77766</c:v>
                  </c:pt>
                  <c:pt idx="3">
                    <c:v>T88888</c:v>
                  </c:pt>
                  <c:pt idx="4">
                    <c:v>H12345</c:v>
                  </c:pt>
                  <c:pt idx="5">
                    <c:v>T88111</c:v>
                  </c:pt>
                </c:lvl>
                <c:lvl>
                  <c:pt idx="0">
                    <c:v>1</c:v>
                  </c:pt>
                  <c:pt idx="1">
                    <c:v>2</c:v>
                  </c:pt>
                  <c:pt idx="2">
                    <c:v>3</c:v>
                  </c:pt>
                  <c:pt idx="3">
                    <c:v>4</c:v>
                  </c:pt>
                  <c:pt idx="4">
                    <c:v>5</c:v>
                  </c:pt>
                  <c:pt idx="5">
                    <c:v>6</c:v>
                  </c:pt>
                </c:lvl>
              </c:multiLvlStrCache>
            </c:multiLvlStrRef>
          </c:cat>
          <c:val>
            <c:numRef>
              <c:f>'FUNCIONES DINAMICAS'!$AA$18:$AA$23</c:f>
              <c:numCache>
                <c:formatCode>#,##0.00</c:formatCode>
                <c:ptCount val="6"/>
                <c:pt idx="0">
                  <c:v>9770579.7400000002</c:v>
                </c:pt>
                <c:pt idx="1">
                  <c:v>9559090.7760000005</c:v>
                </c:pt>
                <c:pt idx="2">
                  <c:v>8299365.102</c:v>
                </c:pt>
                <c:pt idx="3">
                  <c:v>7934914.8879999993</c:v>
                </c:pt>
                <c:pt idx="4">
                  <c:v>6585436.0930000013</c:v>
                </c:pt>
                <c:pt idx="5">
                  <c:v>4891200.7909999983</c:v>
                </c:pt>
              </c:numCache>
            </c:numRef>
          </c:val>
          <c:extLst>
            <c:ext xmlns:c16="http://schemas.microsoft.com/office/drawing/2014/chart" uri="{C3380CC4-5D6E-409C-BE32-E72D297353CC}">
              <c16:uniqueId val="{00000000-6149-4A6D-BEB6-0C22A6A0ABDD}"/>
            </c:ext>
          </c:extLst>
        </c:ser>
        <c:dLbls>
          <c:dLblPos val="inEnd"/>
          <c:showLegendKey val="0"/>
          <c:showVal val="1"/>
          <c:showCatName val="0"/>
          <c:showSerName val="0"/>
          <c:showPercent val="0"/>
          <c:showBubbleSize val="0"/>
        </c:dLbls>
        <c:gapWidth val="41"/>
        <c:axId val="1901886528"/>
        <c:axId val="266791519"/>
      </c:barChart>
      <c:catAx>
        <c:axId val="190188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s-AR"/>
          </a:p>
        </c:txPr>
        <c:crossAx val="266791519"/>
        <c:crosses val="autoZero"/>
        <c:auto val="1"/>
        <c:lblAlgn val="ctr"/>
        <c:lblOffset val="100"/>
        <c:noMultiLvlLbl val="0"/>
      </c:catAx>
      <c:valAx>
        <c:axId val="266791519"/>
        <c:scaling>
          <c:orientation val="minMax"/>
        </c:scaling>
        <c:delete val="1"/>
        <c:axPos val="l"/>
        <c:numFmt formatCode="#,##0" sourceLinked="0"/>
        <c:majorTickMark val="none"/>
        <c:minorTickMark val="none"/>
        <c:tickLblPos val="none"/>
        <c:crossAx val="1901886528"/>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AR"/>
              </a:p>
            </c:txPr>
          </c:dispUnitsLbl>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s-AR" sz="1200" b="1">
                <a:solidFill>
                  <a:schemeClr val="tx2"/>
                </a:solidFill>
              </a:rPr>
              <a:t>DEUDA TOTAL</a:t>
            </a:r>
            <a:r>
              <a:rPr lang="es-AR" sz="1200" b="1" baseline="0">
                <a:solidFill>
                  <a:schemeClr val="tx2"/>
                </a:solidFill>
              </a:rPr>
              <a:t> POR EMPRESA</a:t>
            </a:r>
            <a:endParaRPr lang="es-AR"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s-AR"/>
        </a:p>
      </c:txPr>
    </c:title>
    <c:autoTitleDeleted val="0"/>
    <c:plotArea>
      <c:layout/>
      <c:barChart>
        <c:barDir val="col"/>
        <c:grouping val="stacked"/>
        <c:varyColors val="0"/>
        <c:ser>
          <c:idx val="0"/>
          <c:order val="0"/>
          <c:tx>
            <c:strRef>
              <c:f>'FUNCIONES DINAMICAS'!$AF$22</c:f>
              <c:strCache>
                <c:ptCount val="1"/>
                <c:pt idx="0">
                  <c:v>INT FINANCIEROS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'FUNCIONES DINAMICAS'!$AE$23:$AE$25</c:f>
              <c:strCache>
                <c:ptCount val="3"/>
                <c:pt idx="0">
                  <c:v>123 Asociados</c:v>
                </c:pt>
                <c:pt idx="1">
                  <c:v>Carpe Diem</c:v>
                </c:pt>
                <c:pt idx="2">
                  <c:v>Nelly´s Data</c:v>
                </c:pt>
              </c:strCache>
            </c:strRef>
          </c:cat>
          <c:val>
            <c:numRef>
              <c:f>'FUNCIONES DINAMICAS'!$AF$23:$AF$25</c:f>
              <c:numCache>
                <c:formatCode>#,##0.00</c:formatCode>
                <c:ptCount val="3"/>
                <c:pt idx="0">
                  <c:v>3239334.6610000003</c:v>
                </c:pt>
                <c:pt idx="1">
                  <c:v>5605096.6210000003</c:v>
                </c:pt>
                <c:pt idx="2">
                  <c:v>15773629.507999998</c:v>
                </c:pt>
              </c:numCache>
            </c:numRef>
          </c:val>
          <c:extLst>
            <c:ext xmlns:c16="http://schemas.microsoft.com/office/drawing/2014/chart" uri="{C3380CC4-5D6E-409C-BE32-E72D297353CC}">
              <c16:uniqueId val="{00000000-B9C1-4861-862F-51014981CF00}"/>
            </c:ext>
          </c:extLst>
        </c:ser>
        <c:ser>
          <c:idx val="1"/>
          <c:order val="1"/>
          <c:tx>
            <c:strRef>
              <c:f>'FUNCIONES DINAMICAS'!$AG$22</c:f>
              <c:strCache>
                <c:ptCount val="1"/>
                <c:pt idx="0">
                  <c:v>TOTAL $</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'FUNCIONES DINAMICAS'!$AE$23:$AE$25</c:f>
              <c:strCache>
                <c:ptCount val="3"/>
                <c:pt idx="0">
                  <c:v>123 Asociados</c:v>
                </c:pt>
                <c:pt idx="1">
                  <c:v>Carpe Diem</c:v>
                </c:pt>
                <c:pt idx="2">
                  <c:v>Nelly´s Data</c:v>
                </c:pt>
              </c:strCache>
            </c:strRef>
          </c:cat>
          <c:val>
            <c:numRef>
              <c:f>'FUNCIONES DINAMICAS'!$AG$23:$AG$25</c:f>
              <c:numCache>
                <c:formatCode>#,##0.00</c:formatCode>
                <c:ptCount val="3"/>
                <c:pt idx="0">
                  <c:v>7310420.1539999889</c:v>
                </c:pt>
                <c:pt idx="1">
                  <c:v>22280306.952000022</c:v>
                </c:pt>
                <c:pt idx="2">
                  <c:v>59291244.96999985</c:v>
                </c:pt>
              </c:numCache>
            </c:numRef>
          </c:val>
          <c:extLst>
            <c:ext xmlns:c16="http://schemas.microsoft.com/office/drawing/2014/chart" uri="{C3380CC4-5D6E-409C-BE32-E72D297353CC}">
              <c16:uniqueId val="{00000001-B9C1-4861-862F-51014981CF00}"/>
            </c:ext>
          </c:extLst>
        </c:ser>
        <c:dLbls>
          <c:showLegendKey val="0"/>
          <c:showVal val="0"/>
          <c:showCatName val="0"/>
          <c:showSerName val="0"/>
          <c:showPercent val="0"/>
          <c:showBubbleSize val="0"/>
        </c:dLbls>
        <c:gapWidth val="219"/>
        <c:overlap val="100"/>
        <c:axId val="1322403455"/>
        <c:axId val="1335988799"/>
      </c:barChart>
      <c:catAx>
        <c:axId val="13224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35988799"/>
        <c:crosses val="autoZero"/>
        <c:auto val="1"/>
        <c:lblAlgn val="ctr"/>
        <c:lblOffset val="100"/>
        <c:noMultiLvlLbl val="0"/>
      </c:catAx>
      <c:valAx>
        <c:axId val="1335988799"/>
        <c:scaling>
          <c:orientation val="minMax"/>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224034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s-AR"/>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r>
              <a:rPr lang="en-US" sz="1200" b="1">
                <a:solidFill>
                  <a:schemeClr val="tx2"/>
                </a:solidFill>
              </a:rPr>
              <a:t>INTERESES FINANCIEROS</a:t>
            </a:r>
            <a:r>
              <a:rPr lang="en-US" sz="1200" b="1" baseline="0">
                <a:solidFill>
                  <a:schemeClr val="tx2"/>
                </a:solidFill>
              </a:rPr>
              <a:t> </a:t>
            </a:r>
            <a:r>
              <a:rPr lang="en-US" sz="1200" b="1">
                <a:solidFill>
                  <a:schemeClr val="tx2"/>
                </a:solidFill>
              </a:rPr>
              <a:t>GENERADOS POR EMPRESA</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endParaRPr lang="es-AR"/>
        </a:p>
      </c:txPr>
    </c:title>
    <c:autoTitleDeleted val="0"/>
    <c:plotArea>
      <c:layout/>
      <c:barChart>
        <c:barDir val="bar"/>
        <c:grouping val="clustered"/>
        <c:varyColors val="0"/>
        <c:ser>
          <c:idx val="0"/>
          <c:order val="0"/>
          <c:tx>
            <c:strRef>
              <c:f>'FUNCIONES DINAMICAS'!$M$15</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2-4F29-436B-BC72-1ED8B059B91B}"/>
              </c:ext>
            </c:extLst>
          </c:dPt>
          <c:dPt>
            <c:idx val="1"/>
            <c:invertIfNegative val="0"/>
            <c:bubble3D val="0"/>
            <c:spPr>
              <a:solidFill>
                <a:schemeClr val="tx1"/>
              </a:solidFill>
              <a:ln>
                <a:noFill/>
              </a:ln>
              <a:effectLst/>
            </c:spPr>
            <c:extLst>
              <c:ext xmlns:c16="http://schemas.microsoft.com/office/drawing/2014/chart" uri="{C3380CC4-5D6E-409C-BE32-E72D297353CC}">
                <c16:uniqueId val="{00000001-4F29-436B-BC72-1ED8B059B9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'FUNCIONES DINAMICAS'!$L$16:$L$17</c:f>
              <c:strCache>
                <c:ptCount val="2"/>
                <c:pt idx="0">
                  <c:v>123 Asociados</c:v>
                </c:pt>
                <c:pt idx="1">
                  <c:v>Carpe Diem</c:v>
                </c:pt>
              </c:strCache>
            </c:strRef>
          </c:cat>
          <c:val>
            <c:numRef>
              <c:f>'FUNCIONES DINAMICAS'!$M$16:$M$17</c:f>
              <c:numCache>
                <c:formatCode>#,##0.00</c:formatCode>
                <c:ptCount val="2"/>
                <c:pt idx="0">
                  <c:v>3239334.6610000003</c:v>
                </c:pt>
                <c:pt idx="1">
                  <c:v>5605096.6210000003</c:v>
                </c:pt>
              </c:numCache>
            </c:numRef>
          </c:val>
          <c:extLst>
            <c:ext xmlns:c16="http://schemas.microsoft.com/office/drawing/2014/chart" uri="{C3380CC4-5D6E-409C-BE32-E72D297353CC}">
              <c16:uniqueId val="{00000000-4F29-436B-BC72-1ED8B059B91B}"/>
            </c:ext>
          </c:extLst>
        </c:ser>
        <c:dLbls>
          <c:showLegendKey val="0"/>
          <c:showVal val="0"/>
          <c:showCatName val="0"/>
          <c:showSerName val="0"/>
          <c:showPercent val="0"/>
          <c:showBubbleSize val="0"/>
        </c:dLbls>
        <c:gapWidth val="182"/>
        <c:axId val="113845215"/>
        <c:axId val="113847135"/>
      </c:barChart>
      <c:catAx>
        <c:axId val="11384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AR"/>
          </a:p>
        </c:txPr>
        <c:crossAx val="113847135"/>
        <c:crosses val="autoZero"/>
        <c:auto val="1"/>
        <c:lblAlgn val="ctr"/>
        <c:lblOffset val="100"/>
        <c:noMultiLvlLbl val="0"/>
      </c:catAx>
      <c:valAx>
        <c:axId val="113847135"/>
        <c:scaling>
          <c:orientation val="minMax"/>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3845215"/>
        <c:crosses val="autoZero"/>
        <c:crossBetween val="between"/>
        <c:dispUnits>
          <c:builtInUnit val="millions"/>
          <c:dispUnitsLbl>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s-AR"/>
              </a:p>
            </c:txPr>
          </c:dispUnitsLbl>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0</xdr:row>
      <xdr:rowOff>161925</xdr:rowOff>
    </xdr:from>
    <xdr:to>
      <xdr:col>2</xdr:col>
      <xdr:colOff>1137541</xdr:colOff>
      <xdr:row>4</xdr:row>
      <xdr:rowOff>9545</xdr:rowOff>
    </xdr:to>
    <xdr:pic>
      <xdr:nvPicPr>
        <xdr:cNvPr id="3" name="Imagen 2" descr="CPCE CORRIENTES">
          <a:extLst>
            <a:ext uri="{FF2B5EF4-FFF2-40B4-BE49-F238E27FC236}">
              <a16:creationId xmlns:a16="http://schemas.microsoft.com/office/drawing/2014/main" id="{3E986C2E-9C9B-494F-9BD8-CDBE5BD2EF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61925"/>
          <a:ext cx="1918591" cy="609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174950</xdr:colOff>
      <xdr:row>0</xdr:row>
      <xdr:rowOff>138773</xdr:rowOff>
    </xdr:from>
    <xdr:to>
      <xdr:col>2</xdr:col>
      <xdr:colOff>664791</xdr:colOff>
      <xdr:row>3</xdr:row>
      <xdr:rowOff>165230</xdr:rowOff>
    </xdr:to>
    <xdr:pic>
      <xdr:nvPicPr>
        <xdr:cNvPr id="3" name="Imagen 2" descr="CPCE CORRIENTES">
          <a:extLst>
            <a:ext uri="{FF2B5EF4-FFF2-40B4-BE49-F238E27FC236}">
              <a16:creationId xmlns:a16="http://schemas.microsoft.com/office/drawing/2014/main" id="{873A7E9D-5A19-43C0-00DA-4503254471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4950" y="138773"/>
          <a:ext cx="1918591" cy="609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21022</xdr:rowOff>
    </xdr:from>
    <xdr:to>
      <xdr:col>15</xdr:col>
      <xdr:colOff>0</xdr:colOff>
      <xdr:row>4</xdr:row>
      <xdr:rowOff>152401</xdr:rowOff>
    </xdr:to>
    <xdr:sp macro="" textlink="">
      <xdr:nvSpPr>
        <xdr:cNvPr id="6" name="Rectángulo: esquinas redondeadas 5">
          <a:extLst>
            <a:ext uri="{FF2B5EF4-FFF2-40B4-BE49-F238E27FC236}">
              <a16:creationId xmlns:a16="http://schemas.microsoft.com/office/drawing/2014/main" id="{25114DDB-ED7C-979D-B2ED-8159CC0E384A}"/>
            </a:ext>
          </a:extLst>
        </xdr:cNvPr>
        <xdr:cNvSpPr/>
      </xdr:nvSpPr>
      <xdr:spPr>
        <a:xfrm>
          <a:off x="0" y="21022"/>
          <a:ext cx="12553950" cy="893379"/>
        </a:xfrm>
        <a:prstGeom prst="round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AR" sz="1100"/>
            <a:t>				</a:t>
          </a:r>
        </a:p>
        <a:p>
          <a:pPr algn="l"/>
          <a:r>
            <a:rPr lang="es-AR" sz="1100"/>
            <a:t>			</a:t>
          </a:r>
          <a:r>
            <a:rPr lang="es-AR" sz="1400" b="1"/>
            <a:t>INFORMACIÓN</a:t>
          </a:r>
          <a:r>
            <a:rPr lang="es-AR" sz="1400" b="1" baseline="0"/>
            <a:t> SOBRE LOS </a:t>
          </a:r>
          <a:r>
            <a:rPr lang="es-AR" sz="1400" b="1"/>
            <a:t>PLANES</a:t>
          </a:r>
          <a:r>
            <a:rPr lang="es-AR" sz="1400" b="1" baseline="0"/>
            <a:t> DE DEUDA TRIBUTARIA DEL GRUPO </a:t>
          </a:r>
          <a:endParaRPr lang="es-AR" sz="1100" b="1"/>
        </a:p>
      </xdr:txBody>
    </xdr:sp>
    <xdr:clientData/>
  </xdr:twoCellAnchor>
  <xdr:twoCellAnchor>
    <xdr:from>
      <xdr:col>0</xdr:col>
      <xdr:colOff>57150</xdr:colOff>
      <xdr:row>7</xdr:row>
      <xdr:rowOff>76200</xdr:rowOff>
    </xdr:from>
    <xdr:to>
      <xdr:col>1</xdr:col>
      <xdr:colOff>495300</xdr:colOff>
      <xdr:row>8</xdr:row>
      <xdr:rowOff>133350</xdr:rowOff>
    </xdr:to>
    <xdr:sp macro="" textlink="">
      <xdr:nvSpPr>
        <xdr:cNvPr id="14" name="Rectángulo 13">
          <a:extLst>
            <a:ext uri="{FF2B5EF4-FFF2-40B4-BE49-F238E27FC236}">
              <a16:creationId xmlns:a16="http://schemas.microsoft.com/office/drawing/2014/main" id="{93F54A22-9112-FBBB-500A-CA6763394C0E}"/>
            </a:ext>
          </a:extLst>
        </xdr:cNvPr>
        <xdr:cNvSpPr/>
      </xdr:nvSpPr>
      <xdr:spPr>
        <a:xfrm>
          <a:off x="57150" y="1409700"/>
          <a:ext cx="1619250" cy="24765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s-AR" sz="1100" b="1"/>
            <a:t>CANTIDAD</a:t>
          </a:r>
          <a:r>
            <a:rPr lang="es-AR" sz="1100" b="1" baseline="0"/>
            <a:t> PLANES</a:t>
          </a:r>
          <a:endParaRPr lang="es-AR" sz="1100" b="1"/>
        </a:p>
      </xdr:txBody>
    </xdr:sp>
    <xdr:clientData/>
  </xdr:twoCellAnchor>
  <xdr:twoCellAnchor>
    <xdr:from>
      <xdr:col>9</xdr:col>
      <xdr:colOff>104775</xdr:colOff>
      <xdr:row>6</xdr:row>
      <xdr:rowOff>19050</xdr:rowOff>
    </xdr:from>
    <xdr:to>
      <xdr:col>14</xdr:col>
      <xdr:colOff>866775</xdr:colOff>
      <xdr:row>18</xdr:row>
      <xdr:rowOff>171450</xdr:rowOff>
    </xdr:to>
    <xdr:graphicFrame macro="">
      <xdr:nvGraphicFramePr>
        <xdr:cNvPr id="5" name="Gráfico 4">
          <a:extLst>
            <a:ext uri="{FF2B5EF4-FFF2-40B4-BE49-F238E27FC236}">
              <a16:creationId xmlns:a16="http://schemas.microsoft.com/office/drawing/2014/main" id="{5562BBB7-D8E0-4A96-8CE8-E79AA7926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314325</xdr:colOff>
      <xdr:row>0</xdr:row>
      <xdr:rowOff>154372</xdr:rowOff>
    </xdr:from>
    <xdr:to>
      <xdr:col>2</xdr:col>
      <xdr:colOff>723900</xdr:colOff>
      <xdr:row>4</xdr:row>
      <xdr:rowOff>1992</xdr:rowOff>
    </xdr:to>
    <xdr:pic>
      <xdr:nvPicPr>
        <xdr:cNvPr id="3" name="Imagen 2" descr="CPCE CORRIENTES">
          <a:extLst>
            <a:ext uri="{FF2B5EF4-FFF2-40B4-BE49-F238E27FC236}">
              <a16:creationId xmlns:a16="http://schemas.microsoft.com/office/drawing/2014/main" id="{5F1253B6-145F-40A0-9373-7D4E0EFD3E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4325" y="154372"/>
          <a:ext cx="2114550" cy="609620"/>
        </a:xfrm>
        <a:prstGeom prst="rect">
          <a:avLst/>
        </a:prstGeom>
        <a:solidFill>
          <a:schemeClr val="bg1"/>
        </a:solidFill>
      </xdr:spPr>
    </xdr:pic>
    <xdr:clientData/>
  </xdr:twoCellAnchor>
  <xdr:twoCellAnchor>
    <xdr:from>
      <xdr:col>9</xdr:col>
      <xdr:colOff>304800</xdr:colOff>
      <xdr:row>18</xdr:row>
      <xdr:rowOff>142875</xdr:rowOff>
    </xdr:from>
    <xdr:to>
      <xdr:col>14</xdr:col>
      <xdr:colOff>466725</xdr:colOff>
      <xdr:row>30</xdr:row>
      <xdr:rowOff>123825</xdr:rowOff>
    </xdr:to>
    <xdr:graphicFrame macro="">
      <xdr:nvGraphicFramePr>
        <xdr:cNvPr id="7" name="Gráfico 6">
          <a:extLst>
            <a:ext uri="{FF2B5EF4-FFF2-40B4-BE49-F238E27FC236}">
              <a16:creationId xmlns:a16="http://schemas.microsoft.com/office/drawing/2014/main" id="{61FE0041-B575-4BD6-AA44-1C23DCD14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695325</xdr:colOff>
      <xdr:row>5</xdr:row>
      <xdr:rowOff>114300</xdr:rowOff>
    </xdr:from>
    <xdr:to>
      <xdr:col>8</xdr:col>
      <xdr:colOff>552450</xdr:colOff>
      <xdr:row>19</xdr:row>
      <xdr:rowOff>76200</xdr:rowOff>
    </xdr:to>
    <xdr:graphicFrame macro="">
      <xdr:nvGraphicFramePr>
        <xdr:cNvPr id="10" name="Gráfico 9">
          <a:extLst>
            <a:ext uri="{FF2B5EF4-FFF2-40B4-BE49-F238E27FC236}">
              <a16:creationId xmlns:a16="http://schemas.microsoft.com/office/drawing/2014/main" id="{5AD2C23D-542E-4190-AFF3-111153BC3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xdr:colOff>
      <xdr:row>21</xdr:row>
      <xdr:rowOff>0</xdr:rowOff>
    </xdr:from>
    <xdr:to>
      <xdr:col>8</xdr:col>
      <xdr:colOff>438150</xdr:colOff>
      <xdr:row>31</xdr:row>
      <xdr:rowOff>161925</xdr:rowOff>
    </xdr:to>
    <xdr:graphicFrame macro="">
      <xdr:nvGraphicFramePr>
        <xdr:cNvPr id="11" name="Gráfico 10">
          <a:extLst>
            <a:ext uri="{FF2B5EF4-FFF2-40B4-BE49-F238E27FC236}">
              <a16:creationId xmlns:a16="http://schemas.microsoft.com/office/drawing/2014/main" id="{F216BF5E-3C21-4963-B39B-83BE3CE9B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9526</xdr:colOff>
      <xdr:row>14</xdr:row>
      <xdr:rowOff>180974</xdr:rowOff>
    </xdr:from>
    <xdr:to>
      <xdr:col>5</xdr:col>
      <xdr:colOff>47626</xdr:colOff>
      <xdr:row>30</xdr:row>
      <xdr:rowOff>86229</xdr:rowOff>
    </xdr:to>
    <xdr:pic>
      <xdr:nvPicPr>
        <xdr:cNvPr id="2" name="Imagen 1">
          <a:extLst>
            <a:ext uri="{FF2B5EF4-FFF2-40B4-BE49-F238E27FC236}">
              <a16:creationId xmlns:a16="http://schemas.microsoft.com/office/drawing/2014/main" id="{8091EDDC-D6BA-4E15-B9DE-04EA271B951D}"/>
            </a:ext>
          </a:extLst>
        </xdr:cNvPr>
        <xdr:cNvPicPr>
          <a:picLocks noChangeAspect="1"/>
        </xdr:cNvPicPr>
      </xdr:nvPicPr>
      <xdr:blipFill>
        <a:blip xmlns:r="http://schemas.openxmlformats.org/officeDocument/2006/relationships" r:embed="rId1"/>
        <a:stretch>
          <a:fillRect/>
        </a:stretch>
      </xdr:blipFill>
      <xdr:spPr>
        <a:xfrm>
          <a:off x="771526" y="942974"/>
          <a:ext cx="3086100" cy="2953255"/>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5" xr16:uid="{7FE30894-5F68-43AB-B640-FB6EC938D33C}" autoFormatId="16" applyNumberFormats="0" applyBorderFormats="0" applyFontFormats="0" applyPatternFormats="0" applyAlignmentFormats="0" applyWidthHeightFormats="0">
  <queryTableRefresh nextId="17" unboundColumnsRight="4">
    <queryTableFields count="10">
      <queryTableField id="1" name="Cuota_x000a_N°" tableColumnId="1"/>
      <queryTableField id="2" dataBound="0" tableColumnId="2"/>
      <queryTableField id="3" name="Interés_x000a_Financiero($)" tableColumnId="3"/>
      <queryTableField id="4" name="Interés_x000a_Resarcitorio($)" tableColumnId="4"/>
      <queryTableField id="5" name="Total($)" tableColumnId="5"/>
      <queryTableField id="6" name="Fecha_x000a_Vencimiento" tableColumnId="6"/>
      <queryTableField id="7" dataBound="0" tableColumnId="7"/>
      <queryTableField id="8" dataBound="0" tableColumnId="8"/>
      <queryTableField id="10" dataBound="0" tableColumnId="10"/>
      <queryTableField id="11" dataBound="0" tableColumnId="11"/>
    </queryTableFields>
    <queryTableDeletedFields count="1">
      <deletedField name="Capita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9204A6-B7AC-4239-AC8A-DD8BAD4F837B}" name="BASE_DATOS" displayName="BASE_DATOS" ref="B12:K3191" tableType="queryTable" totalsRowCount="1">
  <autoFilter ref="B12:K3190" xr:uid="{5B430E9B-7B54-41BE-AD83-B5EEF14F7900}"/>
  <sortState xmlns:xlrd2="http://schemas.microsoft.com/office/spreadsheetml/2017/richdata2" ref="B13:K3190">
    <sortCondition ref="J13:J3190"/>
  </sortState>
  <tableColumns count="10">
    <tableColumn id="1" xr3:uid="{3358290F-564D-4CA7-9B30-E159F225AB41}" uniqueName="1" name="Cuota_x000a_N°" queryTableFieldId="1"/>
    <tableColumn id="2" xr3:uid="{85C1A230-00E1-494F-A582-73DADF6BDFF7}" uniqueName="2" name="Capital($)" totalsRowFunction="sum" queryTableFieldId="2" totalsRowDxfId="6"/>
    <tableColumn id="3" xr3:uid="{85FE549A-6B7B-413C-9C94-4E84897DAE05}" uniqueName="3" name="Interés_x000a_Financiero($)" totalsRowFunction="sum" queryTableFieldId="3" totalsRowDxfId="5"/>
    <tableColumn id="4" xr3:uid="{A2B7A6F8-DB29-4447-91F6-0899CAE9BCB7}" uniqueName="4" name="Interés_x000a_Resarcitorio($)" totalsRowFunction="sum" queryTableFieldId="4" totalsRowDxfId="4"/>
    <tableColumn id="5" xr3:uid="{AF2C2746-5C62-45F7-A40B-7914C7CB933B}" uniqueName="5" name="Total($)" totalsRowFunction="sum" queryTableFieldId="5" totalsRowDxfId="3"/>
    <tableColumn id="6" xr3:uid="{317708FD-7649-48A5-8F1F-3126D0167CFB}" uniqueName="6" name="Fecha_x000a_Vto." queryTableFieldId="6"/>
    <tableColumn id="7" xr3:uid="{6FF126EC-66AA-4A1E-939C-D40A9C645BB4}" uniqueName="7" name="Plan" queryTableFieldId="7"/>
    <tableColumn id="8" xr3:uid="{0EA8AE2E-99C4-427A-9770-62BC23E56AC4}" uniqueName="8" name="Status" queryTableFieldId="8"/>
    <tableColumn id="10" xr3:uid="{21E249E6-EB73-4905-8452-3B317E44BB32}" uniqueName="10" name="Nro cuotas" queryTableFieldId="10"/>
    <tableColumn id="11" xr3:uid="{E9A14EEB-0394-4996-9A72-18B3766FDC19}" uniqueName="11" name="Empresa" queryTableFieldId="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0BF1DA-3125-4923-B68F-C988B77C3FBB}" name="Tabla3" displayName="Tabla3" ref="I4:R11" totalsRowShown="0" headerRowDxfId="2" headerRowBorderDxfId="1" tableBorderDxfId="0">
  <autoFilter ref="I4:R11" xr:uid="{6A0BF1DA-3125-4923-B68F-C988B77C3F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8B714DF-D528-442C-B89E-7D719E060E49}" name="Cuota_x000a_N°"/>
    <tableColumn id="2" xr3:uid="{68074370-A8DA-49DF-BF2C-D3E372750B3C}" name="Capital($)"/>
    <tableColumn id="3" xr3:uid="{5FF65E11-68CF-4ADF-8D9C-EA2EE2DA2382}" name="Interés_x000a_Financiero($)"/>
    <tableColumn id="4" xr3:uid="{EBFC2F87-7707-409F-9EC9-1B093C4D6601}" name="Interés_x000a_Resarcitorio($)"/>
    <tableColumn id="5" xr3:uid="{295C196D-8938-4579-B516-D600449F8E03}" name="Total($)"/>
    <tableColumn id="6" xr3:uid="{B3C6F646-E358-4A2C-9135-70EC186C964C}" name="Fecha_x000a_Vto."/>
    <tableColumn id="7" xr3:uid="{6DCE6227-8B34-433A-85FC-94631D4A6894}" name="Plan"/>
    <tableColumn id="8" xr3:uid="{7DFDCD1E-77F4-410B-85DA-2624493E8922}" name="Status"/>
    <tableColumn id="9" xr3:uid="{77D1DD2F-06CB-4832-8012-6664AFB628F7}" name="Nro cuotas"/>
    <tableColumn id="10" xr3:uid="{F199D243-01D7-498A-A338-6E59FBF20A1C}" name="Empresa"/>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CONSEJO PROF DE CIEN ENCON CORRIENTES">
      <a:dk1>
        <a:srgbClr val="000000"/>
      </a:dk1>
      <a:lt1>
        <a:srgbClr val="FFFFFF"/>
      </a:lt1>
      <a:dk2>
        <a:srgbClr val="0E2841"/>
      </a:dk2>
      <a:lt2>
        <a:srgbClr val="FEFAC9"/>
      </a:lt2>
      <a:accent1>
        <a:srgbClr val="1B4166"/>
      </a:accent1>
      <a:accent2>
        <a:srgbClr val="FFFFFF"/>
      </a:accent2>
      <a:accent3>
        <a:srgbClr val="78C3EC"/>
      </a:accent3>
      <a:accent4>
        <a:srgbClr val="01293B"/>
      </a:accent4>
      <a:accent5>
        <a:srgbClr val="323232"/>
      </a:accent5>
      <a:accent6>
        <a:srgbClr val="EEEEED"/>
      </a:accent6>
      <a:hlink>
        <a:srgbClr val="0E2841"/>
      </a:hlink>
      <a:folHlink>
        <a:srgbClr val="1B416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 dockstate="right" visibility="0" width="350"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0A75146-ADBF-435C-B913-39B04A631A8E}">
  <we:reference id="wa200005502" version="1.0.0.12" store="es-ES" storeType="OMEX"/>
  <we:alternateReferences>
    <we:reference id="WA200005502" version="1.0.0.12" store="" storeType="OMEX"/>
  </we:alternateReferences>
  <we:properties>
    <we:property name="docId" value="&quot;YneRd4XKoYvtwXifFs0re&quot;"/>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EC02438-A25A-4C22-9B89-9CB93CB84603}">
  <we:reference id="wa200009404" version="1.0.0.8" store="es-ES" storeType="OMEX"/>
  <we:alternateReferences>
    <we:reference id="WA200009404" version="1.0.0.8" store="WA200009404" storeType="OMEX"/>
  </we:alternateReferences>
  <we:properties>
    <we:property name="claude.fileId" value="&quot;7125d8e7-830e-4efc-8298-945ebea484e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477E-121A-44CF-8319-450BC003B4FB}">
  <sheetPr>
    <tabColor theme="8"/>
  </sheetPr>
  <dimension ref="B2:N3191"/>
  <sheetViews>
    <sheetView showGridLines="0" zoomScaleNormal="100" workbookViewId="0">
      <selection activeCell="E13" sqref="E13"/>
    </sheetView>
  </sheetViews>
  <sheetFormatPr baseColWidth="10" defaultRowHeight="15" x14ac:dyDescent="0.25"/>
  <cols>
    <col min="1" max="1" width="8.42578125" customWidth="1"/>
    <col min="2" max="2" width="9" customWidth="1"/>
    <col min="3" max="3" width="17.28515625" customWidth="1"/>
    <col min="4" max="4" width="15.28515625" customWidth="1"/>
    <col min="5" max="5" width="14.5703125" customWidth="1"/>
    <col min="6" max="6" width="20.140625" customWidth="1"/>
    <col min="7" max="7" width="15.28515625" customWidth="1"/>
    <col min="8" max="8" width="13.42578125" style="2" customWidth="1"/>
    <col min="9" max="9" width="14" customWidth="1"/>
    <col min="10" max="10" width="10.5703125" customWidth="1"/>
    <col min="11" max="11" width="16.85546875" style="2" customWidth="1"/>
    <col min="12" max="12" width="16.140625" customWidth="1"/>
    <col min="13" max="13" width="17.85546875" bestFit="1" customWidth="1"/>
    <col min="14" max="14" width="16.140625" bestFit="1" customWidth="1"/>
    <col min="15" max="15" width="27.85546875" bestFit="1" customWidth="1"/>
    <col min="16" max="16" width="12.42578125" bestFit="1" customWidth="1"/>
    <col min="17" max="17" width="12.5703125" bestFit="1" customWidth="1"/>
  </cols>
  <sheetData>
    <row r="2" spans="2:12" x14ac:dyDescent="0.25">
      <c r="E2" s="111">
        <f ca="1">TODAY()</f>
        <v>46202</v>
      </c>
      <c r="H2" s="6"/>
    </row>
    <row r="3" spans="2:12" x14ac:dyDescent="0.25">
      <c r="E3" s="7"/>
      <c r="H3" s="6"/>
    </row>
    <row r="4" spans="2:12" x14ac:dyDescent="0.25">
      <c r="E4" s="7"/>
      <c r="H4" s="6"/>
    </row>
    <row r="5" spans="2:12" x14ac:dyDescent="0.25">
      <c r="E5" s="7"/>
      <c r="H5" s="6"/>
    </row>
    <row r="6" spans="2:12" x14ac:dyDescent="0.25">
      <c r="E6" s="7"/>
      <c r="H6" s="6"/>
    </row>
    <row r="7" spans="2:12" x14ac:dyDescent="0.25">
      <c r="E7" s="7"/>
      <c r="H7" s="6"/>
    </row>
    <row r="9" spans="2:12" ht="15.75" x14ac:dyDescent="0.25">
      <c r="B9" s="95" t="s">
        <v>47</v>
      </c>
      <c r="C9" s="96"/>
      <c r="D9" s="97"/>
      <c r="E9" s="95"/>
      <c r="F9" s="95" t="s">
        <v>46</v>
      </c>
      <c r="G9" s="98"/>
      <c r="H9" s="96"/>
      <c r="I9" s="95" t="s">
        <v>48</v>
      </c>
      <c r="J9" s="95"/>
      <c r="K9" s="97"/>
    </row>
    <row r="10" spans="2:12" x14ac:dyDescent="0.25">
      <c r="B10" s="5" t="s">
        <v>11</v>
      </c>
      <c r="C10" s="2"/>
      <c r="D10" s="23">
        <f>SUMIFS(BASE_DATOS[Total($)],BASE_DATOS[Status],"PENDIENTE",BASE_DATOS[Empresa],"Nelly´s Data")</f>
        <v>59291244.96999985</v>
      </c>
      <c r="F10" s="5" t="s">
        <v>11</v>
      </c>
      <c r="G10" s="24">
        <f>SUMIFS(BASE_DATOS[Total($)],BASE_DATOS[Status],"PENDIENTE",BASE_DATOS[Empresa],"Carpe Diem")</f>
        <v>22280306.952000022</v>
      </c>
      <c r="I10" s="5" t="s">
        <v>11</v>
      </c>
      <c r="K10" s="23">
        <f>SUMIFS(BASE_DATOS[Total($)],BASE_DATOS[Status],"PENDIENTE",BASE_DATOS[Empresa],"123 Asociados")</f>
        <v>7310420.1539999889</v>
      </c>
    </row>
    <row r="11" spans="2:12" x14ac:dyDescent="0.25">
      <c r="B11" s="5"/>
      <c r="C11" s="2"/>
      <c r="D11" s="10"/>
      <c r="F11" s="5"/>
      <c r="G11" s="5"/>
      <c r="H11" s="10"/>
      <c r="J11" s="5"/>
      <c r="L11" s="10"/>
    </row>
    <row r="12" spans="2:12" ht="30" x14ac:dyDescent="0.25">
      <c r="B12" s="2" t="s">
        <v>0</v>
      </c>
      <c r="C12" s="2" t="s">
        <v>1</v>
      </c>
      <c r="D12" s="78" t="s">
        <v>2</v>
      </c>
      <c r="E12" s="78" t="s">
        <v>3</v>
      </c>
      <c r="F12" s="2" t="s">
        <v>4</v>
      </c>
      <c r="G12" s="78" t="s">
        <v>39</v>
      </c>
      <c r="H12" s="2" t="s">
        <v>5</v>
      </c>
      <c r="I12" s="2" t="s">
        <v>8</v>
      </c>
      <c r="J12" s="2" t="s">
        <v>10</v>
      </c>
      <c r="K12" s="2" t="s">
        <v>12</v>
      </c>
    </row>
    <row r="13" spans="2:12" x14ac:dyDescent="0.25">
      <c r="B13" s="2">
        <v>1</v>
      </c>
      <c r="C13" s="79">
        <v>846264.77500000002</v>
      </c>
      <c r="D13" s="79">
        <v>104192.11899999999</v>
      </c>
      <c r="E13" s="79">
        <v>0</v>
      </c>
      <c r="F13" s="79">
        <f>SUM(BASE_DATOS[[#This Row],[Capital($)]:[Interés
Resarcitorio($)]])</f>
        <v>950456.89399999997</v>
      </c>
      <c r="G13" s="8">
        <v>45612</v>
      </c>
      <c r="H13" s="80" t="s">
        <v>70</v>
      </c>
      <c r="I13" s="79" t="s">
        <v>9</v>
      </c>
      <c r="J13" s="81">
        <v>3</v>
      </c>
      <c r="K13" t="s">
        <v>47</v>
      </c>
    </row>
    <row r="14" spans="2:12" x14ac:dyDescent="0.25">
      <c r="B14" s="2">
        <v>1</v>
      </c>
      <c r="C14" s="79">
        <v>846264.77500000002</v>
      </c>
      <c r="D14" s="79">
        <v>104192.11899999999</v>
      </c>
      <c r="E14" s="79">
        <v>203080.95999999999</v>
      </c>
      <c r="F14" s="79">
        <f>SUM(BASE_DATOS[[#This Row],[Capital($)]:[Interés
Resarcitorio($)]])</f>
        <v>1153537.8540000001</v>
      </c>
      <c r="G14" s="8">
        <f>+G13+10</f>
        <v>45622</v>
      </c>
      <c r="H14" s="80" t="s">
        <v>70</v>
      </c>
      <c r="I14" s="79" t="s">
        <v>7</v>
      </c>
      <c r="J14" s="81">
        <v>3</v>
      </c>
      <c r="K14" t="s">
        <v>47</v>
      </c>
    </row>
    <row r="15" spans="2:12" x14ac:dyDescent="0.25">
      <c r="B15" s="2">
        <v>2</v>
      </c>
      <c r="C15" s="79">
        <v>846264.77500000002</v>
      </c>
      <c r="D15" s="79">
        <v>57884.510999999999</v>
      </c>
      <c r="E15" s="79">
        <v>0</v>
      </c>
      <c r="F15" s="79">
        <f>SUM(BASE_DATOS[[#This Row],[Capital($)]:[Interés
Resarcitorio($)]])</f>
        <v>904149.28600000008</v>
      </c>
      <c r="G15" s="8">
        <v>45642</v>
      </c>
      <c r="H15" s="80" t="s">
        <v>70</v>
      </c>
      <c r="I15" s="79" t="s">
        <v>9</v>
      </c>
      <c r="J15" s="81">
        <v>3</v>
      </c>
      <c r="K15" t="s">
        <v>47</v>
      </c>
    </row>
    <row r="16" spans="2:12" x14ac:dyDescent="0.25">
      <c r="B16" s="2">
        <v>2</v>
      </c>
      <c r="C16" s="79">
        <v>846264.77500000002</v>
      </c>
      <c r="D16" s="79">
        <v>57884.510999999999</v>
      </c>
      <c r="E16" s="79">
        <v>225133.17</v>
      </c>
      <c r="F16" s="79">
        <f>SUM(BASE_DATOS[[#This Row],[Capital($)]:[Interés
Resarcitorio($)]])</f>
        <v>1129282.456</v>
      </c>
      <c r="G16" s="8">
        <f>+G15+10</f>
        <v>45652</v>
      </c>
      <c r="H16" s="80" t="s">
        <v>70</v>
      </c>
      <c r="I16" s="79" t="s">
        <v>7</v>
      </c>
      <c r="J16" s="81">
        <v>3</v>
      </c>
      <c r="K16" t="s">
        <v>47</v>
      </c>
    </row>
    <row r="17" spans="2:11" x14ac:dyDescent="0.25">
      <c r="B17" s="2">
        <v>3</v>
      </c>
      <c r="C17" s="79">
        <v>846264.77399999998</v>
      </c>
      <c r="D17" s="79">
        <v>24033.920000000002</v>
      </c>
      <c r="E17" s="79">
        <v>0</v>
      </c>
      <c r="F17" s="79">
        <f>SUM(BASE_DATOS[[#This Row],[Capital($)]:[Interés
Resarcitorio($)]])</f>
        <v>870298.69400000002</v>
      </c>
      <c r="G17" s="8">
        <v>45673</v>
      </c>
      <c r="H17" s="80" t="s">
        <v>70</v>
      </c>
      <c r="I17" s="79" t="s">
        <v>9</v>
      </c>
      <c r="J17" s="81">
        <v>3</v>
      </c>
      <c r="K17" t="s">
        <v>47</v>
      </c>
    </row>
    <row r="18" spans="2:11" x14ac:dyDescent="0.25">
      <c r="B18" s="2">
        <v>3</v>
      </c>
      <c r="C18" s="79">
        <v>846264.77500000002</v>
      </c>
      <c r="D18" s="79">
        <v>24033.920000000002</v>
      </c>
      <c r="E18" s="79">
        <v>216704.37</v>
      </c>
      <c r="F18" s="79">
        <f>SUM(BASE_DATOS[[#This Row],[Capital($)]:[Interés
Resarcitorio($)]])</f>
        <v>1087003.0649999999</v>
      </c>
      <c r="G18" s="8">
        <v>45683</v>
      </c>
      <c r="H18" s="80" t="s">
        <v>70</v>
      </c>
      <c r="I18" s="79" t="s">
        <v>7</v>
      </c>
      <c r="J18" s="81">
        <v>3</v>
      </c>
      <c r="K18" t="s">
        <v>47</v>
      </c>
    </row>
    <row r="19" spans="2:11" x14ac:dyDescent="0.25">
      <c r="B19" s="2">
        <v>1</v>
      </c>
      <c r="C19" s="79">
        <v>53961.745999999999</v>
      </c>
      <c r="D19" s="4">
        <v>5905.5730000000003</v>
      </c>
      <c r="E19" s="79">
        <v>0</v>
      </c>
      <c r="F19" s="79">
        <f>SUM(BASE_DATOS[[#This Row],[Capital($)]:[Interés
Resarcitorio($)]])</f>
        <v>59867.319000000003</v>
      </c>
      <c r="G19" s="8">
        <v>45612</v>
      </c>
      <c r="H19" s="80" t="s">
        <v>72</v>
      </c>
      <c r="I19" s="79" t="s">
        <v>9</v>
      </c>
      <c r="J19" s="81">
        <v>3</v>
      </c>
      <c r="K19" t="s">
        <v>47</v>
      </c>
    </row>
    <row r="20" spans="2:11" x14ac:dyDescent="0.25">
      <c r="B20" s="2">
        <v>1</v>
      </c>
      <c r="C20" s="79">
        <v>53961.745999999999</v>
      </c>
      <c r="D20" s="4">
        <v>5905.5730000000003</v>
      </c>
      <c r="E20" s="79">
        <v>12791.65</v>
      </c>
      <c r="F20" s="79">
        <f>SUM(BASE_DATOS[[#This Row],[Capital($)]:[Interés
Resarcitorio($)]])</f>
        <v>72658.968999999997</v>
      </c>
      <c r="G20" s="8">
        <f>+G19+10</f>
        <v>45622</v>
      </c>
      <c r="H20" s="80" t="s">
        <v>72</v>
      </c>
      <c r="I20" s="79" t="s">
        <v>7</v>
      </c>
      <c r="J20" s="81">
        <v>3</v>
      </c>
      <c r="K20" t="s">
        <v>47</v>
      </c>
    </row>
    <row r="21" spans="2:11" x14ac:dyDescent="0.25">
      <c r="B21" s="2">
        <v>2</v>
      </c>
      <c r="C21" s="79">
        <v>53961.745999999999</v>
      </c>
      <c r="D21" s="4">
        <v>3690.9830000000002</v>
      </c>
      <c r="E21" s="79">
        <v>0</v>
      </c>
      <c r="F21" s="79">
        <f>SUM(BASE_DATOS[[#This Row],[Capital($)]:[Interés
Resarcitorio($)]])</f>
        <v>57652.728999999999</v>
      </c>
      <c r="G21" s="8">
        <v>45642</v>
      </c>
      <c r="H21" s="80" t="s">
        <v>72</v>
      </c>
      <c r="I21" s="79" t="s">
        <v>9</v>
      </c>
      <c r="J21" s="81">
        <v>3</v>
      </c>
      <c r="K21" t="s">
        <v>47</v>
      </c>
    </row>
    <row r="22" spans="2:11" x14ac:dyDescent="0.25">
      <c r="B22" s="2">
        <v>2</v>
      </c>
      <c r="C22" s="79">
        <v>53961.745999999999</v>
      </c>
      <c r="D22" s="4">
        <v>3690.9830000000002</v>
      </c>
      <c r="E22" s="79">
        <v>14355.53</v>
      </c>
      <c r="F22" s="79">
        <f>SUM(BASE_DATOS[[#This Row],[Capital($)]:[Interés
Resarcitorio($)]])</f>
        <v>72008.259000000005</v>
      </c>
      <c r="G22" s="8">
        <f>+G21+10</f>
        <v>45652</v>
      </c>
      <c r="H22" s="80" t="s">
        <v>72</v>
      </c>
      <c r="I22" s="79" t="s">
        <v>7</v>
      </c>
      <c r="J22" s="81">
        <v>3</v>
      </c>
      <c r="K22" t="s">
        <v>47</v>
      </c>
    </row>
    <row r="23" spans="2:11" x14ac:dyDescent="0.25">
      <c r="B23" s="2">
        <v>3</v>
      </c>
      <c r="C23" s="79">
        <v>53961.745999999999</v>
      </c>
      <c r="D23" s="4">
        <v>1532.5139999999999</v>
      </c>
      <c r="E23" s="79">
        <v>0</v>
      </c>
      <c r="F23" s="79">
        <f>SUM(BASE_DATOS[[#This Row],[Capital($)]:[Interés
Resarcitorio($)]])</f>
        <v>55494.26</v>
      </c>
      <c r="G23" s="8">
        <v>45673</v>
      </c>
      <c r="H23" s="80" t="s">
        <v>72</v>
      </c>
      <c r="I23" s="79" t="s">
        <v>9</v>
      </c>
      <c r="J23" s="81">
        <v>3</v>
      </c>
      <c r="K23" t="s">
        <v>47</v>
      </c>
    </row>
    <row r="24" spans="2:11" x14ac:dyDescent="0.25">
      <c r="B24" s="2">
        <v>3</v>
      </c>
      <c r="C24" s="79">
        <v>53961.745999999999</v>
      </c>
      <c r="D24" s="4">
        <v>1532.5139999999999</v>
      </c>
      <c r="E24" s="79">
        <v>13818.07</v>
      </c>
      <c r="F24" s="79">
        <f>SUM(BASE_DATOS[[#This Row],[Capital($)]:[Interés
Resarcitorio($)]])</f>
        <v>69312.33</v>
      </c>
      <c r="G24" s="8">
        <v>45683</v>
      </c>
      <c r="H24" s="80" t="s">
        <v>72</v>
      </c>
      <c r="I24" s="79" t="s">
        <v>7</v>
      </c>
      <c r="J24" s="81">
        <v>3</v>
      </c>
      <c r="K24" t="s">
        <v>47</v>
      </c>
    </row>
    <row r="25" spans="2:11" x14ac:dyDescent="0.25">
      <c r="B25" s="2">
        <v>1</v>
      </c>
      <c r="C25" s="4">
        <v>261715.85499999998</v>
      </c>
      <c r="D25" s="4">
        <v>32678.887999999999</v>
      </c>
      <c r="E25" s="79">
        <v>0</v>
      </c>
      <c r="F25" s="79">
        <f>SUM(BASE_DATOS[[#This Row],[Capital($)]:[Interés
Resarcitorio($)]])</f>
        <v>294394.74299999996</v>
      </c>
      <c r="G25" s="8">
        <v>45824</v>
      </c>
      <c r="H25" s="80" t="s">
        <v>88</v>
      </c>
      <c r="I25" s="79" t="s">
        <v>9</v>
      </c>
      <c r="J25" s="81">
        <v>3</v>
      </c>
      <c r="K25" t="s">
        <v>48</v>
      </c>
    </row>
    <row r="26" spans="2:11" x14ac:dyDescent="0.25">
      <c r="B26" s="2">
        <v>1</v>
      </c>
      <c r="C26" s="4">
        <v>261715.85499999998</v>
      </c>
      <c r="D26" s="4">
        <v>32678.887999999999</v>
      </c>
      <c r="E26" s="79">
        <v>39252.629999999997</v>
      </c>
      <c r="F26" s="79">
        <f>SUM(BASE_DATOS[[#This Row],[Capital($)]:[Interés
Resarcitorio($)]])</f>
        <v>333647.37299999996</v>
      </c>
      <c r="G26" s="8">
        <v>45834</v>
      </c>
      <c r="H26" s="80" t="s">
        <v>88</v>
      </c>
      <c r="I26" s="79" t="s">
        <v>7</v>
      </c>
      <c r="J26" s="81">
        <v>3</v>
      </c>
      <c r="K26" t="s">
        <v>48</v>
      </c>
    </row>
    <row r="27" spans="2:11" x14ac:dyDescent="0.25">
      <c r="B27" s="2">
        <v>2</v>
      </c>
      <c r="C27" s="4">
        <v>272184.489</v>
      </c>
      <c r="D27" s="4">
        <v>22210.254000000001</v>
      </c>
      <c r="E27" s="79">
        <v>0</v>
      </c>
      <c r="F27" s="79">
        <f>SUM(BASE_DATOS[[#This Row],[Capital($)]:[Interés
Resarcitorio($)]])</f>
        <v>294394.74300000002</v>
      </c>
      <c r="G27" s="8">
        <v>45854</v>
      </c>
      <c r="H27" s="80" t="s">
        <v>88</v>
      </c>
      <c r="I27" s="79" t="s">
        <v>6</v>
      </c>
      <c r="J27" s="81">
        <v>3</v>
      </c>
      <c r="K27" t="s">
        <v>48</v>
      </c>
    </row>
    <row r="28" spans="2:11" x14ac:dyDescent="0.25">
      <c r="B28" s="2">
        <v>2</v>
      </c>
      <c r="C28" s="4">
        <v>272184.489</v>
      </c>
      <c r="D28" s="4">
        <v>22210.254000000001</v>
      </c>
      <c r="E28" s="79">
        <v>39252.629999999997</v>
      </c>
      <c r="F28" s="79">
        <f>SUM(BASE_DATOS[[#This Row],[Capital($)]:[Interés
Resarcitorio($)]])</f>
        <v>333647.37300000002</v>
      </c>
      <c r="G28" s="8">
        <v>45864</v>
      </c>
      <c r="H28" s="80" t="s">
        <v>88</v>
      </c>
      <c r="I28" s="79" t="s">
        <v>7</v>
      </c>
      <c r="J28" s="81">
        <v>3</v>
      </c>
      <c r="K28" t="s">
        <v>48</v>
      </c>
    </row>
    <row r="29" spans="2:11" x14ac:dyDescent="0.25">
      <c r="B29" s="2">
        <v>3</v>
      </c>
      <c r="C29" s="4">
        <v>283071.86800000002</v>
      </c>
      <c r="D29" s="4">
        <v>11322.875</v>
      </c>
      <c r="E29" s="79">
        <v>0</v>
      </c>
      <c r="F29" s="79">
        <f>SUM(BASE_DATOS[[#This Row],[Capital($)]:[Interés
Resarcitorio($)]])</f>
        <v>294394.74300000002</v>
      </c>
      <c r="G29" s="8">
        <v>45885</v>
      </c>
      <c r="H29" s="80" t="s">
        <v>88</v>
      </c>
      <c r="I29" s="79" t="s">
        <v>6</v>
      </c>
      <c r="J29" s="81">
        <v>3</v>
      </c>
      <c r="K29" t="s">
        <v>48</v>
      </c>
    </row>
    <row r="30" spans="2:11" x14ac:dyDescent="0.25">
      <c r="B30" s="2">
        <v>3</v>
      </c>
      <c r="C30" s="4">
        <v>283071.86800000002</v>
      </c>
      <c r="D30" s="4">
        <v>11322.875</v>
      </c>
      <c r="E30" s="79">
        <v>39252.629999999997</v>
      </c>
      <c r="F30" s="79">
        <f>SUM(BASE_DATOS[[#This Row],[Capital($)]:[Interés
Resarcitorio($)]])</f>
        <v>333647.37300000002</v>
      </c>
      <c r="G30" s="8">
        <v>45895</v>
      </c>
      <c r="H30" s="80" t="s">
        <v>88</v>
      </c>
      <c r="I30" s="79" t="s">
        <v>7</v>
      </c>
      <c r="J30" s="81">
        <v>3</v>
      </c>
      <c r="K30" t="s">
        <v>48</v>
      </c>
    </row>
    <row r="31" spans="2:11" x14ac:dyDescent="0.25">
      <c r="B31" s="2">
        <v>1</v>
      </c>
      <c r="C31" s="79">
        <v>408221.91099999996</v>
      </c>
      <c r="D31" s="4">
        <v>134753.66800000001</v>
      </c>
      <c r="E31" s="79">
        <v>0</v>
      </c>
      <c r="F31" s="79">
        <f>SUM(BASE_DATOS[[#This Row],[Capital($)]:[Interés
Resarcitorio($)]])</f>
        <v>542975.57899999991</v>
      </c>
      <c r="G31" s="8">
        <v>45732</v>
      </c>
      <c r="H31" s="80" t="s">
        <v>83</v>
      </c>
      <c r="I31" s="79" t="s">
        <v>9</v>
      </c>
      <c r="J31" s="81">
        <v>8</v>
      </c>
      <c r="K31" t="s">
        <v>46</v>
      </c>
    </row>
    <row r="32" spans="2:11" x14ac:dyDescent="0.25">
      <c r="B32" s="2">
        <f>+B31</f>
        <v>1</v>
      </c>
      <c r="C32" s="79">
        <v>408221.91099999996</v>
      </c>
      <c r="D32" s="4">
        <v>134753.66800000001</v>
      </c>
      <c r="E32" s="79">
        <v>72396.75</v>
      </c>
      <c r="F32" s="79">
        <f>SUM(BASE_DATOS[[#This Row],[Capital($)]:[Interés
Resarcitorio($)]])</f>
        <v>615372.32899999991</v>
      </c>
      <c r="G32" s="8">
        <v>45742</v>
      </c>
      <c r="H32" s="80" t="s">
        <v>83</v>
      </c>
      <c r="I32" s="79" t="s">
        <v>7</v>
      </c>
      <c r="J32" s="81">
        <v>8</v>
      </c>
      <c r="K32" t="s">
        <v>46</v>
      </c>
    </row>
    <row r="33" spans="2:11" x14ac:dyDescent="0.25">
      <c r="B33" s="2">
        <v>2</v>
      </c>
      <c r="C33" s="79">
        <v>423040.36699999997</v>
      </c>
      <c r="D33" s="4">
        <v>119935.21200000001</v>
      </c>
      <c r="E33" s="79">
        <v>0</v>
      </c>
      <c r="F33" s="79">
        <f>SUM(BASE_DATOS[[#This Row],[Capital($)]:[Interés
Resarcitorio($)]])</f>
        <v>542975.57900000003</v>
      </c>
      <c r="G33" s="8">
        <v>45763</v>
      </c>
      <c r="H33" s="80" t="s">
        <v>83</v>
      </c>
      <c r="I33" s="79" t="s">
        <v>6</v>
      </c>
      <c r="J33" s="81">
        <v>8</v>
      </c>
      <c r="K33" t="s">
        <v>46</v>
      </c>
    </row>
    <row r="34" spans="2:11" x14ac:dyDescent="0.25">
      <c r="B34" s="2">
        <f>+B33</f>
        <v>2</v>
      </c>
      <c r="C34" s="79">
        <v>423040.36699999997</v>
      </c>
      <c r="D34" s="4">
        <v>119935.21200000001</v>
      </c>
      <c r="E34" s="79">
        <v>72396.75</v>
      </c>
      <c r="F34" s="79">
        <f>SUM(BASE_DATOS[[#This Row],[Capital($)]:[Interés
Resarcitorio($)]])</f>
        <v>615372.32900000003</v>
      </c>
      <c r="G34" s="8">
        <v>45773</v>
      </c>
      <c r="H34" s="80" t="s">
        <v>83</v>
      </c>
      <c r="I34" s="79" t="s">
        <v>7</v>
      </c>
      <c r="J34" s="81">
        <v>8</v>
      </c>
      <c r="K34" t="s">
        <v>46</v>
      </c>
    </row>
    <row r="35" spans="2:11" x14ac:dyDescent="0.25">
      <c r="B35" s="2">
        <v>3</v>
      </c>
      <c r="C35" s="79">
        <v>438396.73300000001</v>
      </c>
      <c r="D35" s="4">
        <v>104578.84599999999</v>
      </c>
      <c r="E35" s="79">
        <v>0</v>
      </c>
      <c r="F35" s="79">
        <f>SUM(BASE_DATOS[[#This Row],[Capital($)]:[Interés
Resarcitorio($)]])</f>
        <v>542975.57900000003</v>
      </c>
      <c r="G35" s="8">
        <v>45793</v>
      </c>
      <c r="H35" s="80" t="s">
        <v>83</v>
      </c>
      <c r="I35" s="79" t="s">
        <v>9</v>
      </c>
      <c r="J35" s="81">
        <v>8</v>
      </c>
      <c r="K35" t="s">
        <v>46</v>
      </c>
    </row>
    <row r="36" spans="2:11" x14ac:dyDescent="0.25">
      <c r="B36" s="2">
        <f>+B35</f>
        <v>3</v>
      </c>
      <c r="C36" s="79">
        <v>438396.73300000001</v>
      </c>
      <c r="D36" s="4">
        <v>104578.84599999999</v>
      </c>
      <c r="E36" s="79">
        <v>72396.75</v>
      </c>
      <c r="F36" s="79">
        <f>SUM(BASE_DATOS[[#This Row],[Capital($)]:[Interés
Resarcitorio($)]])</f>
        <v>615372.32900000003</v>
      </c>
      <c r="G36" s="8">
        <v>45803</v>
      </c>
      <c r="H36" s="80" t="s">
        <v>83</v>
      </c>
      <c r="I36" s="79" t="s">
        <v>7</v>
      </c>
      <c r="J36" s="81">
        <v>8</v>
      </c>
      <c r="K36" t="s">
        <v>46</v>
      </c>
    </row>
    <row r="37" spans="2:11" x14ac:dyDescent="0.25">
      <c r="B37" s="2">
        <v>4</v>
      </c>
      <c r="C37" s="79">
        <v>454310.533</v>
      </c>
      <c r="D37" s="4">
        <v>88665.046000000002</v>
      </c>
      <c r="E37" s="79">
        <v>0</v>
      </c>
      <c r="F37" s="79">
        <f>SUM(BASE_DATOS[[#This Row],[Capital($)]:[Interés
Resarcitorio($)]])</f>
        <v>542975.57900000003</v>
      </c>
      <c r="G37" s="8">
        <v>45824</v>
      </c>
      <c r="H37" s="80" t="s">
        <v>83</v>
      </c>
      <c r="I37" s="79" t="s">
        <v>9</v>
      </c>
      <c r="J37" s="81">
        <v>8</v>
      </c>
      <c r="K37" t="s">
        <v>46</v>
      </c>
    </row>
    <row r="38" spans="2:11" x14ac:dyDescent="0.25">
      <c r="B38" s="2">
        <f>+B37</f>
        <v>4</v>
      </c>
      <c r="C38" s="79">
        <v>454310.533</v>
      </c>
      <c r="D38" s="4">
        <v>88665.046000000002</v>
      </c>
      <c r="E38" s="79">
        <v>72396.75</v>
      </c>
      <c r="F38" s="79">
        <f>SUM(BASE_DATOS[[#This Row],[Capital($)]:[Interés
Resarcitorio($)]])</f>
        <v>615372.32900000003</v>
      </c>
      <c r="G38" s="8">
        <v>45834</v>
      </c>
      <c r="H38" s="80" t="s">
        <v>83</v>
      </c>
      <c r="I38" s="79" t="s">
        <v>7</v>
      </c>
      <c r="J38" s="81">
        <v>8</v>
      </c>
      <c r="K38" t="s">
        <v>46</v>
      </c>
    </row>
    <row r="39" spans="2:11" x14ac:dyDescent="0.25">
      <c r="B39" s="2">
        <v>5</v>
      </c>
      <c r="C39" s="79">
        <v>470802.00700000004</v>
      </c>
      <c r="D39" s="4">
        <v>72173.572</v>
      </c>
      <c r="E39" s="79">
        <v>0</v>
      </c>
      <c r="F39" s="79">
        <f>SUM(BASE_DATOS[[#This Row],[Capital($)]:[Interés
Resarcitorio($)]])</f>
        <v>542975.57900000003</v>
      </c>
      <c r="G39" s="8">
        <v>45854</v>
      </c>
      <c r="H39" s="80" t="s">
        <v>83</v>
      </c>
      <c r="I39" s="79" t="s">
        <v>6</v>
      </c>
      <c r="J39" s="81">
        <v>8</v>
      </c>
      <c r="K39" t="s">
        <v>46</v>
      </c>
    </row>
    <row r="40" spans="2:11" x14ac:dyDescent="0.25">
      <c r="B40" s="2">
        <f>+B39</f>
        <v>5</v>
      </c>
      <c r="C40" s="79">
        <v>470802.00700000004</v>
      </c>
      <c r="D40" s="4">
        <v>72173.572</v>
      </c>
      <c r="E40" s="79">
        <v>72396.75</v>
      </c>
      <c r="F40" s="79">
        <f>SUM(BASE_DATOS[[#This Row],[Capital($)]:[Interés
Resarcitorio($)]])</f>
        <v>615372.32900000003</v>
      </c>
      <c r="G40" s="8">
        <v>45864</v>
      </c>
      <c r="H40" s="80" t="s">
        <v>83</v>
      </c>
      <c r="I40" s="79" t="s">
        <v>7</v>
      </c>
      <c r="J40" s="81">
        <v>8</v>
      </c>
      <c r="K40" t="s">
        <v>46</v>
      </c>
    </row>
    <row r="41" spans="2:11" x14ac:dyDescent="0.25">
      <c r="B41" s="2">
        <v>6</v>
      </c>
      <c r="C41" s="79">
        <v>487892.11900000006</v>
      </c>
      <c r="D41" s="4">
        <v>55083.46</v>
      </c>
      <c r="E41" s="79">
        <v>0</v>
      </c>
      <c r="F41" s="79">
        <f>SUM(BASE_DATOS[[#This Row],[Capital($)]:[Interés
Resarcitorio($)]])</f>
        <v>542975.57900000003</v>
      </c>
      <c r="G41" s="8">
        <v>45885</v>
      </c>
      <c r="H41" s="80" t="s">
        <v>83</v>
      </c>
      <c r="I41" s="79" t="s">
        <v>6</v>
      </c>
      <c r="J41" s="81">
        <v>8</v>
      </c>
      <c r="K41" t="s">
        <v>46</v>
      </c>
    </row>
    <row r="42" spans="2:11" x14ac:dyDescent="0.25">
      <c r="B42" s="2">
        <f>+B41</f>
        <v>6</v>
      </c>
      <c r="C42" s="79">
        <v>487892.11900000006</v>
      </c>
      <c r="D42" s="4">
        <v>55083.46</v>
      </c>
      <c r="E42" s="79">
        <v>72396.75</v>
      </c>
      <c r="F42" s="79">
        <f>SUM(BASE_DATOS[[#This Row],[Capital($)]:[Interés
Resarcitorio($)]])</f>
        <v>615372.32900000003</v>
      </c>
      <c r="G42" s="8">
        <v>45895</v>
      </c>
      <c r="H42" s="80" t="s">
        <v>83</v>
      </c>
      <c r="I42" s="79" t="s">
        <v>7</v>
      </c>
      <c r="J42" s="81">
        <v>8</v>
      </c>
      <c r="K42" t="s">
        <v>46</v>
      </c>
    </row>
    <row r="43" spans="2:11" x14ac:dyDescent="0.25">
      <c r="B43" s="2">
        <v>7</v>
      </c>
      <c r="C43" s="79">
        <v>505602.603</v>
      </c>
      <c r="D43" s="4">
        <v>37372.976000000002</v>
      </c>
      <c r="E43" s="79">
        <v>0</v>
      </c>
      <c r="F43" s="79">
        <f>SUM(BASE_DATOS[[#This Row],[Capital($)]:[Interés
Resarcitorio($)]])</f>
        <v>542975.57900000003</v>
      </c>
      <c r="G43" s="8">
        <v>45916</v>
      </c>
      <c r="H43" s="80" t="s">
        <v>83</v>
      </c>
      <c r="I43" s="79" t="s">
        <v>6</v>
      </c>
      <c r="J43" s="81">
        <v>8</v>
      </c>
      <c r="K43" t="s">
        <v>46</v>
      </c>
    </row>
    <row r="44" spans="2:11" x14ac:dyDescent="0.25">
      <c r="B44" s="2">
        <f>+B43</f>
        <v>7</v>
      </c>
      <c r="C44" s="79">
        <v>505602.603</v>
      </c>
      <c r="D44" s="4">
        <v>37372.976000000002</v>
      </c>
      <c r="E44" s="79">
        <v>72396.75</v>
      </c>
      <c r="F44" s="79">
        <f>SUM(BASE_DATOS[[#This Row],[Capital($)]:[Interés
Resarcitorio($)]])</f>
        <v>615372.32900000003</v>
      </c>
      <c r="G44" s="8">
        <v>45926</v>
      </c>
      <c r="H44" s="80" t="s">
        <v>83</v>
      </c>
      <c r="I44" s="79" t="s">
        <v>7</v>
      </c>
      <c r="J44" s="81">
        <v>8</v>
      </c>
      <c r="K44" t="s">
        <v>46</v>
      </c>
    </row>
    <row r="45" spans="2:11" x14ac:dyDescent="0.25">
      <c r="B45" s="2">
        <v>8</v>
      </c>
      <c r="C45" s="79">
        <v>523955.97599999997</v>
      </c>
      <c r="D45" s="4">
        <v>19019.602999999999</v>
      </c>
      <c r="E45" s="79">
        <v>0</v>
      </c>
      <c r="F45" s="79">
        <f>SUM(BASE_DATOS[[#This Row],[Capital($)]:[Interés
Resarcitorio($)]])</f>
        <v>542975.57899999991</v>
      </c>
      <c r="G45" s="8">
        <v>45946</v>
      </c>
      <c r="H45" s="80" t="s">
        <v>83</v>
      </c>
      <c r="I45" s="79" t="s">
        <v>6</v>
      </c>
      <c r="J45" s="81">
        <v>8</v>
      </c>
      <c r="K45" t="s">
        <v>46</v>
      </c>
    </row>
    <row r="46" spans="2:11" x14ac:dyDescent="0.25">
      <c r="B46" s="2">
        <f>+B45</f>
        <v>8</v>
      </c>
      <c r="C46" s="79">
        <v>523955.97599999997</v>
      </c>
      <c r="D46" s="4">
        <v>19019.602999999999</v>
      </c>
      <c r="E46" s="79">
        <v>72396.75</v>
      </c>
      <c r="F46" s="79">
        <f>SUM(BASE_DATOS[[#This Row],[Capital($)]:[Interés
Resarcitorio($)]])</f>
        <v>615372.32899999991</v>
      </c>
      <c r="G46" s="8">
        <v>45956</v>
      </c>
      <c r="H46" s="80" t="s">
        <v>83</v>
      </c>
      <c r="I46" s="79" t="s">
        <v>7</v>
      </c>
      <c r="J46" s="81">
        <v>8</v>
      </c>
      <c r="K46" t="s">
        <v>46</v>
      </c>
    </row>
    <row r="47" spans="2:11" x14ac:dyDescent="0.25">
      <c r="B47" s="2">
        <v>1</v>
      </c>
      <c r="C47" s="79">
        <v>470100.65099999995</v>
      </c>
      <c r="D47" s="4">
        <v>173264.55</v>
      </c>
      <c r="E47" s="79">
        <v>0</v>
      </c>
      <c r="F47" s="79">
        <f>SUM(BASE_DATOS[[#This Row],[Capital($)]:[Interés
Resarcitorio($)]])</f>
        <v>643365.20099999988</v>
      </c>
      <c r="G47" s="8">
        <v>45763</v>
      </c>
      <c r="H47" s="80" t="s">
        <v>85</v>
      </c>
      <c r="I47" s="79" t="s">
        <v>6</v>
      </c>
      <c r="J47" s="81">
        <v>8</v>
      </c>
      <c r="K47" t="s">
        <v>46</v>
      </c>
    </row>
    <row r="48" spans="2:11" x14ac:dyDescent="0.25">
      <c r="B48" s="2">
        <v>1</v>
      </c>
      <c r="C48" s="79">
        <v>470100.65099999995</v>
      </c>
      <c r="D48" s="4">
        <v>173264.55</v>
      </c>
      <c r="E48" s="79">
        <v>85782.03</v>
      </c>
      <c r="F48" s="79">
        <f>SUM(BASE_DATOS[[#This Row],[Capital($)]:[Interés
Resarcitorio($)]])</f>
        <v>729147.23099999991</v>
      </c>
      <c r="G48" s="8">
        <v>45773</v>
      </c>
      <c r="H48" s="80" t="s">
        <v>85</v>
      </c>
      <c r="I48" s="79" t="s">
        <v>7</v>
      </c>
      <c r="J48" s="81">
        <v>8</v>
      </c>
      <c r="K48" t="s">
        <v>46</v>
      </c>
    </row>
    <row r="49" spans="2:11" x14ac:dyDescent="0.25">
      <c r="B49" s="2">
        <v>2</v>
      </c>
      <c r="C49" s="79">
        <v>488904.67699999997</v>
      </c>
      <c r="D49" s="4">
        <v>154460.524</v>
      </c>
      <c r="E49" s="79">
        <v>0</v>
      </c>
      <c r="F49" s="79">
        <f>SUM(BASE_DATOS[[#This Row],[Capital($)]:[Interés
Resarcitorio($)]])</f>
        <v>643365.201</v>
      </c>
      <c r="G49" s="8">
        <v>45793</v>
      </c>
      <c r="H49" s="80" t="s">
        <v>85</v>
      </c>
      <c r="I49" s="79" t="s">
        <v>9</v>
      </c>
      <c r="J49" s="81">
        <v>8</v>
      </c>
      <c r="K49" t="s">
        <v>46</v>
      </c>
    </row>
    <row r="50" spans="2:11" x14ac:dyDescent="0.25">
      <c r="B50" s="2">
        <v>2</v>
      </c>
      <c r="C50" s="79">
        <v>488904.67699999997</v>
      </c>
      <c r="D50" s="4">
        <v>154460.524</v>
      </c>
      <c r="E50" s="79">
        <v>85782.03</v>
      </c>
      <c r="F50" s="79">
        <f>SUM(BASE_DATOS[[#This Row],[Capital($)]:[Interés
Resarcitorio($)]])</f>
        <v>729147.23100000003</v>
      </c>
      <c r="G50" s="8">
        <v>45803</v>
      </c>
      <c r="H50" s="80" t="s">
        <v>85</v>
      </c>
      <c r="I50" s="79" t="s">
        <v>7</v>
      </c>
      <c r="J50" s="81">
        <v>8</v>
      </c>
      <c r="K50" t="s">
        <v>46</v>
      </c>
    </row>
    <row r="51" spans="2:11" x14ac:dyDescent="0.25">
      <c r="B51" s="2">
        <v>3</v>
      </c>
      <c r="C51" s="79">
        <v>508460.86500000005</v>
      </c>
      <c r="D51" s="4">
        <v>134904.33600000001</v>
      </c>
      <c r="E51" s="79">
        <v>0</v>
      </c>
      <c r="F51" s="79">
        <f>SUM(BASE_DATOS[[#This Row],[Capital($)]:[Interés
Resarcitorio($)]])</f>
        <v>643365.20100000012</v>
      </c>
      <c r="G51" s="8">
        <v>45824</v>
      </c>
      <c r="H51" s="80" t="s">
        <v>85</v>
      </c>
      <c r="I51" s="79" t="s">
        <v>9</v>
      </c>
      <c r="J51" s="81">
        <v>8</v>
      </c>
      <c r="K51" t="s">
        <v>46</v>
      </c>
    </row>
    <row r="52" spans="2:11" x14ac:dyDescent="0.25">
      <c r="B52" s="2">
        <v>3</v>
      </c>
      <c r="C52" s="79">
        <v>508460.86500000005</v>
      </c>
      <c r="D52" s="4">
        <v>134904.33600000001</v>
      </c>
      <c r="E52" s="79">
        <v>85782.03</v>
      </c>
      <c r="F52" s="79">
        <f>SUM(BASE_DATOS[[#This Row],[Capital($)]:[Interés
Resarcitorio($)]])</f>
        <v>729147.23100000015</v>
      </c>
      <c r="G52" s="8">
        <v>45834</v>
      </c>
      <c r="H52" s="80" t="s">
        <v>85</v>
      </c>
      <c r="I52" s="79" t="s">
        <v>7</v>
      </c>
      <c r="J52" s="81">
        <v>8</v>
      </c>
      <c r="K52" t="s">
        <v>46</v>
      </c>
    </row>
    <row r="53" spans="2:11" x14ac:dyDescent="0.25">
      <c r="B53" s="2">
        <v>4</v>
      </c>
      <c r="C53" s="79">
        <v>528799.29800000007</v>
      </c>
      <c r="D53" s="4">
        <v>114565.90300000001</v>
      </c>
      <c r="E53" s="79">
        <v>0</v>
      </c>
      <c r="F53" s="79">
        <f>SUM(BASE_DATOS[[#This Row],[Capital($)]:[Interés
Resarcitorio($)]])</f>
        <v>643365.20100000012</v>
      </c>
      <c r="G53" s="8">
        <v>45854</v>
      </c>
      <c r="H53" s="80" t="s">
        <v>85</v>
      </c>
      <c r="I53" s="79" t="s">
        <v>6</v>
      </c>
      <c r="J53" s="81">
        <v>8</v>
      </c>
      <c r="K53" t="s">
        <v>46</v>
      </c>
    </row>
    <row r="54" spans="2:11" x14ac:dyDescent="0.25">
      <c r="B54" s="2">
        <v>4</v>
      </c>
      <c r="C54" s="79">
        <v>528799.29800000007</v>
      </c>
      <c r="D54" s="4">
        <v>114565.90300000001</v>
      </c>
      <c r="E54" s="79">
        <v>85782.03</v>
      </c>
      <c r="F54" s="79">
        <f>SUM(BASE_DATOS[[#This Row],[Capital($)]:[Interés
Resarcitorio($)]])</f>
        <v>729147.23100000015</v>
      </c>
      <c r="G54" s="8">
        <v>45864</v>
      </c>
      <c r="H54" s="80" t="s">
        <v>85</v>
      </c>
      <c r="I54" s="79" t="s">
        <v>7</v>
      </c>
      <c r="J54" s="81">
        <v>8</v>
      </c>
      <c r="K54" t="s">
        <v>46</v>
      </c>
    </row>
    <row r="55" spans="2:11" x14ac:dyDescent="0.25">
      <c r="B55" s="2">
        <v>5</v>
      </c>
      <c r="C55" s="79">
        <v>549951.27099999995</v>
      </c>
      <c r="D55" s="4">
        <v>93413.930000000008</v>
      </c>
      <c r="E55" s="79">
        <v>0</v>
      </c>
      <c r="F55" s="79">
        <f>SUM(BASE_DATOS[[#This Row],[Capital($)]:[Interés
Resarcitorio($)]])</f>
        <v>643365.201</v>
      </c>
      <c r="G55" s="8">
        <v>45885</v>
      </c>
      <c r="H55" s="80" t="s">
        <v>85</v>
      </c>
      <c r="I55" s="79" t="s">
        <v>6</v>
      </c>
      <c r="J55" s="81">
        <v>8</v>
      </c>
      <c r="K55" t="s">
        <v>46</v>
      </c>
    </row>
    <row r="56" spans="2:11" x14ac:dyDescent="0.25">
      <c r="B56" s="2">
        <v>5</v>
      </c>
      <c r="C56" s="79">
        <v>549951.27099999995</v>
      </c>
      <c r="D56" s="4">
        <v>93413.930000000008</v>
      </c>
      <c r="E56" s="79">
        <v>85782.03</v>
      </c>
      <c r="F56" s="79">
        <f>SUM(BASE_DATOS[[#This Row],[Capital($)]:[Interés
Resarcitorio($)]])</f>
        <v>729147.23100000003</v>
      </c>
      <c r="G56" s="8">
        <v>45895</v>
      </c>
      <c r="H56" s="80" t="s">
        <v>85</v>
      </c>
      <c r="I56" s="79" t="s">
        <v>7</v>
      </c>
      <c r="J56" s="81">
        <v>8</v>
      </c>
      <c r="K56" t="s">
        <v>46</v>
      </c>
    </row>
    <row r="57" spans="2:11" x14ac:dyDescent="0.25">
      <c r="B57" s="2">
        <v>6</v>
      </c>
      <c r="C57" s="79">
        <v>571949.32199999993</v>
      </c>
      <c r="D57" s="4">
        <v>71415.879000000001</v>
      </c>
      <c r="E57" s="79">
        <v>0</v>
      </c>
      <c r="F57" s="79">
        <f>SUM(BASE_DATOS[[#This Row],[Capital($)]:[Interés
Resarcitorio($)]])</f>
        <v>643365.20099999988</v>
      </c>
      <c r="G57" s="8">
        <v>45916</v>
      </c>
      <c r="H57" s="80" t="s">
        <v>85</v>
      </c>
      <c r="I57" s="79" t="s">
        <v>6</v>
      </c>
      <c r="J57" s="81">
        <v>8</v>
      </c>
      <c r="K57" t="s">
        <v>46</v>
      </c>
    </row>
    <row r="58" spans="2:11" x14ac:dyDescent="0.25">
      <c r="B58" s="2">
        <v>6</v>
      </c>
      <c r="C58" s="79">
        <v>571949.32199999993</v>
      </c>
      <c r="D58" s="4">
        <v>71415.879000000001</v>
      </c>
      <c r="E58" s="79">
        <v>85782.03</v>
      </c>
      <c r="F58" s="79">
        <f>SUM(BASE_DATOS[[#This Row],[Capital($)]:[Interés
Resarcitorio($)]])</f>
        <v>729147.23099999991</v>
      </c>
      <c r="G58" s="8">
        <v>45926</v>
      </c>
      <c r="H58" s="80" t="s">
        <v>85</v>
      </c>
      <c r="I58" s="79" t="s">
        <v>7</v>
      </c>
      <c r="J58" s="81">
        <v>8</v>
      </c>
      <c r="K58" t="s">
        <v>46</v>
      </c>
    </row>
    <row r="59" spans="2:11" x14ac:dyDescent="0.25">
      <c r="B59" s="2">
        <v>7</v>
      </c>
      <c r="C59" s="79">
        <v>594827.29299999995</v>
      </c>
      <c r="D59" s="4">
        <v>48537.908000000003</v>
      </c>
      <c r="E59" s="79">
        <v>0</v>
      </c>
      <c r="F59" s="79">
        <f>SUM(BASE_DATOS[[#This Row],[Capital($)]:[Interés
Resarcitorio($)]])</f>
        <v>643365.201</v>
      </c>
      <c r="G59" s="8">
        <v>45946</v>
      </c>
      <c r="H59" s="80" t="s">
        <v>85</v>
      </c>
      <c r="I59" s="79" t="s">
        <v>6</v>
      </c>
      <c r="J59" s="81">
        <v>8</v>
      </c>
      <c r="K59" t="s">
        <v>46</v>
      </c>
    </row>
    <row r="60" spans="2:11" x14ac:dyDescent="0.25">
      <c r="B60" s="2">
        <v>7</v>
      </c>
      <c r="C60" s="79">
        <v>594827.29299999995</v>
      </c>
      <c r="D60" s="4">
        <v>48537.908000000003</v>
      </c>
      <c r="E60" s="79">
        <v>85782.03</v>
      </c>
      <c r="F60" s="79">
        <f>SUM(BASE_DATOS[[#This Row],[Capital($)]:[Interés
Resarcitorio($)]])</f>
        <v>729147.23100000003</v>
      </c>
      <c r="G60" s="8">
        <v>45956</v>
      </c>
      <c r="H60" s="80" t="s">
        <v>85</v>
      </c>
      <c r="I60" s="79" t="s">
        <v>7</v>
      </c>
      <c r="J60" s="81">
        <v>8</v>
      </c>
      <c r="K60" t="s">
        <v>46</v>
      </c>
    </row>
    <row r="61" spans="2:11" x14ac:dyDescent="0.25">
      <c r="B61" s="2">
        <v>8</v>
      </c>
      <c r="C61" s="79">
        <v>618620.38399999996</v>
      </c>
      <c r="D61" s="4">
        <v>24744.817000000003</v>
      </c>
      <c r="E61" s="79">
        <v>0</v>
      </c>
      <c r="F61" s="79">
        <f>SUM(BASE_DATOS[[#This Row],[Capital($)]:[Interés
Resarcitorio($)]])</f>
        <v>643365.201</v>
      </c>
      <c r="G61" s="8">
        <v>45977</v>
      </c>
      <c r="H61" s="80" t="s">
        <v>85</v>
      </c>
      <c r="I61" s="79" t="s">
        <v>6</v>
      </c>
      <c r="J61" s="81">
        <v>8</v>
      </c>
      <c r="K61" t="s">
        <v>46</v>
      </c>
    </row>
    <row r="62" spans="2:11" x14ac:dyDescent="0.25">
      <c r="B62" s="2">
        <v>8</v>
      </c>
      <c r="C62" s="79">
        <v>618620.38399999996</v>
      </c>
      <c r="D62" s="4">
        <v>24744.817000000003</v>
      </c>
      <c r="E62" s="79">
        <v>85782.03</v>
      </c>
      <c r="F62" s="79">
        <f>SUM(BASE_DATOS[[#This Row],[Capital($)]:[Interés
Resarcitorio($)]])</f>
        <v>729147.23100000003</v>
      </c>
      <c r="G62" s="8">
        <v>45987</v>
      </c>
      <c r="H62" s="80" t="s">
        <v>85</v>
      </c>
      <c r="I62" s="79" t="s">
        <v>7</v>
      </c>
      <c r="J62" s="81">
        <v>8</v>
      </c>
      <c r="K62" t="s">
        <v>46</v>
      </c>
    </row>
    <row r="63" spans="2:11" x14ac:dyDescent="0.25">
      <c r="B63" s="2">
        <v>1</v>
      </c>
      <c r="C63" s="4">
        <v>48916.841</v>
      </c>
      <c r="D63" s="4">
        <v>23492.032999999999</v>
      </c>
      <c r="E63" s="79">
        <v>0</v>
      </c>
      <c r="F63" s="79">
        <f>SUM(BASE_DATOS[[#This Row],[Capital($)]:[Interés
Resarcitorio($)]])</f>
        <v>72408.873999999996</v>
      </c>
      <c r="G63" s="8">
        <v>45763</v>
      </c>
      <c r="H63" s="80" t="s">
        <v>86</v>
      </c>
      <c r="I63" s="79" t="s">
        <v>6</v>
      </c>
      <c r="J63" s="81">
        <v>10</v>
      </c>
      <c r="K63" t="s">
        <v>48</v>
      </c>
    </row>
    <row r="64" spans="2:11" x14ac:dyDescent="0.25">
      <c r="B64" s="2">
        <f>+B63</f>
        <v>1</v>
      </c>
      <c r="C64" s="4">
        <v>48916.841</v>
      </c>
      <c r="D64" s="4">
        <v>23492.032999999999</v>
      </c>
      <c r="E64" s="79">
        <v>9654.52</v>
      </c>
      <c r="F64" s="79">
        <f>SUM(BASE_DATOS[[#This Row],[Capital($)]:[Interés
Resarcitorio($)]])</f>
        <v>82063.394</v>
      </c>
      <c r="G64" s="8">
        <v>45773</v>
      </c>
      <c r="H64" s="80" t="s">
        <v>86</v>
      </c>
      <c r="I64" s="79" t="s">
        <v>7</v>
      </c>
      <c r="J64" s="81">
        <v>10</v>
      </c>
      <c r="K64" t="s">
        <v>48</v>
      </c>
    </row>
    <row r="65" spans="2:11" x14ac:dyDescent="0.25">
      <c r="B65" s="2">
        <v>2</v>
      </c>
      <c r="C65" s="4">
        <v>50873.514000000003</v>
      </c>
      <c r="D65" s="4">
        <v>21535.360000000001</v>
      </c>
      <c r="E65" s="79">
        <v>0</v>
      </c>
      <c r="F65" s="79">
        <f>SUM(BASE_DATOS[[#This Row],[Capital($)]:[Interés
Resarcitorio($)]])</f>
        <v>72408.874000000011</v>
      </c>
      <c r="G65" s="8">
        <v>45793</v>
      </c>
      <c r="H65" s="80" t="s">
        <v>86</v>
      </c>
      <c r="I65" s="79" t="s">
        <v>9</v>
      </c>
      <c r="J65" s="81">
        <v>10</v>
      </c>
      <c r="K65" t="s">
        <v>48</v>
      </c>
    </row>
    <row r="66" spans="2:11" x14ac:dyDescent="0.25">
      <c r="B66" s="2">
        <f>+B65</f>
        <v>2</v>
      </c>
      <c r="C66" s="4">
        <v>50873.514000000003</v>
      </c>
      <c r="D66" s="4">
        <v>21535.360000000001</v>
      </c>
      <c r="E66" s="79">
        <v>9654.52</v>
      </c>
      <c r="F66" s="79">
        <f>SUM(BASE_DATOS[[#This Row],[Capital($)]:[Interés
Resarcitorio($)]])</f>
        <v>82063.394000000015</v>
      </c>
      <c r="G66" s="8">
        <v>45803</v>
      </c>
      <c r="H66" s="80" t="s">
        <v>86</v>
      </c>
      <c r="I66" s="79" t="s">
        <v>7</v>
      </c>
      <c r="J66" s="81">
        <v>10</v>
      </c>
      <c r="K66" t="s">
        <v>48</v>
      </c>
    </row>
    <row r="67" spans="2:11" x14ac:dyDescent="0.25">
      <c r="B67" s="2">
        <v>3</v>
      </c>
      <c r="C67" s="4">
        <v>52908.455000000002</v>
      </c>
      <c r="D67" s="4">
        <v>19500.419000000002</v>
      </c>
      <c r="E67" s="79">
        <v>0</v>
      </c>
      <c r="F67" s="79">
        <f>SUM(BASE_DATOS[[#This Row],[Capital($)]:[Interés
Resarcitorio($)]])</f>
        <v>72408.874000000011</v>
      </c>
      <c r="G67" s="8">
        <v>45824</v>
      </c>
      <c r="H67" s="80" t="s">
        <v>86</v>
      </c>
      <c r="I67" s="79" t="s">
        <v>9</v>
      </c>
      <c r="J67" s="81">
        <v>10</v>
      </c>
      <c r="K67" t="s">
        <v>48</v>
      </c>
    </row>
    <row r="68" spans="2:11" x14ac:dyDescent="0.25">
      <c r="B68" s="2">
        <f>+B67</f>
        <v>3</v>
      </c>
      <c r="C68" s="4">
        <v>52908.455000000002</v>
      </c>
      <c r="D68" s="4">
        <v>19500.419000000002</v>
      </c>
      <c r="E68" s="79">
        <v>9654.52</v>
      </c>
      <c r="F68" s="79">
        <f>SUM(BASE_DATOS[[#This Row],[Capital($)]:[Interés
Resarcitorio($)]])</f>
        <v>82063.394000000015</v>
      </c>
      <c r="G68" s="8">
        <v>45834</v>
      </c>
      <c r="H68" s="80" t="s">
        <v>86</v>
      </c>
      <c r="I68" s="79" t="s">
        <v>7</v>
      </c>
      <c r="J68" s="81">
        <v>10</v>
      </c>
      <c r="K68" t="s">
        <v>48</v>
      </c>
    </row>
    <row r="69" spans="2:11" x14ac:dyDescent="0.25">
      <c r="B69" s="2">
        <v>4</v>
      </c>
      <c r="C69" s="4">
        <v>55024.793000000005</v>
      </c>
      <c r="D69" s="4">
        <v>17384.080999999998</v>
      </c>
      <c r="E69" s="79">
        <v>0</v>
      </c>
      <c r="F69" s="79">
        <f>SUM(BASE_DATOS[[#This Row],[Capital($)]:[Interés
Resarcitorio($)]])</f>
        <v>72408.874000000011</v>
      </c>
      <c r="G69" s="8">
        <v>45854</v>
      </c>
      <c r="H69" s="80" t="s">
        <v>86</v>
      </c>
      <c r="I69" s="79" t="s">
        <v>6</v>
      </c>
      <c r="J69" s="81">
        <v>10</v>
      </c>
      <c r="K69" t="s">
        <v>48</v>
      </c>
    </row>
    <row r="70" spans="2:11" x14ac:dyDescent="0.25">
      <c r="B70" s="2">
        <f>+B69</f>
        <v>4</v>
      </c>
      <c r="C70" s="4">
        <v>55024.793000000005</v>
      </c>
      <c r="D70" s="4">
        <v>17384.080999999998</v>
      </c>
      <c r="E70" s="79">
        <v>9654.52</v>
      </c>
      <c r="F70" s="79">
        <f>SUM(BASE_DATOS[[#This Row],[Capital($)]:[Interés
Resarcitorio($)]])</f>
        <v>82063.394000000015</v>
      </c>
      <c r="G70" s="8">
        <v>45864</v>
      </c>
      <c r="H70" s="80" t="s">
        <v>86</v>
      </c>
      <c r="I70" s="79" t="s">
        <v>7</v>
      </c>
      <c r="J70" s="81">
        <v>10</v>
      </c>
      <c r="K70" t="s">
        <v>48</v>
      </c>
    </row>
    <row r="71" spans="2:11" x14ac:dyDescent="0.25">
      <c r="B71" s="2">
        <v>5</v>
      </c>
      <c r="C71" s="4">
        <v>57225.784999999996</v>
      </c>
      <c r="D71" s="4">
        <v>15183.089000000002</v>
      </c>
      <c r="E71" s="79">
        <v>0</v>
      </c>
      <c r="F71" s="79">
        <f>SUM(BASE_DATOS[[#This Row],[Capital($)]:[Interés
Resarcitorio($)]])</f>
        <v>72408.873999999996</v>
      </c>
      <c r="G71" s="8">
        <v>45885</v>
      </c>
      <c r="H71" s="80" t="s">
        <v>86</v>
      </c>
      <c r="I71" s="79" t="s">
        <v>6</v>
      </c>
      <c r="J71" s="81">
        <v>10</v>
      </c>
      <c r="K71" t="s">
        <v>48</v>
      </c>
    </row>
    <row r="72" spans="2:11" x14ac:dyDescent="0.25">
      <c r="B72" s="2">
        <f>+B71</f>
        <v>5</v>
      </c>
      <c r="C72" s="4">
        <v>57225.784999999996</v>
      </c>
      <c r="D72" s="4">
        <v>15183.089000000002</v>
      </c>
      <c r="E72" s="79">
        <v>9654.52</v>
      </c>
      <c r="F72" s="79">
        <f>SUM(BASE_DATOS[[#This Row],[Capital($)]:[Interés
Resarcitorio($)]])</f>
        <v>82063.394</v>
      </c>
      <c r="G72" s="8">
        <v>45895</v>
      </c>
      <c r="H72" s="80" t="s">
        <v>86</v>
      </c>
      <c r="I72" s="79" t="s">
        <v>7</v>
      </c>
      <c r="J72" s="81">
        <v>10</v>
      </c>
      <c r="K72" t="s">
        <v>48</v>
      </c>
    </row>
    <row r="73" spans="2:11" x14ac:dyDescent="0.25">
      <c r="B73" s="2">
        <v>6</v>
      </c>
      <c r="C73" s="4">
        <v>59514.816000000006</v>
      </c>
      <c r="D73" s="4">
        <v>12894.058000000001</v>
      </c>
      <c r="E73" s="79">
        <v>0</v>
      </c>
      <c r="F73" s="79">
        <f>SUM(BASE_DATOS[[#This Row],[Capital($)]:[Interés
Resarcitorio($)]])</f>
        <v>72408.874000000011</v>
      </c>
      <c r="G73" s="8">
        <v>45916</v>
      </c>
      <c r="H73" s="80" t="s">
        <v>86</v>
      </c>
      <c r="I73" s="79" t="s">
        <v>6</v>
      </c>
      <c r="J73" s="81">
        <v>10</v>
      </c>
      <c r="K73" t="s">
        <v>48</v>
      </c>
    </row>
    <row r="74" spans="2:11" x14ac:dyDescent="0.25">
      <c r="B74" s="2">
        <f>+B73</f>
        <v>6</v>
      </c>
      <c r="C74" s="4">
        <v>59514.816000000006</v>
      </c>
      <c r="D74" s="4">
        <v>12894.058000000001</v>
      </c>
      <c r="E74" s="79">
        <v>9654.52</v>
      </c>
      <c r="F74" s="79">
        <f>SUM(BASE_DATOS[[#This Row],[Capital($)]:[Interés
Resarcitorio($)]])</f>
        <v>82063.394000000015</v>
      </c>
      <c r="G74" s="8">
        <v>45926</v>
      </c>
      <c r="H74" s="80" t="s">
        <v>86</v>
      </c>
      <c r="I74" s="79" t="s">
        <v>7</v>
      </c>
      <c r="J74" s="81">
        <v>10</v>
      </c>
      <c r="K74" t="s">
        <v>48</v>
      </c>
    </row>
    <row r="75" spans="2:11" x14ac:dyDescent="0.25">
      <c r="B75" s="2">
        <v>7</v>
      </c>
      <c r="C75" s="4">
        <v>61895.409</v>
      </c>
      <c r="D75" s="4">
        <v>10513.465</v>
      </c>
      <c r="E75" s="79">
        <v>0</v>
      </c>
      <c r="F75" s="79">
        <f>SUM(BASE_DATOS[[#This Row],[Capital($)]:[Interés
Resarcitorio($)]])</f>
        <v>72408.873999999996</v>
      </c>
      <c r="G75" s="8">
        <v>45946</v>
      </c>
      <c r="H75" s="80" t="s">
        <v>86</v>
      </c>
      <c r="I75" s="79" t="s">
        <v>6</v>
      </c>
      <c r="J75" s="81">
        <v>10</v>
      </c>
      <c r="K75" t="s">
        <v>48</v>
      </c>
    </row>
    <row r="76" spans="2:11" x14ac:dyDescent="0.25">
      <c r="B76" s="2">
        <f>+B75</f>
        <v>7</v>
      </c>
      <c r="C76" s="4">
        <v>61895.409</v>
      </c>
      <c r="D76" s="4">
        <v>10513.465</v>
      </c>
      <c r="E76" s="79">
        <v>9654.52</v>
      </c>
      <c r="F76" s="79">
        <f>SUM(BASE_DATOS[[#This Row],[Capital($)]:[Interés
Resarcitorio($)]])</f>
        <v>82063.394</v>
      </c>
      <c r="G76" s="8">
        <v>45956</v>
      </c>
      <c r="H76" s="80" t="s">
        <v>86</v>
      </c>
      <c r="I76" s="79" t="s">
        <v>7</v>
      </c>
      <c r="J76" s="81">
        <v>10</v>
      </c>
      <c r="K76" t="s">
        <v>48</v>
      </c>
    </row>
    <row r="77" spans="2:11" x14ac:dyDescent="0.25">
      <c r="B77" s="2">
        <v>8</v>
      </c>
      <c r="C77" s="4">
        <v>64371.224999999999</v>
      </c>
      <c r="D77" s="4">
        <v>8037.6490000000003</v>
      </c>
      <c r="E77" s="79">
        <v>0</v>
      </c>
      <c r="F77" s="79">
        <f>SUM(BASE_DATOS[[#This Row],[Capital($)]:[Interés
Resarcitorio($)]])</f>
        <v>72408.873999999996</v>
      </c>
      <c r="G77" s="8">
        <v>45977</v>
      </c>
      <c r="H77" s="80" t="s">
        <v>86</v>
      </c>
      <c r="I77" s="79" t="s">
        <v>6</v>
      </c>
      <c r="J77" s="81">
        <v>10</v>
      </c>
      <c r="K77" t="s">
        <v>48</v>
      </c>
    </row>
    <row r="78" spans="2:11" x14ac:dyDescent="0.25">
      <c r="B78" s="2">
        <f>+B77</f>
        <v>8</v>
      </c>
      <c r="C78" s="4">
        <v>64371.224999999999</v>
      </c>
      <c r="D78" s="4">
        <v>8037.6490000000003</v>
      </c>
      <c r="E78" s="79">
        <v>9654.52</v>
      </c>
      <c r="F78" s="79">
        <f>SUM(BASE_DATOS[[#This Row],[Capital($)]:[Interés
Resarcitorio($)]])</f>
        <v>82063.394</v>
      </c>
      <c r="G78" s="8">
        <v>45987</v>
      </c>
      <c r="H78" s="80" t="s">
        <v>86</v>
      </c>
      <c r="I78" s="79" t="s">
        <v>7</v>
      </c>
      <c r="J78" s="81">
        <v>10</v>
      </c>
      <c r="K78" t="s">
        <v>48</v>
      </c>
    </row>
    <row r="79" spans="2:11" x14ac:dyDescent="0.25">
      <c r="B79" s="2">
        <v>9</v>
      </c>
      <c r="C79" s="4">
        <v>66946.073999999993</v>
      </c>
      <c r="D79" s="4">
        <v>5462.8</v>
      </c>
      <c r="E79" s="79">
        <v>0</v>
      </c>
      <c r="F79" s="79">
        <f>SUM(BASE_DATOS[[#This Row],[Capital($)]:[Interés
Resarcitorio($)]])</f>
        <v>72408.873999999996</v>
      </c>
      <c r="G79" s="8">
        <v>46007</v>
      </c>
      <c r="H79" s="80" t="s">
        <v>86</v>
      </c>
      <c r="I79" s="79" t="s">
        <v>6</v>
      </c>
      <c r="J79" s="81">
        <v>10</v>
      </c>
      <c r="K79" t="s">
        <v>48</v>
      </c>
    </row>
    <row r="80" spans="2:11" x14ac:dyDescent="0.25">
      <c r="B80" s="2">
        <f>+B79</f>
        <v>9</v>
      </c>
      <c r="C80" s="4">
        <v>66946.073999999993</v>
      </c>
      <c r="D80" s="4">
        <v>5462.8</v>
      </c>
      <c r="E80" s="79">
        <v>9654.52</v>
      </c>
      <c r="F80" s="79">
        <f>SUM(BASE_DATOS[[#This Row],[Capital($)]:[Interés
Resarcitorio($)]])</f>
        <v>82063.394</v>
      </c>
      <c r="G80" s="8">
        <v>46017</v>
      </c>
      <c r="H80" s="80" t="s">
        <v>86</v>
      </c>
      <c r="I80" s="79" t="s">
        <v>7</v>
      </c>
      <c r="J80" s="81">
        <v>10</v>
      </c>
      <c r="K80" t="s">
        <v>48</v>
      </c>
    </row>
    <row r="81" spans="2:11" x14ac:dyDescent="0.25">
      <c r="B81" s="2">
        <v>10</v>
      </c>
      <c r="C81" s="4">
        <v>69623.917000000001</v>
      </c>
      <c r="D81" s="4">
        <v>2784.9569999999999</v>
      </c>
      <c r="E81" s="79">
        <v>0</v>
      </c>
      <c r="F81" s="79">
        <f>SUM(BASE_DATOS[[#This Row],[Capital($)]:[Interés
Resarcitorio($)]])</f>
        <v>72408.873999999996</v>
      </c>
      <c r="G81" s="8">
        <v>46038</v>
      </c>
      <c r="H81" s="80" t="s">
        <v>86</v>
      </c>
      <c r="I81" s="79" t="s">
        <v>6</v>
      </c>
      <c r="J81" s="81">
        <v>10</v>
      </c>
      <c r="K81" t="s">
        <v>48</v>
      </c>
    </row>
    <row r="82" spans="2:11" x14ac:dyDescent="0.25">
      <c r="B82" s="2">
        <f>+B81</f>
        <v>10</v>
      </c>
      <c r="C82" s="4">
        <v>69623.917000000001</v>
      </c>
      <c r="D82" s="4">
        <v>2784.9569999999999</v>
      </c>
      <c r="E82" s="79">
        <v>9654.52</v>
      </c>
      <c r="F82" s="79">
        <f>SUM(BASE_DATOS[[#This Row],[Capital($)]:[Interés
Resarcitorio($)]])</f>
        <v>82063.394</v>
      </c>
      <c r="G82" s="8">
        <v>46048</v>
      </c>
      <c r="H82" s="80" t="s">
        <v>86</v>
      </c>
      <c r="I82" s="79" t="s">
        <v>7</v>
      </c>
      <c r="J82" s="81">
        <v>10</v>
      </c>
      <c r="K82" t="s">
        <v>48</v>
      </c>
    </row>
    <row r="83" spans="2:11" x14ac:dyDescent="0.25">
      <c r="B83" s="2">
        <v>1</v>
      </c>
      <c r="C83" s="4">
        <v>24845.375</v>
      </c>
      <c r="D83" s="4">
        <v>33928.800000000003</v>
      </c>
      <c r="E83" s="79">
        <v>0</v>
      </c>
      <c r="F83" s="79">
        <f>SUM(BASE_DATOS[[#This Row],[Capital($)]:[Interés
Resarcitorio($)]])</f>
        <v>58774.175000000003</v>
      </c>
      <c r="G83" s="8">
        <v>45793</v>
      </c>
      <c r="H83" s="80" t="s">
        <v>81</v>
      </c>
      <c r="I83" s="79" t="s">
        <v>9</v>
      </c>
      <c r="J83" s="81">
        <v>48</v>
      </c>
      <c r="K83" t="s">
        <v>46</v>
      </c>
    </row>
    <row r="84" spans="2:11" x14ac:dyDescent="0.25">
      <c r="B84" s="2">
        <f>+B83</f>
        <v>1</v>
      </c>
      <c r="C84" s="4">
        <v>24845.375</v>
      </c>
      <c r="D84" s="4">
        <v>33928.800000000003</v>
      </c>
      <c r="E84" s="79">
        <v>7836.56</v>
      </c>
      <c r="F84" s="79">
        <f>SUM(BASE_DATOS[[#This Row],[Capital($)]:[Interés
Resarcitorio($)]])</f>
        <v>66610.735000000001</v>
      </c>
      <c r="G84" s="8">
        <v>45803</v>
      </c>
      <c r="H84" s="80" t="s">
        <v>81</v>
      </c>
      <c r="I84" s="79" t="s">
        <v>7</v>
      </c>
      <c r="J84" s="81">
        <v>48</v>
      </c>
      <c r="K84" t="s">
        <v>46</v>
      </c>
    </row>
    <row r="85" spans="2:11" x14ac:dyDescent="0.25">
      <c r="B85" s="2">
        <v>2</v>
      </c>
      <c r="C85" s="4">
        <v>25295.076000000001</v>
      </c>
      <c r="D85" s="4">
        <v>33479.099000000002</v>
      </c>
      <c r="E85" s="79">
        <v>0</v>
      </c>
      <c r="F85" s="79">
        <f>SUM(BASE_DATOS[[#This Row],[Capital($)]:[Interés
Resarcitorio($)]])</f>
        <v>58774.175000000003</v>
      </c>
      <c r="G85" s="8">
        <v>45824</v>
      </c>
      <c r="H85" s="80" t="s">
        <v>81</v>
      </c>
      <c r="I85" s="79" t="s">
        <v>9</v>
      </c>
      <c r="J85" s="81">
        <v>48</v>
      </c>
      <c r="K85" t="s">
        <v>46</v>
      </c>
    </row>
    <row r="86" spans="2:11" x14ac:dyDescent="0.25">
      <c r="B86" s="2">
        <f>+B85</f>
        <v>2</v>
      </c>
      <c r="C86" s="4">
        <v>25295.076000000001</v>
      </c>
      <c r="D86" s="4">
        <v>33479.099000000002</v>
      </c>
      <c r="E86" s="79">
        <v>7836.56</v>
      </c>
      <c r="F86" s="79">
        <f>SUM(BASE_DATOS[[#This Row],[Capital($)]:[Interés
Resarcitorio($)]])</f>
        <v>66610.735000000001</v>
      </c>
      <c r="G86" s="8">
        <v>45834</v>
      </c>
      <c r="H86" s="80" t="s">
        <v>81</v>
      </c>
      <c r="I86" s="79" t="s">
        <v>7</v>
      </c>
      <c r="J86" s="81">
        <v>48</v>
      </c>
      <c r="K86" t="s">
        <v>46</v>
      </c>
    </row>
    <row r="87" spans="2:11" x14ac:dyDescent="0.25">
      <c r="B87" s="2">
        <v>3</v>
      </c>
      <c r="C87" s="4">
        <v>25752.917000000001</v>
      </c>
      <c r="D87" s="4">
        <v>33021.258000000002</v>
      </c>
      <c r="E87" s="79">
        <v>0</v>
      </c>
      <c r="F87" s="79">
        <f>SUM(BASE_DATOS[[#This Row],[Capital($)]:[Interés
Resarcitorio($)]])</f>
        <v>58774.175000000003</v>
      </c>
      <c r="G87" s="8">
        <v>45854</v>
      </c>
      <c r="H87" s="80" t="s">
        <v>81</v>
      </c>
      <c r="I87" s="79" t="s">
        <v>6</v>
      </c>
      <c r="J87" s="81">
        <v>48</v>
      </c>
      <c r="K87" t="s">
        <v>46</v>
      </c>
    </row>
    <row r="88" spans="2:11" x14ac:dyDescent="0.25">
      <c r="B88" s="2">
        <f>+B87</f>
        <v>3</v>
      </c>
      <c r="C88" s="4">
        <v>25752.917000000001</v>
      </c>
      <c r="D88" s="4">
        <v>33021.258000000002</v>
      </c>
      <c r="E88" s="79">
        <v>7836.56</v>
      </c>
      <c r="F88" s="79">
        <f>SUM(BASE_DATOS[[#This Row],[Capital($)]:[Interés
Resarcitorio($)]])</f>
        <v>66610.735000000001</v>
      </c>
      <c r="G88" s="8">
        <v>45864</v>
      </c>
      <c r="H88" s="80" t="s">
        <v>81</v>
      </c>
      <c r="I88" s="79" t="s">
        <v>7</v>
      </c>
      <c r="J88" s="81">
        <v>48</v>
      </c>
      <c r="K88" t="s">
        <v>46</v>
      </c>
    </row>
    <row r="89" spans="2:11" x14ac:dyDescent="0.25">
      <c r="B89" s="2">
        <v>4</v>
      </c>
      <c r="C89" s="4">
        <v>26219.045000000002</v>
      </c>
      <c r="D89" s="4">
        <v>32555.129999999997</v>
      </c>
      <c r="E89" s="79">
        <v>0</v>
      </c>
      <c r="F89" s="79">
        <f>SUM(BASE_DATOS[[#This Row],[Capital($)]:[Interés
Resarcitorio($)]])</f>
        <v>58774.175000000003</v>
      </c>
      <c r="G89" s="8">
        <v>45885</v>
      </c>
      <c r="H89" s="80" t="s">
        <v>81</v>
      </c>
      <c r="I89" s="79" t="s">
        <v>6</v>
      </c>
      <c r="J89" s="81">
        <v>48</v>
      </c>
      <c r="K89" t="s">
        <v>46</v>
      </c>
    </row>
    <row r="90" spans="2:11" x14ac:dyDescent="0.25">
      <c r="B90" s="2">
        <f>+B89</f>
        <v>4</v>
      </c>
      <c r="C90" s="4">
        <v>26219.045000000002</v>
      </c>
      <c r="D90" s="4">
        <v>32555.129999999997</v>
      </c>
      <c r="E90" s="79">
        <v>7836.56</v>
      </c>
      <c r="F90" s="79">
        <f>SUM(BASE_DATOS[[#This Row],[Capital($)]:[Interés
Resarcitorio($)]])</f>
        <v>66610.735000000001</v>
      </c>
      <c r="G90" s="8">
        <v>45895</v>
      </c>
      <c r="H90" s="80" t="s">
        <v>81</v>
      </c>
      <c r="I90" s="79" t="s">
        <v>7</v>
      </c>
      <c r="J90" s="81">
        <v>48</v>
      </c>
      <c r="K90" t="s">
        <v>46</v>
      </c>
    </row>
    <row r="91" spans="2:11" x14ac:dyDescent="0.25">
      <c r="B91" s="2">
        <v>5</v>
      </c>
      <c r="C91" s="4">
        <v>26693.609000000004</v>
      </c>
      <c r="D91" s="4">
        <v>32080.565999999999</v>
      </c>
      <c r="E91" s="79">
        <v>0</v>
      </c>
      <c r="F91" s="79">
        <f>SUM(BASE_DATOS[[#This Row],[Capital($)]:[Interés
Resarcitorio($)]])</f>
        <v>58774.175000000003</v>
      </c>
      <c r="G91" s="8">
        <v>45916</v>
      </c>
      <c r="H91" s="80" t="s">
        <v>81</v>
      </c>
      <c r="I91" s="79" t="s">
        <v>6</v>
      </c>
      <c r="J91" s="81">
        <v>48</v>
      </c>
      <c r="K91" t="s">
        <v>46</v>
      </c>
    </row>
    <row r="92" spans="2:11" x14ac:dyDescent="0.25">
      <c r="B92" s="2">
        <f>+B91</f>
        <v>5</v>
      </c>
      <c r="C92" s="4">
        <v>26693.609000000004</v>
      </c>
      <c r="D92" s="4">
        <v>32080.565999999999</v>
      </c>
      <c r="E92" s="79">
        <v>7836.56</v>
      </c>
      <c r="F92" s="79">
        <f>SUM(BASE_DATOS[[#This Row],[Capital($)]:[Interés
Resarcitorio($)]])</f>
        <v>66610.735000000001</v>
      </c>
      <c r="G92" s="8">
        <v>45926</v>
      </c>
      <c r="H92" s="80" t="s">
        <v>81</v>
      </c>
      <c r="I92" s="79" t="s">
        <v>7</v>
      </c>
      <c r="J92" s="81">
        <v>48</v>
      </c>
      <c r="K92" t="s">
        <v>46</v>
      </c>
    </row>
    <row r="93" spans="2:11" x14ac:dyDescent="0.25">
      <c r="B93" s="2">
        <v>6</v>
      </c>
      <c r="C93" s="4">
        <v>27176.764000000003</v>
      </c>
      <c r="D93" s="4">
        <v>31597.411</v>
      </c>
      <c r="E93" s="79">
        <v>0</v>
      </c>
      <c r="F93" s="79">
        <f>SUM(BASE_DATOS[[#This Row],[Capital($)]:[Interés
Resarcitorio($)]])</f>
        <v>58774.175000000003</v>
      </c>
      <c r="G93" s="8">
        <v>45946</v>
      </c>
      <c r="H93" s="80" t="s">
        <v>81</v>
      </c>
      <c r="I93" s="79" t="s">
        <v>6</v>
      </c>
      <c r="J93" s="81">
        <v>48</v>
      </c>
      <c r="K93" t="s">
        <v>46</v>
      </c>
    </row>
    <row r="94" spans="2:11" x14ac:dyDescent="0.25">
      <c r="B94" s="2">
        <f>+B93</f>
        <v>6</v>
      </c>
      <c r="C94" s="4">
        <v>27176.764000000003</v>
      </c>
      <c r="D94" s="4">
        <v>31597.411</v>
      </c>
      <c r="E94" s="79">
        <v>7836.56</v>
      </c>
      <c r="F94" s="79">
        <f>SUM(BASE_DATOS[[#This Row],[Capital($)]:[Interés
Resarcitorio($)]])</f>
        <v>66610.735000000001</v>
      </c>
      <c r="G94" s="8">
        <v>45956</v>
      </c>
      <c r="H94" s="80" t="s">
        <v>81</v>
      </c>
      <c r="I94" s="79" t="s">
        <v>7</v>
      </c>
      <c r="J94" s="81">
        <v>48</v>
      </c>
      <c r="K94" t="s">
        <v>46</v>
      </c>
    </row>
    <row r="95" spans="2:11" x14ac:dyDescent="0.25">
      <c r="B95" s="2">
        <v>7</v>
      </c>
      <c r="C95" s="4">
        <v>27668.663</v>
      </c>
      <c r="D95" s="4">
        <v>31105.511999999999</v>
      </c>
      <c r="E95" s="79">
        <v>0</v>
      </c>
      <c r="F95" s="79">
        <f>SUM(BASE_DATOS[[#This Row],[Capital($)]:[Interés
Resarcitorio($)]])</f>
        <v>58774.175000000003</v>
      </c>
      <c r="G95" s="8">
        <v>45977</v>
      </c>
      <c r="H95" s="80" t="s">
        <v>81</v>
      </c>
      <c r="I95" s="79" t="s">
        <v>6</v>
      </c>
      <c r="J95" s="81">
        <v>48</v>
      </c>
      <c r="K95" t="s">
        <v>46</v>
      </c>
    </row>
    <row r="96" spans="2:11" x14ac:dyDescent="0.25">
      <c r="B96" s="2">
        <f>+B95</f>
        <v>7</v>
      </c>
      <c r="C96" s="4">
        <v>27668.663</v>
      </c>
      <c r="D96" s="4">
        <v>31105.511999999999</v>
      </c>
      <c r="E96" s="79">
        <v>7836.56</v>
      </c>
      <c r="F96" s="79">
        <f>SUM(BASE_DATOS[[#This Row],[Capital($)]:[Interés
Resarcitorio($)]])</f>
        <v>66610.735000000001</v>
      </c>
      <c r="G96" s="8">
        <v>45987</v>
      </c>
      <c r="H96" s="80" t="s">
        <v>81</v>
      </c>
      <c r="I96" s="79" t="s">
        <v>7</v>
      </c>
      <c r="J96" s="81">
        <v>48</v>
      </c>
      <c r="K96" t="s">
        <v>46</v>
      </c>
    </row>
    <row r="97" spans="2:11" x14ac:dyDescent="0.25">
      <c r="B97" s="2">
        <v>8</v>
      </c>
      <c r="C97" s="4">
        <v>28169.465999999997</v>
      </c>
      <c r="D97" s="4">
        <v>30604.709000000003</v>
      </c>
      <c r="E97" s="79">
        <v>0</v>
      </c>
      <c r="F97" s="79">
        <f>SUM(BASE_DATOS[[#This Row],[Capital($)]:[Interés
Resarcitorio($)]])</f>
        <v>58774.175000000003</v>
      </c>
      <c r="G97" s="8">
        <v>46007</v>
      </c>
      <c r="H97" s="80" t="s">
        <v>81</v>
      </c>
      <c r="I97" s="79" t="s">
        <v>6</v>
      </c>
      <c r="J97" s="81">
        <v>48</v>
      </c>
      <c r="K97" t="s">
        <v>46</v>
      </c>
    </row>
    <row r="98" spans="2:11" x14ac:dyDescent="0.25">
      <c r="B98" s="2">
        <f>+B97</f>
        <v>8</v>
      </c>
      <c r="C98" s="4">
        <v>28169.465999999997</v>
      </c>
      <c r="D98" s="4">
        <v>30604.709000000003</v>
      </c>
      <c r="E98" s="79">
        <v>7836.56</v>
      </c>
      <c r="F98" s="79">
        <f>SUM(BASE_DATOS[[#This Row],[Capital($)]:[Interés
Resarcitorio($)]])</f>
        <v>66610.735000000001</v>
      </c>
      <c r="G98" s="8">
        <v>46017</v>
      </c>
      <c r="H98" s="80" t="s">
        <v>81</v>
      </c>
      <c r="I98" s="79" t="s">
        <v>7</v>
      </c>
      <c r="J98" s="81">
        <v>48</v>
      </c>
      <c r="K98" t="s">
        <v>46</v>
      </c>
    </row>
    <row r="99" spans="2:11" x14ac:dyDescent="0.25">
      <c r="B99" s="2">
        <v>9</v>
      </c>
      <c r="C99" s="4">
        <v>28679.333000000002</v>
      </c>
      <c r="D99" s="4">
        <v>30094.841999999997</v>
      </c>
      <c r="E99" s="79">
        <v>0</v>
      </c>
      <c r="F99" s="79">
        <f>SUM(BASE_DATOS[[#This Row],[Capital($)]:[Interés
Resarcitorio($)]])</f>
        <v>58774.175000000003</v>
      </c>
      <c r="G99" s="8">
        <v>46038</v>
      </c>
      <c r="H99" s="80" t="s">
        <v>81</v>
      </c>
      <c r="I99" s="79" t="s">
        <v>6</v>
      </c>
      <c r="J99" s="81">
        <v>48</v>
      </c>
      <c r="K99" t="s">
        <v>46</v>
      </c>
    </row>
    <row r="100" spans="2:11" x14ac:dyDescent="0.25">
      <c r="B100" s="2">
        <f>+B99</f>
        <v>9</v>
      </c>
      <c r="C100" s="4">
        <v>28679.333000000002</v>
      </c>
      <c r="D100" s="4">
        <v>30094.841999999997</v>
      </c>
      <c r="E100" s="79">
        <v>7836.56</v>
      </c>
      <c r="F100" s="79">
        <f>SUM(BASE_DATOS[[#This Row],[Capital($)]:[Interés
Resarcitorio($)]])</f>
        <v>66610.735000000001</v>
      </c>
      <c r="G100" s="8">
        <v>46048</v>
      </c>
      <c r="H100" s="80" t="s">
        <v>81</v>
      </c>
      <c r="I100" s="79" t="s">
        <v>7</v>
      </c>
      <c r="J100" s="81">
        <v>48</v>
      </c>
      <c r="K100" t="s">
        <v>46</v>
      </c>
    </row>
    <row r="101" spans="2:11" x14ac:dyDescent="0.25">
      <c r="B101" s="2">
        <v>10</v>
      </c>
      <c r="C101" s="4">
        <v>29198.428999999996</v>
      </c>
      <c r="D101" s="4">
        <v>29575.746000000003</v>
      </c>
      <c r="E101" s="79">
        <v>0</v>
      </c>
      <c r="F101" s="79">
        <f>SUM(BASE_DATOS[[#This Row],[Capital($)]:[Interés
Resarcitorio($)]])</f>
        <v>58774.175000000003</v>
      </c>
      <c r="G101" s="8">
        <v>46069</v>
      </c>
      <c r="H101" s="80" t="s">
        <v>81</v>
      </c>
      <c r="I101" s="79" t="s">
        <v>6</v>
      </c>
      <c r="J101" s="81">
        <v>48</v>
      </c>
      <c r="K101" t="s">
        <v>46</v>
      </c>
    </row>
    <row r="102" spans="2:11" x14ac:dyDescent="0.25">
      <c r="B102" s="2">
        <f>+B101</f>
        <v>10</v>
      </c>
      <c r="C102" s="4">
        <v>29198.428999999996</v>
      </c>
      <c r="D102" s="4">
        <v>29575.746000000003</v>
      </c>
      <c r="E102" s="79">
        <v>7836.56</v>
      </c>
      <c r="F102" s="79">
        <f>SUM(BASE_DATOS[[#This Row],[Capital($)]:[Interés
Resarcitorio($)]])</f>
        <v>66610.735000000001</v>
      </c>
      <c r="G102" s="8">
        <v>46079</v>
      </c>
      <c r="H102" s="80" t="s">
        <v>81</v>
      </c>
      <c r="I102" s="79" t="s">
        <v>7</v>
      </c>
      <c r="J102" s="81">
        <v>48</v>
      </c>
      <c r="K102" t="s">
        <v>46</v>
      </c>
    </row>
    <row r="103" spans="2:11" x14ac:dyDescent="0.25">
      <c r="B103" s="2">
        <v>11</v>
      </c>
      <c r="C103" s="4">
        <v>29726.921000000002</v>
      </c>
      <c r="D103" s="4">
        <v>29047.253999999997</v>
      </c>
      <c r="E103" s="79">
        <v>0</v>
      </c>
      <c r="F103" s="79">
        <f>SUM(BASE_DATOS[[#This Row],[Capital($)]:[Interés
Resarcitorio($)]])</f>
        <v>58774.175000000003</v>
      </c>
      <c r="G103" s="8">
        <v>46097</v>
      </c>
      <c r="H103" s="80" t="s">
        <v>81</v>
      </c>
      <c r="I103" s="79" t="s">
        <v>6</v>
      </c>
      <c r="J103" s="81">
        <v>48</v>
      </c>
      <c r="K103" t="s">
        <v>46</v>
      </c>
    </row>
    <row r="104" spans="2:11" x14ac:dyDescent="0.25">
      <c r="B104" s="2">
        <f>+B103</f>
        <v>11</v>
      </c>
      <c r="C104" s="4">
        <v>29726.921000000002</v>
      </c>
      <c r="D104" s="4">
        <v>29047.253999999997</v>
      </c>
      <c r="E104" s="79">
        <v>7836.56</v>
      </c>
      <c r="F104" s="79">
        <f>SUM(BASE_DATOS[[#This Row],[Capital($)]:[Interés
Resarcitorio($)]])</f>
        <v>66610.735000000001</v>
      </c>
      <c r="G104" s="8">
        <v>46107</v>
      </c>
      <c r="H104" s="80" t="s">
        <v>81</v>
      </c>
      <c r="I104" s="79" t="s">
        <v>7</v>
      </c>
      <c r="J104" s="81">
        <v>48</v>
      </c>
      <c r="K104" t="s">
        <v>46</v>
      </c>
    </row>
    <row r="105" spans="2:11" x14ac:dyDescent="0.25">
      <c r="B105" s="2">
        <v>12</v>
      </c>
      <c r="C105" s="4">
        <v>30264.978000000003</v>
      </c>
      <c r="D105" s="4">
        <v>28509.196999999996</v>
      </c>
      <c r="E105" s="79">
        <v>0</v>
      </c>
      <c r="F105" s="79">
        <f>SUM(BASE_DATOS[[#This Row],[Capital($)]:[Interés
Resarcitorio($)]])</f>
        <v>58774.175000000003</v>
      </c>
      <c r="G105" s="8">
        <v>46128</v>
      </c>
      <c r="H105" s="80" t="s">
        <v>81</v>
      </c>
      <c r="I105" s="79" t="s">
        <v>6</v>
      </c>
      <c r="J105" s="81">
        <v>48</v>
      </c>
      <c r="K105" t="s">
        <v>46</v>
      </c>
    </row>
    <row r="106" spans="2:11" x14ac:dyDescent="0.25">
      <c r="B106" s="2">
        <f>+B105</f>
        <v>12</v>
      </c>
      <c r="C106" s="4">
        <v>30264.978000000003</v>
      </c>
      <c r="D106" s="4">
        <v>28509.196999999996</v>
      </c>
      <c r="E106" s="79">
        <v>7836.56</v>
      </c>
      <c r="F106" s="79">
        <f>SUM(BASE_DATOS[[#This Row],[Capital($)]:[Interés
Resarcitorio($)]])</f>
        <v>66610.735000000001</v>
      </c>
      <c r="G106" s="8">
        <v>46138</v>
      </c>
      <c r="H106" s="80" t="s">
        <v>81</v>
      </c>
      <c r="I106" s="79" t="s">
        <v>7</v>
      </c>
      <c r="J106" s="81">
        <v>48</v>
      </c>
      <c r="K106" t="s">
        <v>46</v>
      </c>
    </row>
    <row r="107" spans="2:11" x14ac:dyDescent="0.25">
      <c r="B107" s="2">
        <v>13</v>
      </c>
      <c r="C107" s="4">
        <v>30812.773999999998</v>
      </c>
      <c r="D107" s="4">
        <v>27961.401000000002</v>
      </c>
      <c r="E107" s="79">
        <v>0</v>
      </c>
      <c r="F107" s="79">
        <f>SUM(BASE_DATOS[[#This Row],[Capital($)]:[Interés
Resarcitorio($)]])</f>
        <v>58774.175000000003</v>
      </c>
      <c r="G107" s="8">
        <v>46158</v>
      </c>
      <c r="H107" s="80" t="s">
        <v>81</v>
      </c>
      <c r="I107" s="79" t="s">
        <v>6</v>
      </c>
      <c r="J107" s="81">
        <v>48</v>
      </c>
      <c r="K107" t="s">
        <v>46</v>
      </c>
    </row>
    <row r="108" spans="2:11" x14ac:dyDescent="0.25">
      <c r="B108" s="2">
        <f>+B107</f>
        <v>13</v>
      </c>
      <c r="C108" s="4">
        <v>30812.773999999998</v>
      </c>
      <c r="D108" s="4">
        <v>27961.401000000002</v>
      </c>
      <c r="E108" s="79">
        <v>7836.56</v>
      </c>
      <c r="F108" s="79">
        <f>SUM(BASE_DATOS[[#This Row],[Capital($)]:[Interés
Resarcitorio($)]])</f>
        <v>66610.735000000001</v>
      </c>
      <c r="G108" s="8">
        <v>46168</v>
      </c>
      <c r="H108" s="80" t="s">
        <v>81</v>
      </c>
      <c r="I108" s="79" t="s">
        <v>7</v>
      </c>
      <c r="J108" s="81">
        <v>48</v>
      </c>
      <c r="K108" t="s">
        <v>46</v>
      </c>
    </row>
    <row r="109" spans="2:11" x14ac:dyDescent="0.25">
      <c r="B109" s="2">
        <v>14</v>
      </c>
      <c r="C109" s="4">
        <v>31370.484999999997</v>
      </c>
      <c r="D109" s="4">
        <v>27403.690000000002</v>
      </c>
      <c r="E109" s="79">
        <v>0</v>
      </c>
      <c r="F109" s="79">
        <f>SUM(BASE_DATOS[[#This Row],[Capital($)]:[Interés
Resarcitorio($)]])</f>
        <v>58774.175000000003</v>
      </c>
      <c r="G109" s="8">
        <v>46189</v>
      </c>
      <c r="H109" s="80" t="s">
        <v>81</v>
      </c>
      <c r="I109" s="79" t="s">
        <v>6</v>
      </c>
      <c r="J109" s="81">
        <v>48</v>
      </c>
      <c r="K109" t="s">
        <v>46</v>
      </c>
    </row>
    <row r="110" spans="2:11" x14ac:dyDescent="0.25">
      <c r="B110" s="2">
        <f>+B109</f>
        <v>14</v>
      </c>
      <c r="C110" s="4">
        <v>31370.484999999997</v>
      </c>
      <c r="D110" s="4">
        <v>27403.690000000002</v>
      </c>
      <c r="E110" s="79">
        <v>7836.56</v>
      </c>
      <c r="F110" s="79">
        <f>SUM(BASE_DATOS[[#This Row],[Capital($)]:[Interés
Resarcitorio($)]])</f>
        <v>66610.735000000001</v>
      </c>
      <c r="G110" s="8">
        <v>46199</v>
      </c>
      <c r="H110" s="80" t="s">
        <v>81</v>
      </c>
      <c r="I110" s="79" t="s">
        <v>7</v>
      </c>
      <c r="J110" s="81">
        <v>48</v>
      </c>
      <c r="K110" t="s">
        <v>46</v>
      </c>
    </row>
    <row r="111" spans="2:11" x14ac:dyDescent="0.25">
      <c r="B111" s="2">
        <v>15</v>
      </c>
      <c r="C111" s="4">
        <v>31938.290999999997</v>
      </c>
      <c r="D111" s="4">
        <v>26835.884000000002</v>
      </c>
      <c r="E111" s="79">
        <v>0</v>
      </c>
      <c r="F111" s="79">
        <f>SUM(BASE_DATOS[[#This Row],[Capital($)]:[Interés
Resarcitorio($)]])</f>
        <v>58774.175000000003</v>
      </c>
      <c r="G111" s="8">
        <v>46219</v>
      </c>
      <c r="H111" s="80" t="s">
        <v>81</v>
      </c>
      <c r="I111" s="79" t="s">
        <v>6</v>
      </c>
      <c r="J111" s="81">
        <v>48</v>
      </c>
      <c r="K111" t="s">
        <v>46</v>
      </c>
    </row>
    <row r="112" spans="2:11" x14ac:dyDescent="0.25">
      <c r="B112" s="2">
        <f>+B111</f>
        <v>15</v>
      </c>
      <c r="C112" s="4">
        <v>31938.290999999997</v>
      </c>
      <c r="D112" s="4">
        <v>26835.884000000002</v>
      </c>
      <c r="E112" s="79">
        <v>7836.56</v>
      </c>
      <c r="F112" s="79">
        <f>SUM(BASE_DATOS[[#This Row],[Capital($)]:[Interés
Resarcitorio($)]])</f>
        <v>66610.735000000001</v>
      </c>
      <c r="G112" s="8">
        <v>46229</v>
      </c>
      <c r="H112" s="80" t="s">
        <v>81</v>
      </c>
      <c r="I112" s="79" t="s">
        <v>7</v>
      </c>
      <c r="J112" s="81">
        <v>48</v>
      </c>
      <c r="K112" t="s">
        <v>46</v>
      </c>
    </row>
    <row r="113" spans="2:11" x14ac:dyDescent="0.25">
      <c r="B113" s="2">
        <v>16</v>
      </c>
      <c r="C113" s="4">
        <v>32516.374</v>
      </c>
      <c r="D113" s="4">
        <v>26257.800999999999</v>
      </c>
      <c r="E113" s="79">
        <v>0</v>
      </c>
      <c r="F113" s="79">
        <f>SUM(BASE_DATOS[[#This Row],[Capital($)]:[Interés
Resarcitorio($)]])</f>
        <v>58774.175000000003</v>
      </c>
      <c r="G113" s="8">
        <v>46250</v>
      </c>
      <c r="H113" s="80" t="s">
        <v>81</v>
      </c>
      <c r="I113" s="79" t="s">
        <v>6</v>
      </c>
      <c r="J113" s="81">
        <v>48</v>
      </c>
      <c r="K113" t="s">
        <v>46</v>
      </c>
    </row>
    <row r="114" spans="2:11" x14ac:dyDescent="0.25">
      <c r="B114" s="2">
        <f>+B113</f>
        <v>16</v>
      </c>
      <c r="C114" s="4">
        <v>32516.374</v>
      </c>
      <c r="D114" s="4">
        <v>26257.800999999999</v>
      </c>
      <c r="E114" s="79">
        <v>7836.56</v>
      </c>
      <c r="F114" s="79">
        <f>SUM(BASE_DATOS[[#This Row],[Capital($)]:[Interés
Resarcitorio($)]])</f>
        <v>66610.735000000001</v>
      </c>
      <c r="G114" s="8">
        <v>46260</v>
      </c>
      <c r="H114" s="80" t="s">
        <v>81</v>
      </c>
      <c r="I114" s="79" t="s">
        <v>7</v>
      </c>
      <c r="J114" s="81">
        <v>48</v>
      </c>
      <c r="K114" t="s">
        <v>46</v>
      </c>
    </row>
    <row r="115" spans="2:11" x14ac:dyDescent="0.25">
      <c r="B115" s="2">
        <v>17</v>
      </c>
      <c r="C115" s="4">
        <v>33104.92</v>
      </c>
      <c r="D115" s="4">
        <v>25669.254999999997</v>
      </c>
      <c r="E115" s="79">
        <v>0</v>
      </c>
      <c r="F115" s="79">
        <f>SUM(BASE_DATOS[[#This Row],[Capital($)]:[Interés
Resarcitorio($)]])</f>
        <v>58774.174999999996</v>
      </c>
      <c r="G115" s="8">
        <v>46281</v>
      </c>
      <c r="H115" s="80" t="s">
        <v>81</v>
      </c>
      <c r="I115" s="79" t="s">
        <v>6</v>
      </c>
      <c r="J115" s="81">
        <v>48</v>
      </c>
      <c r="K115" t="s">
        <v>46</v>
      </c>
    </row>
    <row r="116" spans="2:11" x14ac:dyDescent="0.25">
      <c r="B116" s="2">
        <f>+B115</f>
        <v>17</v>
      </c>
      <c r="C116" s="4">
        <v>33104.92</v>
      </c>
      <c r="D116" s="4">
        <v>25669.254999999997</v>
      </c>
      <c r="E116" s="79">
        <v>7836.56</v>
      </c>
      <c r="F116" s="79">
        <f>SUM(BASE_DATOS[[#This Row],[Capital($)]:[Interés
Resarcitorio($)]])</f>
        <v>66610.735000000001</v>
      </c>
      <c r="G116" s="8">
        <v>46291</v>
      </c>
      <c r="H116" s="80" t="s">
        <v>81</v>
      </c>
      <c r="I116" s="79" t="s">
        <v>7</v>
      </c>
      <c r="J116" s="81">
        <v>48</v>
      </c>
      <c r="K116" t="s">
        <v>46</v>
      </c>
    </row>
    <row r="117" spans="2:11" x14ac:dyDescent="0.25">
      <c r="B117" s="2">
        <v>18</v>
      </c>
      <c r="C117" s="4">
        <v>33704.118999999999</v>
      </c>
      <c r="D117" s="4">
        <v>25070.056</v>
      </c>
      <c r="E117" s="79">
        <v>0</v>
      </c>
      <c r="F117" s="79">
        <f>SUM(BASE_DATOS[[#This Row],[Capital($)]:[Interés
Resarcitorio($)]])</f>
        <v>58774.175000000003</v>
      </c>
      <c r="G117" s="8">
        <v>46311</v>
      </c>
      <c r="H117" s="80" t="s">
        <v>81</v>
      </c>
      <c r="I117" s="79" t="s">
        <v>6</v>
      </c>
      <c r="J117" s="81">
        <v>48</v>
      </c>
      <c r="K117" t="s">
        <v>46</v>
      </c>
    </row>
    <row r="118" spans="2:11" x14ac:dyDescent="0.25">
      <c r="B118" s="2">
        <f>+B117</f>
        <v>18</v>
      </c>
      <c r="C118" s="4">
        <v>33704.118999999999</v>
      </c>
      <c r="D118" s="4">
        <v>25070.056</v>
      </c>
      <c r="E118" s="79">
        <v>7836.56</v>
      </c>
      <c r="F118" s="79">
        <f>SUM(BASE_DATOS[[#This Row],[Capital($)]:[Interés
Resarcitorio($)]])</f>
        <v>66610.735000000001</v>
      </c>
      <c r="G118" s="8">
        <v>46321</v>
      </c>
      <c r="H118" s="80" t="s">
        <v>81</v>
      </c>
      <c r="I118" s="79" t="s">
        <v>7</v>
      </c>
      <c r="J118" s="81">
        <v>48</v>
      </c>
      <c r="K118" t="s">
        <v>46</v>
      </c>
    </row>
    <row r="119" spans="2:11" x14ac:dyDescent="0.25">
      <c r="B119" s="2">
        <v>19</v>
      </c>
      <c r="C119" s="4">
        <v>34314.164000000004</v>
      </c>
      <c r="D119" s="4">
        <v>24460.010999999999</v>
      </c>
      <c r="E119" s="79">
        <v>0</v>
      </c>
      <c r="F119" s="79">
        <f>SUM(BASE_DATOS[[#This Row],[Capital($)]:[Interés
Resarcitorio($)]])</f>
        <v>58774.175000000003</v>
      </c>
      <c r="G119" s="8">
        <v>46342</v>
      </c>
      <c r="H119" s="80" t="s">
        <v>81</v>
      </c>
      <c r="I119" s="79" t="s">
        <v>6</v>
      </c>
      <c r="J119" s="81">
        <v>48</v>
      </c>
      <c r="K119" t="s">
        <v>46</v>
      </c>
    </row>
    <row r="120" spans="2:11" x14ac:dyDescent="0.25">
      <c r="B120" s="2">
        <f>+B119</f>
        <v>19</v>
      </c>
      <c r="C120" s="4">
        <v>34314.164000000004</v>
      </c>
      <c r="D120" s="4">
        <v>24460.010999999999</v>
      </c>
      <c r="E120" s="79">
        <v>7836.56</v>
      </c>
      <c r="F120" s="79">
        <f>SUM(BASE_DATOS[[#This Row],[Capital($)]:[Interés
Resarcitorio($)]])</f>
        <v>66610.735000000001</v>
      </c>
      <c r="G120" s="8">
        <v>46352</v>
      </c>
      <c r="H120" s="80" t="s">
        <v>81</v>
      </c>
      <c r="I120" s="79" t="s">
        <v>7</v>
      </c>
      <c r="J120" s="81">
        <v>48</v>
      </c>
      <c r="K120" t="s">
        <v>46</v>
      </c>
    </row>
    <row r="121" spans="2:11" x14ac:dyDescent="0.25">
      <c r="B121" s="2">
        <v>20</v>
      </c>
      <c r="C121" s="4">
        <v>34935.25</v>
      </c>
      <c r="D121" s="4">
        <v>23838.924999999999</v>
      </c>
      <c r="E121" s="79">
        <v>0</v>
      </c>
      <c r="F121" s="79">
        <f>SUM(BASE_DATOS[[#This Row],[Capital($)]:[Interés
Resarcitorio($)]])</f>
        <v>58774.175000000003</v>
      </c>
      <c r="G121" s="8">
        <v>46372</v>
      </c>
      <c r="H121" s="80" t="s">
        <v>81</v>
      </c>
      <c r="I121" s="79" t="s">
        <v>6</v>
      </c>
      <c r="J121" s="81">
        <v>48</v>
      </c>
      <c r="K121" t="s">
        <v>46</v>
      </c>
    </row>
    <row r="122" spans="2:11" x14ac:dyDescent="0.25">
      <c r="B122" s="2">
        <f>+B121</f>
        <v>20</v>
      </c>
      <c r="C122" s="4">
        <v>34935.25</v>
      </c>
      <c r="D122" s="4">
        <v>23838.924999999999</v>
      </c>
      <c r="E122" s="79">
        <v>7836.56</v>
      </c>
      <c r="F122" s="79">
        <f>SUM(BASE_DATOS[[#This Row],[Capital($)]:[Interés
Resarcitorio($)]])</f>
        <v>66610.735000000001</v>
      </c>
      <c r="G122" s="8">
        <v>46382</v>
      </c>
      <c r="H122" s="80" t="s">
        <v>81</v>
      </c>
      <c r="I122" s="79" t="s">
        <v>7</v>
      </c>
      <c r="J122" s="81">
        <v>48</v>
      </c>
      <c r="K122" t="s">
        <v>46</v>
      </c>
    </row>
    <row r="123" spans="2:11" x14ac:dyDescent="0.25">
      <c r="B123" s="2">
        <v>21</v>
      </c>
      <c r="C123" s="4">
        <v>35567.578000000001</v>
      </c>
      <c r="D123" s="4">
        <v>23206.597000000002</v>
      </c>
      <c r="E123" s="79">
        <v>0</v>
      </c>
      <c r="F123" s="79">
        <f>SUM(BASE_DATOS[[#This Row],[Capital($)]:[Interés
Resarcitorio($)]])</f>
        <v>58774.175000000003</v>
      </c>
      <c r="G123" s="8">
        <v>46403</v>
      </c>
      <c r="H123" s="80" t="s">
        <v>81</v>
      </c>
      <c r="I123" s="79" t="s">
        <v>6</v>
      </c>
      <c r="J123" s="81">
        <v>48</v>
      </c>
      <c r="K123" t="s">
        <v>46</v>
      </c>
    </row>
    <row r="124" spans="2:11" x14ac:dyDescent="0.25">
      <c r="B124" s="2">
        <f>+B123</f>
        <v>21</v>
      </c>
      <c r="C124" s="4">
        <v>35567.578000000001</v>
      </c>
      <c r="D124" s="4">
        <v>23206.597000000002</v>
      </c>
      <c r="E124" s="79">
        <v>7836.56</v>
      </c>
      <c r="F124" s="79">
        <f>SUM(BASE_DATOS[[#This Row],[Capital($)]:[Interés
Resarcitorio($)]])</f>
        <v>66610.735000000001</v>
      </c>
      <c r="G124" s="8">
        <v>46413</v>
      </c>
      <c r="H124" s="80" t="s">
        <v>81</v>
      </c>
      <c r="I124" s="79" t="s">
        <v>7</v>
      </c>
      <c r="J124" s="81">
        <v>48</v>
      </c>
      <c r="K124" t="s">
        <v>46</v>
      </c>
    </row>
    <row r="125" spans="2:11" x14ac:dyDescent="0.25">
      <c r="B125" s="2">
        <v>22</v>
      </c>
      <c r="C125" s="4">
        <v>36211.351999999999</v>
      </c>
      <c r="D125" s="4">
        <v>22562.823</v>
      </c>
      <c r="E125" s="79">
        <v>0</v>
      </c>
      <c r="F125" s="79">
        <f>SUM(BASE_DATOS[[#This Row],[Capital($)]:[Interés
Resarcitorio($)]])</f>
        <v>58774.175000000003</v>
      </c>
      <c r="G125" s="8">
        <v>46434</v>
      </c>
      <c r="H125" s="80" t="s">
        <v>81</v>
      </c>
      <c r="I125" s="79" t="s">
        <v>6</v>
      </c>
      <c r="J125" s="81">
        <v>48</v>
      </c>
      <c r="K125" t="s">
        <v>46</v>
      </c>
    </row>
    <row r="126" spans="2:11" x14ac:dyDescent="0.25">
      <c r="B126" s="2">
        <f>+B125</f>
        <v>22</v>
      </c>
      <c r="C126" s="4">
        <v>36211.351999999999</v>
      </c>
      <c r="D126" s="4">
        <v>22562.823</v>
      </c>
      <c r="E126" s="79">
        <v>7836.56</v>
      </c>
      <c r="F126" s="79">
        <f>SUM(BASE_DATOS[[#This Row],[Capital($)]:[Interés
Resarcitorio($)]])</f>
        <v>66610.735000000001</v>
      </c>
      <c r="G126" s="8">
        <v>46444</v>
      </c>
      <c r="H126" s="80" t="s">
        <v>81</v>
      </c>
      <c r="I126" s="79" t="s">
        <v>7</v>
      </c>
      <c r="J126" s="81">
        <v>48</v>
      </c>
      <c r="K126" t="s">
        <v>46</v>
      </c>
    </row>
    <row r="127" spans="2:11" x14ac:dyDescent="0.25">
      <c r="B127" s="2">
        <v>23</v>
      </c>
      <c r="C127" s="4">
        <v>36866.777000000002</v>
      </c>
      <c r="D127" s="4">
        <v>21907.398000000001</v>
      </c>
      <c r="E127" s="79">
        <v>0</v>
      </c>
      <c r="F127" s="79">
        <f>SUM(BASE_DATOS[[#This Row],[Capital($)]:[Interés
Resarcitorio($)]])</f>
        <v>58774.175000000003</v>
      </c>
      <c r="G127" s="8">
        <v>46462</v>
      </c>
      <c r="H127" s="80" t="s">
        <v>81</v>
      </c>
      <c r="I127" s="79" t="s">
        <v>6</v>
      </c>
      <c r="J127" s="81">
        <v>48</v>
      </c>
      <c r="K127" t="s">
        <v>46</v>
      </c>
    </row>
    <row r="128" spans="2:11" x14ac:dyDescent="0.25">
      <c r="B128" s="2">
        <f>+B127</f>
        <v>23</v>
      </c>
      <c r="C128" s="4">
        <v>36866.777000000002</v>
      </c>
      <c r="D128" s="4">
        <v>21907.398000000001</v>
      </c>
      <c r="E128" s="79">
        <v>7836.56</v>
      </c>
      <c r="F128" s="79">
        <f>SUM(BASE_DATOS[[#This Row],[Capital($)]:[Interés
Resarcitorio($)]])</f>
        <v>66610.735000000001</v>
      </c>
      <c r="G128" s="8">
        <v>46472</v>
      </c>
      <c r="H128" s="80" t="s">
        <v>81</v>
      </c>
      <c r="I128" s="79" t="s">
        <v>7</v>
      </c>
      <c r="J128" s="81">
        <v>48</v>
      </c>
      <c r="K128" t="s">
        <v>46</v>
      </c>
    </row>
    <row r="129" spans="2:11" x14ac:dyDescent="0.25">
      <c r="B129" s="2">
        <v>24</v>
      </c>
      <c r="C129" s="4">
        <v>37534.065999999999</v>
      </c>
      <c r="D129" s="4">
        <v>21240.109</v>
      </c>
      <c r="E129" s="79">
        <v>0</v>
      </c>
      <c r="F129" s="79">
        <f>SUM(BASE_DATOS[[#This Row],[Capital($)]:[Interés
Resarcitorio($)]])</f>
        <v>58774.175000000003</v>
      </c>
      <c r="G129" s="8">
        <v>46493</v>
      </c>
      <c r="H129" s="80" t="s">
        <v>81</v>
      </c>
      <c r="I129" s="79" t="s">
        <v>6</v>
      </c>
      <c r="J129" s="81">
        <v>48</v>
      </c>
      <c r="K129" t="s">
        <v>46</v>
      </c>
    </row>
    <row r="130" spans="2:11" x14ac:dyDescent="0.25">
      <c r="B130" s="2">
        <f>+B129</f>
        <v>24</v>
      </c>
      <c r="C130" s="4">
        <v>37534.065999999999</v>
      </c>
      <c r="D130" s="4">
        <v>21240.109</v>
      </c>
      <c r="E130" s="79">
        <v>7836.56</v>
      </c>
      <c r="F130" s="79">
        <f>SUM(BASE_DATOS[[#This Row],[Capital($)]:[Interés
Resarcitorio($)]])</f>
        <v>66610.735000000001</v>
      </c>
      <c r="G130" s="8">
        <v>46503</v>
      </c>
      <c r="H130" s="80" t="s">
        <v>81</v>
      </c>
      <c r="I130" s="79" t="s">
        <v>7</v>
      </c>
      <c r="J130" s="81">
        <v>48</v>
      </c>
      <c r="K130" t="s">
        <v>46</v>
      </c>
    </row>
    <row r="131" spans="2:11" x14ac:dyDescent="0.25">
      <c r="B131" s="2">
        <v>25</v>
      </c>
      <c r="C131" s="4">
        <v>38213.432000000001</v>
      </c>
      <c r="D131" s="4">
        <v>20560.742999999999</v>
      </c>
      <c r="E131" s="79">
        <v>0</v>
      </c>
      <c r="F131" s="79">
        <f>SUM(BASE_DATOS[[#This Row],[Capital($)]:[Interés
Resarcitorio($)]])</f>
        <v>58774.175000000003</v>
      </c>
      <c r="G131" s="8">
        <v>46523</v>
      </c>
      <c r="H131" s="80" t="s">
        <v>81</v>
      </c>
      <c r="I131" s="79" t="s">
        <v>6</v>
      </c>
      <c r="J131" s="81">
        <v>48</v>
      </c>
      <c r="K131" t="s">
        <v>46</v>
      </c>
    </row>
    <row r="132" spans="2:11" x14ac:dyDescent="0.25">
      <c r="B132" s="2">
        <f>+B131</f>
        <v>25</v>
      </c>
      <c r="C132" s="4">
        <v>38213.432000000001</v>
      </c>
      <c r="D132" s="4">
        <v>20560.742999999999</v>
      </c>
      <c r="E132" s="79">
        <v>7836.56</v>
      </c>
      <c r="F132" s="79">
        <f>SUM(BASE_DATOS[[#This Row],[Capital($)]:[Interés
Resarcitorio($)]])</f>
        <v>66610.735000000001</v>
      </c>
      <c r="G132" s="8">
        <v>46533</v>
      </c>
      <c r="H132" s="80" t="s">
        <v>81</v>
      </c>
      <c r="I132" s="79" t="s">
        <v>7</v>
      </c>
      <c r="J132" s="81">
        <v>48</v>
      </c>
      <c r="K132" t="s">
        <v>46</v>
      </c>
    </row>
    <row r="133" spans="2:11" x14ac:dyDescent="0.25">
      <c r="B133" s="2">
        <v>26</v>
      </c>
      <c r="C133" s="4">
        <v>38905.095000000001</v>
      </c>
      <c r="D133" s="4">
        <v>19869.079999999998</v>
      </c>
      <c r="E133" s="79">
        <v>0</v>
      </c>
      <c r="F133" s="79">
        <f>SUM(BASE_DATOS[[#This Row],[Capital($)]:[Interés
Resarcitorio($)]])</f>
        <v>58774.175000000003</v>
      </c>
      <c r="G133" s="8">
        <v>46554</v>
      </c>
      <c r="H133" s="80" t="s">
        <v>81</v>
      </c>
      <c r="I133" s="79" t="s">
        <v>6</v>
      </c>
      <c r="J133" s="81">
        <v>48</v>
      </c>
      <c r="K133" t="s">
        <v>46</v>
      </c>
    </row>
    <row r="134" spans="2:11" x14ac:dyDescent="0.25">
      <c r="B134" s="2">
        <f>+B133</f>
        <v>26</v>
      </c>
      <c r="C134" s="4">
        <v>38905.095000000001</v>
      </c>
      <c r="D134" s="4">
        <v>19869.079999999998</v>
      </c>
      <c r="E134" s="79">
        <v>7836.56</v>
      </c>
      <c r="F134" s="79">
        <f>SUM(BASE_DATOS[[#This Row],[Capital($)]:[Interés
Resarcitorio($)]])</f>
        <v>66610.735000000001</v>
      </c>
      <c r="G134" s="8">
        <v>46564</v>
      </c>
      <c r="H134" s="80" t="s">
        <v>81</v>
      </c>
      <c r="I134" s="79" t="s">
        <v>7</v>
      </c>
      <c r="J134" s="81">
        <v>48</v>
      </c>
      <c r="K134" t="s">
        <v>46</v>
      </c>
    </row>
    <row r="135" spans="2:11" x14ac:dyDescent="0.25">
      <c r="B135" s="2">
        <v>27</v>
      </c>
      <c r="C135" s="4">
        <v>39609.278000000006</v>
      </c>
      <c r="D135" s="4">
        <v>19164.897000000001</v>
      </c>
      <c r="E135" s="79">
        <v>0</v>
      </c>
      <c r="F135" s="79">
        <f>SUM(BASE_DATOS[[#This Row],[Capital($)]:[Interés
Resarcitorio($)]])</f>
        <v>58774.175000000003</v>
      </c>
      <c r="G135" s="8">
        <v>46584</v>
      </c>
      <c r="H135" s="80" t="s">
        <v>81</v>
      </c>
      <c r="I135" s="79" t="s">
        <v>6</v>
      </c>
      <c r="J135" s="81">
        <v>48</v>
      </c>
      <c r="K135" t="s">
        <v>46</v>
      </c>
    </row>
    <row r="136" spans="2:11" x14ac:dyDescent="0.25">
      <c r="B136" s="2">
        <f>+B135</f>
        <v>27</v>
      </c>
      <c r="C136" s="4">
        <v>39609.278000000006</v>
      </c>
      <c r="D136" s="4">
        <v>19164.897000000001</v>
      </c>
      <c r="E136" s="79">
        <v>7836.56</v>
      </c>
      <c r="F136" s="79">
        <f>SUM(BASE_DATOS[[#This Row],[Capital($)]:[Interés
Resarcitorio($)]])</f>
        <v>66610.735000000001</v>
      </c>
      <c r="G136" s="8">
        <v>46594</v>
      </c>
      <c r="H136" s="80" t="s">
        <v>81</v>
      </c>
      <c r="I136" s="79" t="s">
        <v>7</v>
      </c>
      <c r="J136" s="81">
        <v>48</v>
      </c>
      <c r="K136" t="s">
        <v>46</v>
      </c>
    </row>
    <row r="137" spans="2:11" x14ac:dyDescent="0.25">
      <c r="B137" s="2">
        <v>28</v>
      </c>
      <c r="C137" s="4">
        <v>40326.205999999998</v>
      </c>
      <c r="D137" s="4">
        <v>18447.969000000001</v>
      </c>
      <c r="E137" s="79">
        <v>0</v>
      </c>
      <c r="F137" s="79">
        <f>SUM(BASE_DATOS[[#This Row],[Capital($)]:[Interés
Resarcitorio($)]])</f>
        <v>58774.175000000003</v>
      </c>
      <c r="G137" s="8">
        <v>46615</v>
      </c>
      <c r="H137" s="80" t="s">
        <v>81</v>
      </c>
      <c r="I137" s="79" t="s">
        <v>6</v>
      </c>
      <c r="J137" s="81">
        <v>48</v>
      </c>
      <c r="K137" t="s">
        <v>46</v>
      </c>
    </row>
    <row r="138" spans="2:11" x14ac:dyDescent="0.25">
      <c r="B138" s="2">
        <f>+B137</f>
        <v>28</v>
      </c>
      <c r="C138" s="4">
        <v>40326.205999999998</v>
      </c>
      <c r="D138" s="4">
        <v>18447.969000000001</v>
      </c>
      <c r="E138" s="79">
        <v>7836.56</v>
      </c>
      <c r="F138" s="79">
        <f>SUM(BASE_DATOS[[#This Row],[Capital($)]:[Interés
Resarcitorio($)]])</f>
        <v>66610.735000000001</v>
      </c>
      <c r="G138" s="8">
        <v>46625</v>
      </c>
      <c r="H138" s="80" t="s">
        <v>81</v>
      </c>
      <c r="I138" s="79" t="s">
        <v>7</v>
      </c>
      <c r="J138" s="81">
        <v>48</v>
      </c>
      <c r="K138" t="s">
        <v>46</v>
      </c>
    </row>
    <row r="139" spans="2:11" x14ac:dyDescent="0.25">
      <c r="B139" s="2">
        <v>29</v>
      </c>
      <c r="C139" s="4">
        <v>41056.11</v>
      </c>
      <c r="D139" s="4">
        <v>17718.064999999999</v>
      </c>
      <c r="E139" s="79">
        <v>0</v>
      </c>
      <c r="F139" s="79">
        <f>SUM(BASE_DATOS[[#This Row],[Capital($)]:[Interés
Resarcitorio($)]])</f>
        <v>58774.175000000003</v>
      </c>
      <c r="G139" s="8">
        <v>46646</v>
      </c>
      <c r="H139" s="80" t="s">
        <v>81</v>
      </c>
      <c r="I139" s="79" t="s">
        <v>6</v>
      </c>
      <c r="J139" s="81">
        <v>48</v>
      </c>
      <c r="K139" t="s">
        <v>46</v>
      </c>
    </row>
    <row r="140" spans="2:11" x14ac:dyDescent="0.25">
      <c r="B140" s="2">
        <f>+B139</f>
        <v>29</v>
      </c>
      <c r="C140" s="4">
        <v>41056.11</v>
      </c>
      <c r="D140" s="4">
        <v>17718.064999999999</v>
      </c>
      <c r="E140" s="79">
        <v>7836.56</v>
      </c>
      <c r="F140" s="79">
        <f>SUM(BASE_DATOS[[#This Row],[Capital($)]:[Interés
Resarcitorio($)]])</f>
        <v>66610.735000000001</v>
      </c>
      <c r="G140" s="8">
        <v>46656</v>
      </c>
      <c r="H140" s="80" t="s">
        <v>81</v>
      </c>
      <c r="I140" s="79" t="s">
        <v>7</v>
      </c>
      <c r="J140" s="81">
        <v>48</v>
      </c>
      <c r="K140" t="s">
        <v>46</v>
      </c>
    </row>
    <row r="141" spans="2:11" x14ac:dyDescent="0.25">
      <c r="B141" s="2">
        <v>30</v>
      </c>
      <c r="C141" s="4">
        <v>41799.224999999999</v>
      </c>
      <c r="D141" s="4">
        <v>16974.95</v>
      </c>
      <c r="E141" s="79">
        <v>0</v>
      </c>
      <c r="F141" s="79">
        <f>SUM(BASE_DATOS[[#This Row],[Capital($)]:[Interés
Resarcitorio($)]])</f>
        <v>58774.175000000003</v>
      </c>
      <c r="G141" s="8">
        <v>46676</v>
      </c>
      <c r="H141" s="80" t="s">
        <v>81</v>
      </c>
      <c r="I141" s="79" t="s">
        <v>6</v>
      </c>
      <c r="J141" s="81">
        <v>48</v>
      </c>
      <c r="K141" t="s">
        <v>46</v>
      </c>
    </row>
    <row r="142" spans="2:11" x14ac:dyDescent="0.25">
      <c r="B142" s="2">
        <f>+B141</f>
        <v>30</v>
      </c>
      <c r="C142" s="4">
        <v>41799.224999999999</v>
      </c>
      <c r="D142" s="4">
        <v>16974.95</v>
      </c>
      <c r="E142" s="79">
        <v>7836.56</v>
      </c>
      <c r="F142" s="79">
        <f>SUM(BASE_DATOS[[#This Row],[Capital($)]:[Interés
Resarcitorio($)]])</f>
        <v>66610.735000000001</v>
      </c>
      <c r="G142" s="8">
        <v>46686</v>
      </c>
      <c r="H142" s="80" t="s">
        <v>81</v>
      </c>
      <c r="I142" s="79" t="s">
        <v>7</v>
      </c>
      <c r="J142" s="81">
        <v>48</v>
      </c>
      <c r="K142" t="s">
        <v>46</v>
      </c>
    </row>
    <row r="143" spans="2:11" x14ac:dyDescent="0.25">
      <c r="B143" s="2">
        <v>31</v>
      </c>
      <c r="C143" s="4">
        <v>42555.790999999997</v>
      </c>
      <c r="D143" s="4">
        <v>16218.384</v>
      </c>
      <c r="E143" s="79">
        <v>0</v>
      </c>
      <c r="F143" s="79">
        <f>SUM(BASE_DATOS[[#This Row],[Capital($)]:[Interés
Resarcitorio($)]])</f>
        <v>58774.174999999996</v>
      </c>
      <c r="G143" s="8">
        <v>46707</v>
      </c>
      <c r="H143" s="80" t="s">
        <v>81</v>
      </c>
      <c r="I143" s="79" t="s">
        <v>6</v>
      </c>
      <c r="J143" s="81">
        <v>48</v>
      </c>
      <c r="K143" t="s">
        <v>46</v>
      </c>
    </row>
    <row r="144" spans="2:11" x14ac:dyDescent="0.25">
      <c r="B144" s="2">
        <f>+B143</f>
        <v>31</v>
      </c>
      <c r="C144" s="4">
        <v>42555.790999999997</v>
      </c>
      <c r="D144" s="4">
        <v>16218.384</v>
      </c>
      <c r="E144" s="79">
        <v>7836.56</v>
      </c>
      <c r="F144" s="79">
        <f>SUM(BASE_DATOS[[#This Row],[Capital($)]:[Interés
Resarcitorio($)]])</f>
        <v>66610.735000000001</v>
      </c>
      <c r="G144" s="8">
        <v>46717</v>
      </c>
      <c r="H144" s="80" t="s">
        <v>81</v>
      </c>
      <c r="I144" s="79" t="s">
        <v>7</v>
      </c>
      <c r="J144" s="81">
        <v>48</v>
      </c>
      <c r="K144" t="s">
        <v>46</v>
      </c>
    </row>
    <row r="145" spans="2:11" x14ac:dyDescent="0.25">
      <c r="B145" s="2">
        <v>32</v>
      </c>
      <c r="C145" s="4">
        <v>43326.050999999999</v>
      </c>
      <c r="D145" s="4">
        <v>15448.124</v>
      </c>
      <c r="E145" s="79">
        <v>0</v>
      </c>
      <c r="F145" s="79">
        <f>SUM(BASE_DATOS[[#This Row],[Capital($)]:[Interés
Resarcitorio($)]])</f>
        <v>58774.175000000003</v>
      </c>
      <c r="G145" s="8">
        <v>46737</v>
      </c>
      <c r="H145" s="80" t="s">
        <v>81</v>
      </c>
      <c r="I145" s="79" t="s">
        <v>6</v>
      </c>
      <c r="J145" s="81">
        <v>48</v>
      </c>
      <c r="K145" t="s">
        <v>46</v>
      </c>
    </row>
    <row r="146" spans="2:11" x14ac:dyDescent="0.25">
      <c r="B146" s="2">
        <f>+B145</f>
        <v>32</v>
      </c>
      <c r="C146" s="4">
        <v>43326.050999999999</v>
      </c>
      <c r="D146" s="4">
        <v>15448.124</v>
      </c>
      <c r="E146" s="79">
        <v>7836.56</v>
      </c>
      <c r="F146" s="79">
        <f>SUM(BASE_DATOS[[#This Row],[Capital($)]:[Interés
Resarcitorio($)]])</f>
        <v>66610.735000000001</v>
      </c>
      <c r="G146" s="8">
        <v>46747</v>
      </c>
      <c r="H146" s="80" t="s">
        <v>81</v>
      </c>
      <c r="I146" s="79" t="s">
        <v>7</v>
      </c>
      <c r="J146" s="81">
        <v>48</v>
      </c>
      <c r="K146" t="s">
        <v>46</v>
      </c>
    </row>
    <row r="147" spans="2:11" x14ac:dyDescent="0.25">
      <c r="B147" s="2">
        <v>33</v>
      </c>
      <c r="C147" s="4">
        <v>44110.253000000004</v>
      </c>
      <c r="D147" s="4">
        <v>14663.922</v>
      </c>
      <c r="E147" s="79">
        <v>0</v>
      </c>
      <c r="F147" s="79">
        <f>SUM(BASE_DATOS[[#This Row],[Capital($)]:[Interés
Resarcitorio($)]])</f>
        <v>58774.175000000003</v>
      </c>
      <c r="G147" s="8">
        <v>46768</v>
      </c>
      <c r="H147" s="80" t="s">
        <v>81</v>
      </c>
      <c r="I147" s="79" t="s">
        <v>6</v>
      </c>
      <c r="J147" s="81">
        <v>48</v>
      </c>
      <c r="K147" t="s">
        <v>46</v>
      </c>
    </row>
    <row r="148" spans="2:11" x14ac:dyDescent="0.25">
      <c r="B148" s="2">
        <f>+B147</f>
        <v>33</v>
      </c>
      <c r="C148" s="4">
        <v>44110.253000000004</v>
      </c>
      <c r="D148" s="4">
        <v>14663.922</v>
      </c>
      <c r="E148" s="79">
        <v>7836.56</v>
      </c>
      <c r="F148" s="79">
        <f>SUM(BASE_DATOS[[#This Row],[Capital($)]:[Interés
Resarcitorio($)]])</f>
        <v>66610.735000000001</v>
      </c>
      <c r="G148" s="8">
        <v>46778</v>
      </c>
      <c r="H148" s="80" t="s">
        <v>81</v>
      </c>
      <c r="I148" s="79" t="s">
        <v>7</v>
      </c>
      <c r="J148" s="81">
        <v>48</v>
      </c>
      <c r="K148" t="s">
        <v>46</v>
      </c>
    </row>
    <row r="149" spans="2:11" x14ac:dyDescent="0.25">
      <c r="B149" s="2">
        <v>34</v>
      </c>
      <c r="C149" s="4">
        <v>44908.648000000001</v>
      </c>
      <c r="D149" s="4">
        <v>13865.526999999998</v>
      </c>
      <c r="E149" s="79">
        <v>0</v>
      </c>
      <c r="F149" s="79">
        <f>SUM(BASE_DATOS[[#This Row],[Capital($)]:[Interés
Resarcitorio($)]])</f>
        <v>58774.175000000003</v>
      </c>
      <c r="G149" s="8">
        <v>46799</v>
      </c>
      <c r="H149" s="80" t="s">
        <v>81</v>
      </c>
      <c r="I149" s="79" t="s">
        <v>6</v>
      </c>
      <c r="J149" s="81">
        <v>48</v>
      </c>
      <c r="K149" t="s">
        <v>46</v>
      </c>
    </row>
    <row r="150" spans="2:11" x14ac:dyDescent="0.25">
      <c r="B150" s="2">
        <f>+B149</f>
        <v>34</v>
      </c>
      <c r="C150" s="4">
        <v>44908.648000000001</v>
      </c>
      <c r="D150" s="4">
        <v>13865.526999999998</v>
      </c>
      <c r="E150" s="79">
        <v>7836.56</v>
      </c>
      <c r="F150" s="79">
        <f>SUM(BASE_DATOS[[#This Row],[Capital($)]:[Interés
Resarcitorio($)]])</f>
        <v>66610.735000000001</v>
      </c>
      <c r="G150" s="8">
        <v>46809</v>
      </c>
      <c r="H150" s="80" t="s">
        <v>81</v>
      </c>
      <c r="I150" s="79" t="s">
        <v>7</v>
      </c>
      <c r="J150" s="81">
        <v>48</v>
      </c>
      <c r="K150" t="s">
        <v>46</v>
      </c>
    </row>
    <row r="151" spans="2:11" x14ac:dyDescent="0.25">
      <c r="B151" s="2">
        <v>35</v>
      </c>
      <c r="C151" s="4">
        <v>45721.495000000003</v>
      </c>
      <c r="D151" s="4">
        <v>13052.68</v>
      </c>
      <c r="E151" s="79">
        <v>0</v>
      </c>
      <c r="F151" s="79">
        <f>SUM(BASE_DATOS[[#This Row],[Capital($)]:[Interés
Resarcitorio($)]])</f>
        <v>58774.175000000003</v>
      </c>
      <c r="G151" s="8">
        <v>46828</v>
      </c>
      <c r="H151" s="80" t="s">
        <v>81</v>
      </c>
      <c r="I151" s="79" t="s">
        <v>6</v>
      </c>
      <c r="J151" s="81">
        <v>48</v>
      </c>
      <c r="K151" t="s">
        <v>46</v>
      </c>
    </row>
    <row r="152" spans="2:11" x14ac:dyDescent="0.25">
      <c r="B152" s="2">
        <f>+B151</f>
        <v>35</v>
      </c>
      <c r="C152" s="4">
        <v>45721.495000000003</v>
      </c>
      <c r="D152" s="4">
        <v>13052.68</v>
      </c>
      <c r="E152" s="79">
        <v>7836.56</v>
      </c>
      <c r="F152" s="79">
        <f>SUM(BASE_DATOS[[#This Row],[Capital($)]:[Interés
Resarcitorio($)]])</f>
        <v>66610.735000000001</v>
      </c>
      <c r="G152" s="8">
        <v>46838</v>
      </c>
      <c r="H152" s="80" t="s">
        <v>81</v>
      </c>
      <c r="I152" s="79" t="s">
        <v>7</v>
      </c>
      <c r="J152" s="81">
        <v>48</v>
      </c>
      <c r="K152" t="s">
        <v>46</v>
      </c>
    </row>
    <row r="153" spans="2:11" x14ac:dyDescent="0.25">
      <c r="B153" s="2">
        <v>36</v>
      </c>
      <c r="C153" s="4">
        <v>46549.053999999996</v>
      </c>
      <c r="D153" s="4">
        <v>12225.121000000001</v>
      </c>
      <c r="E153" s="79">
        <v>0</v>
      </c>
      <c r="F153" s="79">
        <f>SUM(BASE_DATOS[[#This Row],[Capital($)]:[Interés
Resarcitorio($)]])</f>
        <v>58774.174999999996</v>
      </c>
      <c r="G153" s="8">
        <v>46859</v>
      </c>
      <c r="H153" s="80" t="s">
        <v>81</v>
      </c>
      <c r="I153" s="79" t="s">
        <v>6</v>
      </c>
      <c r="J153" s="81">
        <v>48</v>
      </c>
      <c r="K153" t="s">
        <v>46</v>
      </c>
    </row>
    <row r="154" spans="2:11" x14ac:dyDescent="0.25">
      <c r="B154" s="2">
        <f>+B153</f>
        <v>36</v>
      </c>
      <c r="C154" s="4">
        <v>46549.053999999996</v>
      </c>
      <c r="D154" s="4">
        <v>12225.121000000001</v>
      </c>
      <c r="E154" s="79">
        <v>7836.56</v>
      </c>
      <c r="F154" s="79">
        <f>SUM(BASE_DATOS[[#This Row],[Capital($)]:[Interés
Resarcitorio($)]])</f>
        <v>66610.735000000001</v>
      </c>
      <c r="G154" s="8">
        <v>46869</v>
      </c>
      <c r="H154" s="80" t="s">
        <v>81</v>
      </c>
      <c r="I154" s="79" t="s">
        <v>7</v>
      </c>
      <c r="J154" s="81">
        <v>48</v>
      </c>
      <c r="K154" t="s">
        <v>46</v>
      </c>
    </row>
    <row r="155" spans="2:11" x14ac:dyDescent="0.25">
      <c r="B155" s="2">
        <v>37</v>
      </c>
      <c r="C155" s="4">
        <v>47391.591999999997</v>
      </c>
      <c r="D155" s="4">
        <v>11382.583000000001</v>
      </c>
      <c r="E155" s="79">
        <v>0</v>
      </c>
      <c r="F155" s="79">
        <f>SUM(BASE_DATOS[[#This Row],[Capital($)]:[Interés
Resarcitorio($)]])</f>
        <v>58774.174999999996</v>
      </c>
      <c r="G155" s="8">
        <v>46889</v>
      </c>
      <c r="H155" s="80" t="s">
        <v>81</v>
      </c>
      <c r="I155" s="79" t="s">
        <v>6</v>
      </c>
      <c r="J155" s="81">
        <v>48</v>
      </c>
      <c r="K155" t="s">
        <v>46</v>
      </c>
    </row>
    <row r="156" spans="2:11" x14ac:dyDescent="0.25">
      <c r="B156" s="2">
        <f>+B155</f>
        <v>37</v>
      </c>
      <c r="C156" s="4">
        <v>47391.591999999997</v>
      </c>
      <c r="D156" s="4">
        <v>11382.583000000001</v>
      </c>
      <c r="E156" s="79">
        <v>7836.56</v>
      </c>
      <c r="F156" s="79">
        <f>SUM(BASE_DATOS[[#This Row],[Capital($)]:[Interés
Resarcitorio($)]])</f>
        <v>66610.735000000001</v>
      </c>
      <c r="G156" s="8">
        <v>46899</v>
      </c>
      <c r="H156" s="80" t="s">
        <v>81</v>
      </c>
      <c r="I156" s="79" t="s">
        <v>7</v>
      </c>
      <c r="J156" s="81">
        <v>48</v>
      </c>
      <c r="K156" t="s">
        <v>46</v>
      </c>
    </row>
    <row r="157" spans="2:11" x14ac:dyDescent="0.25">
      <c r="B157" s="2">
        <v>38</v>
      </c>
      <c r="C157" s="4">
        <v>48249.38</v>
      </c>
      <c r="D157" s="4">
        <v>10524.795</v>
      </c>
      <c r="E157" s="79">
        <v>0</v>
      </c>
      <c r="F157" s="79">
        <f>SUM(BASE_DATOS[[#This Row],[Capital($)]:[Interés
Resarcitorio($)]])</f>
        <v>58774.174999999996</v>
      </c>
      <c r="G157" s="8">
        <v>46920</v>
      </c>
      <c r="H157" s="80" t="s">
        <v>81</v>
      </c>
      <c r="I157" s="79" t="s">
        <v>6</v>
      </c>
      <c r="J157" s="81">
        <v>48</v>
      </c>
      <c r="K157" t="s">
        <v>46</v>
      </c>
    </row>
    <row r="158" spans="2:11" x14ac:dyDescent="0.25">
      <c r="B158" s="2">
        <f>+B157</f>
        <v>38</v>
      </c>
      <c r="C158" s="4">
        <v>48249.38</v>
      </c>
      <c r="D158" s="4">
        <v>10524.795</v>
      </c>
      <c r="E158" s="79">
        <v>7836.56</v>
      </c>
      <c r="F158" s="79">
        <f>SUM(BASE_DATOS[[#This Row],[Capital($)]:[Interés
Resarcitorio($)]])</f>
        <v>66610.735000000001</v>
      </c>
      <c r="G158" s="8">
        <v>46930</v>
      </c>
      <c r="H158" s="80" t="s">
        <v>81</v>
      </c>
      <c r="I158" s="79" t="s">
        <v>7</v>
      </c>
      <c r="J158" s="81">
        <v>48</v>
      </c>
      <c r="K158" t="s">
        <v>46</v>
      </c>
    </row>
    <row r="159" spans="2:11" x14ac:dyDescent="0.25">
      <c r="B159" s="2">
        <v>39</v>
      </c>
      <c r="C159" s="4">
        <v>49122.692999999999</v>
      </c>
      <c r="D159" s="4">
        <v>9651.482</v>
      </c>
      <c r="E159" s="79">
        <v>0</v>
      </c>
      <c r="F159" s="79">
        <f>SUM(BASE_DATOS[[#This Row],[Capital($)]:[Interés
Resarcitorio($)]])</f>
        <v>58774.175000000003</v>
      </c>
      <c r="G159" s="8">
        <v>46950</v>
      </c>
      <c r="H159" s="80" t="s">
        <v>81</v>
      </c>
      <c r="I159" s="79" t="s">
        <v>6</v>
      </c>
      <c r="J159" s="81">
        <v>48</v>
      </c>
      <c r="K159" t="s">
        <v>46</v>
      </c>
    </row>
    <row r="160" spans="2:11" x14ac:dyDescent="0.25">
      <c r="B160" s="2">
        <f>+B159</f>
        <v>39</v>
      </c>
      <c r="C160" s="4">
        <v>49122.692999999999</v>
      </c>
      <c r="D160" s="4">
        <v>9651.482</v>
      </c>
      <c r="E160" s="79">
        <v>7836.56</v>
      </c>
      <c r="F160" s="79">
        <f>SUM(BASE_DATOS[[#This Row],[Capital($)]:[Interés
Resarcitorio($)]])</f>
        <v>66610.735000000001</v>
      </c>
      <c r="G160" s="8">
        <v>46960</v>
      </c>
      <c r="H160" s="80" t="s">
        <v>81</v>
      </c>
      <c r="I160" s="79" t="s">
        <v>7</v>
      </c>
      <c r="J160" s="81">
        <v>48</v>
      </c>
      <c r="K160" t="s">
        <v>46</v>
      </c>
    </row>
    <row r="161" spans="2:11" x14ac:dyDescent="0.25">
      <c r="B161" s="2">
        <v>40</v>
      </c>
      <c r="C161" s="4">
        <v>50011.813999999998</v>
      </c>
      <c r="D161" s="4">
        <v>8762.3610000000008</v>
      </c>
      <c r="E161" s="79">
        <v>0</v>
      </c>
      <c r="F161" s="79">
        <f>SUM(BASE_DATOS[[#This Row],[Capital($)]:[Interés
Resarcitorio($)]])</f>
        <v>58774.175000000003</v>
      </c>
      <c r="G161" s="8">
        <v>46981</v>
      </c>
      <c r="H161" s="80" t="s">
        <v>81</v>
      </c>
      <c r="I161" s="79" t="s">
        <v>6</v>
      </c>
      <c r="J161" s="81">
        <v>48</v>
      </c>
      <c r="K161" t="s">
        <v>46</v>
      </c>
    </row>
    <row r="162" spans="2:11" x14ac:dyDescent="0.25">
      <c r="B162" s="2">
        <f>+B161</f>
        <v>40</v>
      </c>
      <c r="C162" s="4">
        <v>50011.813999999998</v>
      </c>
      <c r="D162" s="4">
        <v>8762.3610000000008</v>
      </c>
      <c r="E162" s="79">
        <v>7836.56</v>
      </c>
      <c r="F162" s="79">
        <f>SUM(BASE_DATOS[[#This Row],[Capital($)]:[Interés
Resarcitorio($)]])</f>
        <v>66610.735000000001</v>
      </c>
      <c r="G162" s="8">
        <v>46991</v>
      </c>
      <c r="H162" s="80" t="s">
        <v>81</v>
      </c>
      <c r="I162" s="79" t="s">
        <v>7</v>
      </c>
      <c r="J162" s="81">
        <v>48</v>
      </c>
      <c r="K162" t="s">
        <v>46</v>
      </c>
    </row>
    <row r="163" spans="2:11" x14ac:dyDescent="0.25">
      <c r="B163" s="2">
        <v>41</v>
      </c>
      <c r="C163" s="4">
        <v>50917.028000000006</v>
      </c>
      <c r="D163" s="4">
        <v>7857.1469999999999</v>
      </c>
      <c r="E163" s="79">
        <v>0</v>
      </c>
      <c r="F163" s="79">
        <f>SUM(BASE_DATOS[[#This Row],[Capital($)]:[Interés
Resarcitorio($)]])</f>
        <v>58774.175000000003</v>
      </c>
      <c r="G163" s="8">
        <v>47012</v>
      </c>
      <c r="H163" s="80" t="s">
        <v>81</v>
      </c>
      <c r="I163" s="79" t="s">
        <v>6</v>
      </c>
      <c r="J163" s="81">
        <v>48</v>
      </c>
      <c r="K163" t="s">
        <v>46</v>
      </c>
    </row>
    <row r="164" spans="2:11" x14ac:dyDescent="0.25">
      <c r="B164" s="2">
        <f>+B163</f>
        <v>41</v>
      </c>
      <c r="C164" s="4">
        <v>50917.028000000006</v>
      </c>
      <c r="D164" s="4">
        <v>7857.1469999999999</v>
      </c>
      <c r="E164" s="79">
        <v>7836.56</v>
      </c>
      <c r="F164" s="79">
        <f>SUM(BASE_DATOS[[#This Row],[Capital($)]:[Interés
Resarcitorio($)]])</f>
        <v>66610.735000000001</v>
      </c>
      <c r="G164" s="8">
        <v>47022</v>
      </c>
      <c r="H164" s="80" t="s">
        <v>81</v>
      </c>
      <c r="I164" s="79" t="s">
        <v>7</v>
      </c>
      <c r="J164" s="81">
        <v>48</v>
      </c>
      <c r="K164" t="s">
        <v>46</v>
      </c>
    </row>
    <row r="165" spans="2:11" x14ac:dyDescent="0.25">
      <c r="B165" s="2">
        <v>42</v>
      </c>
      <c r="C165" s="4">
        <v>51838.626000000004</v>
      </c>
      <c r="D165" s="4">
        <v>6935.5490000000009</v>
      </c>
      <c r="E165" s="79">
        <v>0</v>
      </c>
      <c r="F165" s="79">
        <f>SUM(BASE_DATOS[[#This Row],[Capital($)]:[Interés
Resarcitorio($)]])</f>
        <v>58774.175000000003</v>
      </c>
      <c r="G165" s="8">
        <v>47042</v>
      </c>
      <c r="H165" s="80" t="s">
        <v>81</v>
      </c>
      <c r="I165" s="79" t="s">
        <v>6</v>
      </c>
      <c r="J165" s="81">
        <v>48</v>
      </c>
      <c r="K165" t="s">
        <v>46</v>
      </c>
    </row>
    <row r="166" spans="2:11" x14ac:dyDescent="0.25">
      <c r="B166" s="2">
        <f>+B165</f>
        <v>42</v>
      </c>
      <c r="C166" s="4">
        <v>51838.626000000004</v>
      </c>
      <c r="D166" s="4">
        <v>6935.5490000000009</v>
      </c>
      <c r="E166" s="79">
        <v>7836.56</v>
      </c>
      <c r="F166" s="79">
        <f>SUM(BASE_DATOS[[#This Row],[Capital($)]:[Interés
Resarcitorio($)]])</f>
        <v>66610.735000000001</v>
      </c>
      <c r="G166" s="8">
        <v>47052</v>
      </c>
      <c r="H166" s="80" t="s">
        <v>81</v>
      </c>
      <c r="I166" s="79" t="s">
        <v>7</v>
      </c>
      <c r="J166" s="81">
        <v>48</v>
      </c>
      <c r="K166" t="s">
        <v>46</v>
      </c>
    </row>
    <row r="167" spans="2:11" x14ac:dyDescent="0.25">
      <c r="B167" s="2">
        <v>43</v>
      </c>
      <c r="C167" s="4">
        <v>52776.905000000006</v>
      </c>
      <c r="D167" s="4">
        <v>5997.2699999999995</v>
      </c>
      <c r="E167" s="79">
        <v>0</v>
      </c>
      <c r="F167" s="79">
        <f>SUM(BASE_DATOS[[#This Row],[Capital($)]:[Interés
Resarcitorio($)]])</f>
        <v>58774.175000000003</v>
      </c>
      <c r="G167" s="8">
        <v>47073</v>
      </c>
      <c r="H167" s="80" t="s">
        <v>81</v>
      </c>
      <c r="I167" s="79" t="s">
        <v>6</v>
      </c>
      <c r="J167" s="81">
        <v>48</v>
      </c>
      <c r="K167" t="s">
        <v>46</v>
      </c>
    </row>
    <row r="168" spans="2:11" x14ac:dyDescent="0.25">
      <c r="B168" s="2">
        <f>+B167</f>
        <v>43</v>
      </c>
      <c r="C168" s="4">
        <v>52776.905000000006</v>
      </c>
      <c r="D168" s="4">
        <v>5997.2699999999995</v>
      </c>
      <c r="E168" s="79">
        <v>7836.56</v>
      </c>
      <c r="F168" s="79">
        <f>SUM(BASE_DATOS[[#This Row],[Capital($)]:[Interés
Resarcitorio($)]])</f>
        <v>66610.735000000001</v>
      </c>
      <c r="G168" s="8">
        <v>47083</v>
      </c>
      <c r="H168" s="80" t="s">
        <v>81</v>
      </c>
      <c r="I168" s="79" t="s">
        <v>7</v>
      </c>
      <c r="J168" s="81">
        <v>48</v>
      </c>
      <c r="K168" t="s">
        <v>46</v>
      </c>
    </row>
    <row r="169" spans="2:11" x14ac:dyDescent="0.25">
      <c r="B169" s="2">
        <v>44</v>
      </c>
      <c r="C169" s="4">
        <v>53732.167000000001</v>
      </c>
      <c r="D169" s="4">
        <v>5042.0079999999998</v>
      </c>
      <c r="E169" s="79">
        <v>0</v>
      </c>
      <c r="F169" s="79">
        <f>SUM(BASE_DATOS[[#This Row],[Capital($)]:[Interés
Resarcitorio($)]])</f>
        <v>58774.175000000003</v>
      </c>
      <c r="G169" s="8">
        <v>47103</v>
      </c>
      <c r="H169" s="80" t="s">
        <v>81</v>
      </c>
      <c r="I169" s="79" t="s">
        <v>6</v>
      </c>
      <c r="J169" s="81">
        <v>48</v>
      </c>
      <c r="K169" t="s">
        <v>46</v>
      </c>
    </row>
    <row r="170" spans="2:11" x14ac:dyDescent="0.25">
      <c r="B170" s="2">
        <f>+B169</f>
        <v>44</v>
      </c>
      <c r="C170" s="4">
        <v>53732.167000000001</v>
      </c>
      <c r="D170" s="4">
        <v>5042.0079999999998</v>
      </c>
      <c r="E170" s="79">
        <v>7836.56</v>
      </c>
      <c r="F170" s="79">
        <f>SUM(BASE_DATOS[[#This Row],[Capital($)]:[Interés
Resarcitorio($)]])</f>
        <v>66610.735000000001</v>
      </c>
      <c r="G170" s="8">
        <v>47113</v>
      </c>
      <c r="H170" s="80" t="s">
        <v>81</v>
      </c>
      <c r="I170" s="79" t="s">
        <v>7</v>
      </c>
      <c r="J170" s="81">
        <v>48</v>
      </c>
      <c r="K170" t="s">
        <v>46</v>
      </c>
    </row>
    <row r="171" spans="2:11" x14ac:dyDescent="0.25">
      <c r="B171" s="2">
        <v>45</v>
      </c>
      <c r="C171" s="4">
        <v>54704.719999999994</v>
      </c>
      <c r="D171" s="4">
        <v>4069.4550000000004</v>
      </c>
      <c r="E171" s="79">
        <v>0</v>
      </c>
      <c r="F171" s="79">
        <f>SUM(BASE_DATOS[[#This Row],[Capital($)]:[Interés
Resarcitorio($)]])</f>
        <v>58774.174999999996</v>
      </c>
      <c r="G171" s="8">
        <v>47134</v>
      </c>
      <c r="H171" s="80" t="s">
        <v>81</v>
      </c>
      <c r="I171" s="79" t="s">
        <v>6</v>
      </c>
      <c r="J171" s="81">
        <v>48</v>
      </c>
      <c r="K171" t="s">
        <v>46</v>
      </c>
    </row>
    <row r="172" spans="2:11" x14ac:dyDescent="0.25">
      <c r="B172" s="2">
        <f>+B171</f>
        <v>45</v>
      </c>
      <c r="C172" s="4">
        <v>54704.719999999994</v>
      </c>
      <c r="D172" s="4">
        <v>4069.4550000000004</v>
      </c>
      <c r="E172" s="79">
        <v>7836.56</v>
      </c>
      <c r="F172" s="79">
        <f>SUM(BASE_DATOS[[#This Row],[Capital($)]:[Interés
Resarcitorio($)]])</f>
        <v>66610.735000000001</v>
      </c>
      <c r="G172" s="8">
        <v>47144</v>
      </c>
      <c r="H172" s="80" t="s">
        <v>81</v>
      </c>
      <c r="I172" s="79" t="s">
        <v>7</v>
      </c>
      <c r="J172" s="81">
        <v>48</v>
      </c>
      <c r="K172" t="s">
        <v>46</v>
      </c>
    </row>
    <row r="173" spans="2:11" x14ac:dyDescent="0.25">
      <c r="B173" s="2">
        <v>46</v>
      </c>
      <c r="C173" s="4">
        <v>55694.875</v>
      </c>
      <c r="D173" s="4">
        <v>3079.3</v>
      </c>
      <c r="E173" s="79">
        <v>0</v>
      </c>
      <c r="F173" s="79">
        <f>SUM(BASE_DATOS[[#This Row],[Capital($)]:[Interés
Resarcitorio($)]])</f>
        <v>58774.175000000003</v>
      </c>
      <c r="G173" s="8">
        <v>47165</v>
      </c>
      <c r="H173" s="80" t="s">
        <v>81</v>
      </c>
      <c r="I173" s="79" t="s">
        <v>6</v>
      </c>
      <c r="J173" s="81">
        <v>48</v>
      </c>
      <c r="K173" t="s">
        <v>46</v>
      </c>
    </row>
    <row r="174" spans="2:11" x14ac:dyDescent="0.25">
      <c r="B174" s="2">
        <f>+B173</f>
        <v>46</v>
      </c>
      <c r="C174" s="4">
        <v>55694.875</v>
      </c>
      <c r="D174" s="4">
        <v>3079.3</v>
      </c>
      <c r="E174" s="79">
        <v>7836.56</v>
      </c>
      <c r="F174" s="79">
        <f>SUM(BASE_DATOS[[#This Row],[Capital($)]:[Interés
Resarcitorio($)]])</f>
        <v>66610.735000000001</v>
      </c>
      <c r="G174" s="8">
        <v>47175</v>
      </c>
      <c r="H174" s="80" t="s">
        <v>81</v>
      </c>
      <c r="I174" s="79" t="s">
        <v>7</v>
      </c>
      <c r="J174" s="81">
        <v>48</v>
      </c>
      <c r="K174" t="s">
        <v>46</v>
      </c>
    </row>
    <row r="175" spans="2:11" x14ac:dyDescent="0.25">
      <c r="B175" s="2">
        <v>47</v>
      </c>
      <c r="C175" s="4">
        <v>56702.952000000005</v>
      </c>
      <c r="D175" s="4">
        <v>2071.223</v>
      </c>
      <c r="E175" s="79">
        <v>0</v>
      </c>
      <c r="F175" s="79">
        <f>SUM(BASE_DATOS[[#This Row],[Capital($)]:[Interés
Resarcitorio($)]])</f>
        <v>58774.175000000003</v>
      </c>
      <c r="G175" s="8">
        <v>47193</v>
      </c>
      <c r="H175" s="80" t="s">
        <v>81</v>
      </c>
      <c r="I175" s="79" t="s">
        <v>6</v>
      </c>
      <c r="J175" s="81">
        <v>48</v>
      </c>
      <c r="K175" t="s">
        <v>46</v>
      </c>
    </row>
    <row r="176" spans="2:11" x14ac:dyDescent="0.25">
      <c r="B176" s="2">
        <f>+B175</f>
        <v>47</v>
      </c>
      <c r="C176" s="4">
        <v>56702.952000000005</v>
      </c>
      <c r="D176" s="4">
        <v>2071.223</v>
      </c>
      <c r="E176" s="79">
        <v>7836.56</v>
      </c>
      <c r="F176" s="79">
        <f>SUM(BASE_DATOS[[#This Row],[Capital($)]:[Interés
Resarcitorio($)]])</f>
        <v>66610.735000000001</v>
      </c>
      <c r="G176" s="8">
        <v>47203</v>
      </c>
      <c r="H176" s="80" t="s">
        <v>81</v>
      </c>
      <c r="I176" s="79" t="s">
        <v>7</v>
      </c>
      <c r="J176" s="81">
        <v>48</v>
      </c>
      <c r="K176" t="s">
        <v>46</v>
      </c>
    </row>
    <row r="177" spans="2:11" x14ac:dyDescent="0.25">
      <c r="B177" s="2">
        <v>48</v>
      </c>
      <c r="C177" s="4">
        <v>57729.244999999995</v>
      </c>
      <c r="D177" s="4">
        <v>1044.9299999999998</v>
      </c>
      <c r="E177" s="79">
        <v>0</v>
      </c>
      <c r="F177" s="79">
        <f>SUM(BASE_DATOS[[#This Row],[Capital($)]:[Interés
Resarcitorio($)]])</f>
        <v>58774.174999999996</v>
      </c>
      <c r="G177" s="8">
        <v>47224</v>
      </c>
      <c r="H177" s="80" t="s">
        <v>81</v>
      </c>
      <c r="I177" s="79" t="s">
        <v>6</v>
      </c>
      <c r="J177" s="81">
        <v>48</v>
      </c>
      <c r="K177" t="s">
        <v>46</v>
      </c>
    </row>
    <row r="178" spans="2:11" x14ac:dyDescent="0.25">
      <c r="B178" s="2">
        <f>+B177</f>
        <v>48</v>
      </c>
      <c r="C178" s="4">
        <v>57729.244999999995</v>
      </c>
      <c r="D178" s="4">
        <v>1044.9299999999998</v>
      </c>
      <c r="E178" s="79">
        <v>7836.56</v>
      </c>
      <c r="F178" s="79">
        <f>SUM(BASE_DATOS[[#This Row],[Capital($)]:[Interés
Resarcitorio($)]])</f>
        <v>66610.735000000001</v>
      </c>
      <c r="G178" s="8">
        <v>47234</v>
      </c>
      <c r="H178" s="80" t="s">
        <v>81</v>
      </c>
      <c r="I178" s="79" t="s">
        <v>7</v>
      </c>
      <c r="J178" s="81">
        <v>48</v>
      </c>
      <c r="K178" t="s">
        <v>46</v>
      </c>
    </row>
    <row r="179" spans="2:11" x14ac:dyDescent="0.25">
      <c r="B179" s="2">
        <v>1</v>
      </c>
      <c r="C179" s="79">
        <v>1359333.1680000001</v>
      </c>
      <c r="D179" s="4">
        <v>624395.554</v>
      </c>
      <c r="E179" s="79">
        <v>0</v>
      </c>
      <c r="F179" s="79">
        <f>SUM(BASE_DATOS[[#This Row],[Capital($)]:[Interés
Resarcitorio($)]])</f>
        <v>1983728.7220000001</v>
      </c>
      <c r="G179" s="8">
        <v>45612</v>
      </c>
      <c r="H179" s="80" t="s">
        <v>74</v>
      </c>
      <c r="I179" s="79" t="s">
        <v>9</v>
      </c>
      <c r="J179" s="81">
        <v>12</v>
      </c>
      <c r="K179" t="s">
        <v>47</v>
      </c>
    </row>
    <row r="180" spans="2:11" x14ac:dyDescent="0.25">
      <c r="B180" s="2">
        <v>1</v>
      </c>
      <c r="C180" s="79">
        <v>1359333.1680000001</v>
      </c>
      <c r="D180" s="4">
        <v>624395.554</v>
      </c>
      <c r="E180" s="79">
        <v>423856.7</v>
      </c>
      <c r="F180" s="79">
        <f>SUM(BASE_DATOS[[#This Row],[Capital($)]:[Interés
Resarcitorio($)]])</f>
        <v>2407585.4220000003</v>
      </c>
      <c r="G180" s="8">
        <v>45622</v>
      </c>
      <c r="H180" s="80" t="s">
        <v>74</v>
      </c>
      <c r="I180" s="79" t="s">
        <v>7</v>
      </c>
      <c r="J180" s="81">
        <v>12</v>
      </c>
      <c r="K180" t="s">
        <v>47</v>
      </c>
    </row>
    <row r="181" spans="2:11" x14ac:dyDescent="0.25">
      <c r="B181" s="2">
        <v>2</v>
      </c>
      <c r="C181" s="79">
        <v>1402831.83</v>
      </c>
      <c r="D181" s="4">
        <v>580896.89199999999</v>
      </c>
      <c r="E181" s="79">
        <v>0</v>
      </c>
      <c r="F181" s="79">
        <f>SUM(BASE_DATOS[[#This Row],[Capital($)]:[Interés
Resarcitorio($)]])</f>
        <v>1983728.7220000001</v>
      </c>
      <c r="G181" s="8">
        <v>45642</v>
      </c>
      <c r="H181" s="80" t="s">
        <v>74</v>
      </c>
      <c r="I181" s="79" t="s">
        <v>9</v>
      </c>
      <c r="J181" s="81">
        <v>12</v>
      </c>
      <c r="K181" t="s">
        <v>47</v>
      </c>
    </row>
    <row r="182" spans="2:11" x14ac:dyDescent="0.25">
      <c r="B182" s="2">
        <v>2</v>
      </c>
      <c r="C182" s="79">
        <v>1402831.83</v>
      </c>
      <c r="D182" s="4">
        <v>580896.89199999999</v>
      </c>
      <c r="E182" s="79">
        <v>493948.45</v>
      </c>
      <c r="F182" s="79">
        <f>SUM(BASE_DATOS[[#This Row],[Capital($)]:[Interés
Resarcitorio($)]])</f>
        <v>2477677.1720000003</v>
      </c>
      <c r="G182" s="8">
        <v>45652</v>
      </c>
      <c r="H182" s="80" t="s">
        <v>74</v>
      </c>
      <c r="I182" s="79" t="s">
        <v>7</v>
      </c>
      <c r="J182" s="81">
        <v>12</v>
      </c>
      <c r="K182" t="s">
        <v>47</v>
      </c>
    </row>
    <row r="183" spans="2:11" x14ac:dyDescent="0.25">
      <c r="B183" s="2">
        <v>3</v>
      </c>
      <c r="C183" s="79">
        <v>1447722.4480000001</v>
      </c>
      <c r="D183" s="4">
        <v>536006.27399999998</v>
      </c>
      <c r="E183" s="79">
        <v>0</v>
      </c>
      <c r="F183" s="79">
        <f>SUM(BASE_DATOS[[#This Row],[Capital($)]:[Interés
Resarcitorio($)]])</f>
        <v>1983728.7220000001</v>
      </c>
      <c r="G183" s="8">
        <v>45673</v>
      </c>
      <c r="H183" s="80" t="s">
        <v>74</v>
      </c>
      <c r="I183" s="79" t="s">
        <v>9</v>
      </c>
      <c r="J183" s="81">
        <v>12</v>
      </c>
      <c r="K183" t="s">
        <v>47</v>
      </c>
    </row>
    <row r="184" spans="2:11" x14ac:dyDescent="0.25">
      <c r="B184" s="2">
        <v>3</v>
      </c>
      <c r="C184" s="79">
        <v>1447722.4480000001</v>
      </c>
      <c r="D184" s="4">
        <v>536006.27399999998</v>
      </c>
      <c r="E184" s="79">
        <v>493948.45</v>
      </c>
      <c r="F184" s="79">
        <f>SUM(BASE_DATOS[[#This Row],[Capital($)]:[Interés
Resarcitorio($)]])</f>
        <v>2477677.1720000003</v>
      </c>
      <c r="G184" s="8">
        <v>45683</v>
      </c>
      <c r="H184" s="80" t="s">
        <v>74</v>
      </c>
      <c r="I184" s="79" t="s">
        <v>7</v>
      </c>
      <c r="J184" s="81">
        <v>12</v>
      </c>
      <c r="K184" t="s">
        <v>47</v>
      </c>
    </row>
    <row r="185" spans="2:11" x14ac:dyDescent="0.25">
      <c r="B185" s="2">
        <v>4</v>
      </c>
      <c r="C185" s="79">
        <v>1494049.5660000001</v>
      </c>
      <c r="D185" s="4">
        <v>489679.15599999996</v>
      </c>
      <c r="E185" s="79">
        <v>0</v>
      </c>
      <c r="F185" s="79">
        <f>SUM(BASE_DATOS[[#This Row],[Capital($)]:[Interés
Resarcitorio($)]])</f>
        <v>1983728.7220000001</v>
      </c>
      <c r="G185" s="8">
        <v>45704</v>
      </c>
      <c r="H185" s="80" t="s">
        <v>74</v>
      </c>
      <c r="I185" s="79" t="s">
        <v>9</v>
      </c>
      <c r="J185" s="81">
        <v>12</v>
      </c>
      <c r="K185" t="s">
        <v>47</v>
      </c>
    </row>
    <row r="186" spans="2:11" x14ac:dyDescent="0.25">
      <c r="B186" s="2">
        <v>4</v>
      </c>
      <c r="C186" s="79">
        <v>1494049.5660000001</v>
      </c>
      <c r="D186" s="4">
        <v>489679.15599999996</v>
      </c>
      <c r="E186" s="79">
        <v>480062.35</v>
      </c>
      <c r="F186" s="79">
        <f>SUM(BASE_DATOS[[#This Row],[Capital($)]:[Interés
Resarcitorio($)]])</f>
        <v>2463791.0720000002</v>
      </c>
      <c r="G186" s="8">
        <v>45714</v>
      </c>
      <c r="H186" s="80" t="s">
        <v>74</v>
      </c>
      <c r="I186" s="79" t="s">
        <v>7</v>
      </c>
      <c r="J186" s="81">
        <v>12</v>
      </c>
      <c r="K186" t="s">
        <v>47</v>
      </c>
    </row>
    <row r="187" spans="2:11" x14ac:dyDescent="0.25">
      <c r="B187" s="2">
        <v>5</v>
      </c>
      <c r="C187" s="79">
        <v>1541859.1529999999</v>
      </c>
      <c r="D187" s="4">
        <v>441869.56900000002</v>
      </c>
      <c r="E187" s="79">
        <v>0</v>
      </c>
      <c r="F187" s="79">
        <f>SUM(BASE_DATOS[[#This Row],[Capital($)]:[Interés
Resarcitorio($)]])</f>
        <v>1983728.7220000001</v>
      </c>
      <c r="G187" s="8">
        <v>45732</v>
      </c>
      <c r="H187" s="80" t="s">
        <v>74</v>
      </c>
      <c r="I187" s="79" t="s">
        <v>9</v>
      </c>
      <c r="J187" s="81">
        <v>12</v>
      </c>
      <c r="K187" t="s">
        <v>47</v>
      </c>
    </row>
    <row r="188" spans="2:11" x14ac:dyDescent="0.25">
      <c r="B188" s="2">
        <v>5</v>
      </c>
      <c r="C188" s="79">
        <v>1541859.1529999999</v>
      </c>
      <c r="D188" s="4">
        <v>441869.56900000002</v>
      </c>
      <c r="E188" s="79">
        <v>264497.15999999997</v>
      </c>
      <c r="F188" s="79">
        <f>SUM(BASE_DATOS[[#This Row],[Capital($)]:[Interés
Resarcitorio($)]])</f>
        <v>2248225.8820000002</v>
      </c>
      <c r="G188" s="8">
        <v>45742</v>
      </c>
      <c r="H188" s="80" t="s">
        <v>74</v>
      </c>
      <c r="I188" s="79" t="s">
        <v>7</v>
      </c>
      <c r="J188" s="81">
        <v>12</v>
      </c>
      <c r="K188" t="s">
        <v>47</v>
      </c>
    </row>
    <row r="189" spans="2:11" x14ac:dyDescent="0.25">
      <c r="B189" s="2">
        <v>6</v>
      </c>
      <c r="C189" s="79">
        <v>1591198.645</v>
      </c>
      <c r="D189" s="4">
        <v>392530.07699999999</v>
      </c>
      <c r="E189" s="79">
        <v>0</v>
      </c>
      <c r="F189" s="79">
        <f>SUM(BASE_DATOS[[#This Row],[Capital($)]:[Interés
Resarcitorio($)]])</f>
        <v>1983728.7220000001</v>
      </c>
      <c r="G189" s="8">
        <v>45763</v>
      </c>
      <c r="H189" s="80" t="s">
        <v>74</v>
      </c>
      <c r="I189" s="79" t="s">
        <v>9</v>
      </c>
      <c r="J189" s="81">
        <v>12</v>
      </c>
      <c r="K189" t="s">
        <v>47</v>
      </c>
    </row>
    <row r="190" spans="2:11" x14ac:dyDescent="0.25">
      <c r="B190" s="2">
        <v>6</v>
      </c>
      <c r="C190" s="79">
        <v>1591198.645</v>
      </c>
      <c r="D190" s="4">
        <v>392530.07699999999</v>
      </c>
      <c r="E190" s="79">
        <v>264497.15999999997</v>
      </c>
      <c r="F190" s="79">
        <f>SUM(BASE_DATOS[[#This Row],[Capital($)]:[Interés
Resarcitorio($)]])</f>
        <v>2248225.8820000002</v>
      </c>
      <c r="G190" s="8">
        <v>45773</v>
      </c>
      <c r="H190" s="80" t="s">
        <v>74</v>
      </c>
      <c r="I190" s="79" t="s">
        <v>7</v>
      </c>
      <c r="J190" s="81">
        <v>12</v>
      </c>
      <c r="K190" t="s">
        <v>47</v>
      </c>
    </row>
    <row r="191" spans="2:11" x14ac:dyDescent="0.25">
      <c r="B191" s="2">
        <v>7</v>
      </c>
      <c r="C191" s="79">
        <v>1642117.0019999999</v>
      </c>
      <c r="D191" s="4">
        <v>341611.72000000003</v>
      </c>
      <c r="E191" s="79">
        <v>0</v>
      </c>
      <c r="F191" s="79">
        <f>SUM(BASE_DATOS[[#This Row],[Capital($)]:[Interés
Resarcitorio($)]])</f>
        <v>1983728.7219999998</v>
      </c>
      <c r="G191" s="8">
        <v>45793</v>
      </c>
      <c r="H191" s="80" t="s">
        <v>74</v>
      </c>
      <c r="I191" s="79" t="s">
        <v>9</v>
      </c>
      <c r="J191" s="81">
        <v>12</v>
      </c>
      <c r="K191" t="s">
        <v>47</v>
      </c>
    </row>
    <row r="192" spans="2:11" x14ac:dyDescent="0.25">
      <c r="B192" s="2">
        <v>7</v>
      </c>
      <c r="C192" s="79">
        <v>1642117.0019999999</v>
      </c>
      <c r="D192" s="4">
        <v>341611.72000000003</v>
      </c>
      <c r="E192" s="79">
        <v>264497.15999999997</v>
      </c>
      <c r="F192" s="79">
        <f>SUM(BASE_DATOS[[#This Row],[Capital($)]:[Interés
Resarcitorio($)]])</f>
        <v>2248225.8819999998</v>
      </c>
      <c r="G192" s="8">
        <v>45803</v>
      </c>
      <c r="H192" s="80" t="s">
        <v>74</v>
      </c>
      <c r="I192" s="79" t="s">
        <v>7</v>
      </c>
      <c r="J192" s="81">
        <v>12</v>
      </c>
      <c r="K192" t="s">
        <v>47</v>
      </c>
    </row>
    <row r="193" spans="2:11" x14ac:dyDescent="0.25">
      <c r="B193" s="2">
        <v>8</v>
      </c>
      <c r="C193" s="79">
        <v>1694664.746</v>
      </c>
      <c r="D193" s="4">
        <v>289063.97599999997</v>
      </c>
      <c r="E193" s="79">
        <v>0</v>
      </c>
      <c r="F193" s="79">
        <f>SUM(BASE_DATOS[[#This Row],[Capital($)]:[Interés
Resarcitorio($)]])</f>
        <v>1983728.7220000001</v>
      </c>
      <c r="G193" s="8">
        <v>45824</v>
      </c>
      <c r="H193" s="80" t="s">
        <v>74</v>
      </c>
      <c r="I193" s="79" t="s">
        <v>9</v>
      </c>
      <c r="J193" s="81">
        <v>12</v>
      </c>
      <c r="K193" t="s">
        <v>47</v>
      </c>
    </row>
    <row r="194" spans="2:11" x14ac:dyDescent="0.25">
      <c r="B194" s="2">
        <v>8</v>
      </c>
      <c r="C194" s="79">
        <v>1694664.746</v>
      </c>
      <c r="D194" s="4">
        <v>289063.97599999997</v>
      </c>
      <c r="E194" s="79">
        <v>264497.15999999997</v>
      </c>
      <c r="F194" s="79">
        <f>SUM(BASE_DATOS[[#This Row],[Capital($)]:[Interés
Resarcitorio($)]])</f>
        <v>2248225.8820000002</v>
      </c>
      <c r="G194" s="8">
        <v>45834</v>
      </c>
      <c r="H194" s="80" t="s">
        <v>74</v>
      </c>
      <c r="I194" s="79" t="s">
        <v>7</v>
      </c>
      <c r="J194" s="81">
        <v>12</v>
      </c>
      <c r="K194" t="s">
        <v>47</v>
      </c>
    </row>
    <row r="195" spans="2:11" x14ac:dyDescent="0.25">
      <c r="B195" s="2">
        <v>9</v>
      </c>
      <c r="C195" s="79">
        <v>1748894.0179999999</v>
      </c>
      <c r="D195" s="4">
        <v>234834.704</v>
      </c>
      <c r="E195" s="79">
        <v>0</v>
      </c>
      <c r="F195" s="79">
        <f>SUM(BASE_DATOS[[#This Row],[Capital($)]:[Interés
Resarcitorio($)]])</f>
        <v>1983728.7219999998</v>
      </c>
      <c r="G195" s="8">
        <v>45854</v>
      </c>
      <c r="H195" s="80" t="s">
        <v>74</v>
      </c>
      <c r="I195" s="79" t="s">
        <v>6</v>
      </c>
      <c r="J195" s="81">
        <v>12</v>
      </c>
      <c r="K195" t="s">
        <v>47</v>
      </c>
    </row>
    <row r="196" spans="2:11" x14ac:dyDescent="0.25">
      <c r="B196" s="2">
        <v>9</v>
      </c>
      <c r="C196" s="79">
        <v>1748894.0179999999</v>
      </c>
      <c r="D196" s="4">
        <v>234834.704</v>
      </c>
      <c r="E196" s="79">
        <v>264497.15999999997</v>
      </c>
      <c r="F196" s="79">
        <f>SUM(BASE_DATOS[[#This Row],[Capital($)]:[Interés
Resarcitorio($)]])</f>
        <v>2248225.8819999998</v>
      </c>
      <c r="G196" s="8">
        <v>45864</v>
      </c>
      <c r="H196" s="80" t="s">
        <v>74</v>
      </c>
      <c r="I196" s="79" t="s">
        <v>7</v>
      </c>
      <c r="J196" s="81">
        <v>12</v>
      </c>
      <c r="K196" t="s">
        <v>47</v>
      </c>
    </row>
    <row r="197" spans="2:11" x14ac:dyDescent="0.25">
      <c r="B197" s="2">
        <v>10</v>
      </c>
      <c r="C197" s="79">
        <v>1804858.6269999999</v>
      </c>
      <c r="D197" s="4">
        <v>178870.095</v>
      </c>
      <c r="E197" s="79">
        <v>0</v>
      </c>
      <c r="F197" s="79">
        <f>SUM(BASE_DATOS[[#This Row],[Capital($)]:[Interés
Resarcitorio($)]])</f>
        <v>1983728.7219999998</v>
      </c>
      <c r="G197" s="8">
        <v>45885</v>
      </c>
      <c r="H197" s="80" t="s">
        <v>74</v>
      </c>
      <c r="I197" s="79" t="s">
        <v>6</v>
      </c>
      <c r="J197" s="81">
        <v>12</v>
      </c>
      <c r="K197" t="s">
        <v>47</v>
      </c>
    </row>
    <row r="198" spans="2:11" x14ac:dyDescent="0.25">
      <c r="B198" s="2">
        <v>10</v>
      </c>
      <c r="C198" s="79">
        <v>1804858.6269999999</v>
      </c>
      <c r="D198" s="4">
        <v>178870.095</v>
      </c>
      <c r="E198" s="79">
        <v>264497.15999999997</v>
      </c>
      <c r="F198" s="79">
        <f>SUM(BASE_DATOS[[#This Row],[Capital($)]:[Interés
Resarcitorio($)]])</f>
        <v>2248225.8819999998</v>
      </c>
      <c r="G198" s="8">
        <v>45895</v>
      </c>
      <c r="H198" s="80" t="s">
        <v>74</v>
      </c>
      <c r="I198" s="79" t="s">
        <v>7</v>
      </c>
      <c r="J198" s="81">
        <v>12</v>
      </c>
      <c r="K198" t="s">
        <v>47</v>
      </c>
    </row>
    <row r="199" spans="2:11" x14ac:dyDescent="0.25">
      <c r="B199" s="2">
        <v>11</v>
      </c>
      <c r="C199" s="79">
        <v>1862614.1030000001</v>
      </c>
      <c r="D199" s="4">
        <v>121114.61899999999</v>
      </c>
      <c r="E199" s="79">
        <v>0</v>
      </c>
      <c r="F199" s="79">
        <f>SUM(BASE_DATOS[[#This Row],[Capital($)]:[Interés
Resarcitorio($)]])</f>
        <v>1983728.7220000001</v>
      </c>
      <c r="G199" s="8">
        <v>45916</v>
      </c>
      <c r="H199" s="80" t="s">
        <v>74</v>
      </c>
      <c r="I199" s="79" t="s">
        <v>6</v>
      </c>
      <c r="J199" s="81">
        <v>12</v>
      </c>
      <c r="K199" t="s">
        <v>47</v>
      </c>
    </row>
    <row r="200" spans="2:11" x14ac:dyDescent="0.25">
      <c r="B200" s="2">
        <v>11</v>
      </c>
      <c r="C200" s="79">
        <v>1862614.1030000001</v>
      </c>
      <c r="D200" s="4">
        <v>121114.61899999999</v>
      </c>
      <c r="E200" s="79">
        <v>264497.15999999997</v>
      </c>
      <c r="F200" s="79">
        <f>SUM(BASE_DATOS[[#This Row],[Capital($)]:[Interés
Resarcitorio($)]])</f>
        <v>2248225.8820000002</v>
      </c>
      <c r="G200" s="8">
        <v>45926</v>
      </c>
      <c r="H200" s="80" t="s">
        <v>74</v>
      </c>
      <c r="I200" s="79" t="s">
        <v>7</v>
      </c>
      <c r="J200" s="81">
        <v>12</v>
      </c>
      <c r="K200" t="s">
        <v>47</v>
      </c>
    </row>
    <row r="201" spans="2:11" x14ac:dyDescent="0.25">
      <c r="B201" s="2">
        <v>12</v>
      </c>
      <c r="C201" s="79">
        <v>1922217.7519999999</v>
      </c>
      <c r="D201" s="4">
        <v>61510.969999999994</v>
      </c>
      <c r="E201" s="79">
        <v>0</v>
      </c>
      <c r="F201" s="79">
        <f>SUM(BASE_DATOS[[#This Row],[Capital($)]:[Interés
Resarcitorio($)]])</f>
        <v>1983728.7219999998</v>
      </c>
      <c r="G201" s="8">
        <v>45946</v>
      </c>
      <c r="H201" s="80" t="s">
        <v>74</v>
      </c>
      <c r="I201" s="79" t="s">
        <v>6</v>
      </c>
      <c r="J201" s="81">
        <v>12</v>
      </c>
      <c r="K201" t="s">
        <v>47</v>
      </c>
    </row>
    <row r="202" spans="2:11" x14ac:dyDescent="0.25">
      <c r="B202" s="2">
        <v>12</v>
      </c>
      <c r="C202" s="79">
        <v>1922217.7519999999</v>
      </c>
      <c r="D202" s="4">
        <v>61510.969999999994</v>
      </c>
      <c r="E202" s="79">
        <v>264497.15999999997</v>
      </c>
      <c r="F202" s="79">
        <f>SUM(BASE_DATOS[[#This Row],[Capital($)]:[Interés
Resarcitorio($)]])</f>
        <v>2248225.8819999998</v>
      </c>
      <c r="G202" s="8">
        <v>45956</v>
      </c>
      <c r="H202" s="80" t="s">
        <v>74</v>
      </c>
      <c r="I202" s="79" t="s">
        <v>7</v>
      </c>
      <c r="J202" s="81">
        <v>12</v>
      </c>
      <c r="K202" t="s">
        <v>47</v>
      </c>
    </row>
    <row r="203" spans="2:11" x14ac:dyDescent="0.25">
      <c r="B203" s="2">
        <v>1</v>
      </c>
      <c r="C203" s="82">
        <v>118388.497</v>
      </c>
      <c r="D203" s="82">
        <v>54380.525000000001</v>
      </c>
      <c r="E203" s="79">
        <v>0</v>
      </c>
      <c r="F203" s="79">
        <f>SUM(BASE_DATOS[[#This Row],[Capital($)]:[Interés
Resarcitorio($)]])</f>
        <v>172769.022</v>
      </c>
      <c r="G203" s="8">
        <v>45642</v>
      </c>
      <c r="H203" s="80" t="s">
        <v>75</v>
      </c>
      <c r="I203" s="79" t="s">
        <v>9</v>
      </c>
      <c r="J203" s="81">
        <v>12</v>
      </c>
      <c r="K203" t="s">
        <v>47</v>
      </c>
    </row>
    <row r="204" spans="2:11" x14ac:dyDescent="0.25">
      <c r="B204" s="2">
        <v>1</v>
      </c>
      <c r="C204" s="82">
        <v>118388.497</v>
      </c>
      <c r="D204" s="82">
        <v>54380.525000000001</v>
      </c>
      <c r="E204" s="79">
        <v>43019.49</v>
      </c>
      <c r="F204" s="79">
        <f>SUM(BASE_DATOS[[#This Row],[Capital($)]:[Interés
Resarcitorio($)]])</f>
        <v>215788.51199999999</v>
      </c>
      <c r="G204" s="8">
        <v>45652</v>
      </c>
      <c r="H204" s="80" t="s">
        <v>75</v>
      </c>
      <c r="I204" s="79" t="s">
        <v>7</v>
      </c>
      <c r="J204" s="81">
        <v>12</v>
      </c>
      <c r="K204" t="s">
        <v>47</v>
      </c>
    </row>
    <row r="205" spans="2:11" x14ac:dyDescent="0.25">
      <c r="B205" s="2">
        <v>2</v>
      </c>
      <c r="C205" s="82">
        <v>122176.929</v>
      </c>
      <c r="D205" s="82">
        <v>50592.093000000001</v>
      </c>
      <c r="E205" s="79">
        <v>0</v>
      </c>
      <c r="F205" s="79">
        <f>SUM(BASE_DATOS[[#This Row],[Capital($)]:[Interés
Resarcitorio($)]])</f>
        <v>172769.022</v>
      </c>
      <c r="G205" s="8">
        <v>45673</v>
      </c>
      <c r="H205" s="80" t="s">
        <v>75</v>
      </c>
      <c r="I205" s="79" t="s">
        <v>9</v>
      </c>
      <c r="J205" s="81">
        <v>12</v>
      </c>
      <c r="K205" t="s">
        <v>47</v>
      </c>
    </row>
    <row r="206" spans="2:11" x14ac:dyDescent="0.25">
      <c r="B206" s="2">
        <v>2</v>
      </c>
      <c r="C206" s="82">
        <v>122176.929</v>
      </c>
      <c r="D206" s="82">
        <v>50592.093000000001</v>
      </c>
      <c r="E206" s="79">
        <v>43019.49</v>
      </c>
      <c r="F206" s="79">
        <f>SUM(BASE_DATOS[[#This Row],[Capital($)]:[Interés
Resarcitorio($)]])</f>
        <v>215788.51199999999</v>
      </c>
      <c r="G206" s="8">
        <v>45683</v>
      </c>
      <c r="H206" s="80" t="s">
        <v>75</v>
      </c>
      <c r="I206" s="79" t="s">
        <v>7</v>
      </c>
      <c r="J206" s="81">
        <v>12</v>
      </c>
      <c r="K206" t="s">
        <v>47</v>
      </c>
    </row>
    <row r="207" spans="2:11" x14ac:dyDescent="0.25">
      <c r="B207" s="2">
        <v>3</v>
      </c>
      <c r="C207" s="82">
        <v>126086.59099999999</v>
      </c>
      <c r="D207" s="82">
        <v>46682.430999999997</v>
      </c>
      <c r="E207" s="79">
        <v>0</v>
      </c>
      <c r="F207" s="79">
        <f>SUM(BASE_DATOS[[#This Row],[Capital($)]:[Interés
Resarcitorio($)]])</f>
        <v>172769.022</v>
      </c>
      <c r="G207" s="8">
        <v>45704</v>
      </c>
      <c r="H207" s="80" t="s">
        <v>75</v>
      </c>
      <c r="I207" s="79" t="s">
        <v>9</v>
      </c>
      <c r="J207" s="81">
        <v>12</v>
      </c>
      <c r="K207" t="s">
        <v>47</v>
      </c>
    </row>
    <row r="208" spans="2:11" x14ac:dyDescent="0.25">
      <c r="B208" s="2">
        <v>3</v>
      </c>
      <c r="C208" s="82">
        <v>126086.59099999999</v>
      </c>
      <c r="D208" s="82">
        <v>46682.430999999997</v>
      </c>
      <c r="E208" s="79">
        <v>41810.1</v>
      </c>
      <c r="F208" s="79">
        <f>SUM(BASE_DATOS[[#This Row],[Capital($)]:[Interés
Resarcitorio($)]])</f>
        <v>214579.122</v>
      </c>
      <c r="G208" s="8">
        <v>45714</v>
      </c>
      <c r="H208" s="80" t="s">
        <v>75</v>
      </c>
      <c r="I208" s="79" t="s">
        <v>7</v>
      </c>
      <c r="J208" s="81">
        <v>12</v>
      </c>
      <c r="K208" t="s">
        <v>47</v>
      </c>
    </row>
    <row r="209" spans="2:11" x14ac:dyDescent="0.25">
      <c r="B209" s="2">
        <v>4</v>
      </c>
      <c r="C209" s="82">
        <v>130121.36200000001</v>
      </c>
      <c r="D209" s="82">
        <v>42647.659999999996</v>
      </c>
      <c r="E209" s="79">
        <v>0</v>
      </c>
      <c r="F209" s="79">
        <f>SUM(BASE_DATOS[[#This Row],[Capital($)]:[Interés
Resarcitorio($)]])</f>
        <v>172769.022</v>
      </c>
      <c r="G209" s="8">
        <v>45732</v>
      </c>
      <c r="H209" s="80" t="s">
        <v>75</v>
      </c>
      <c r="I209" s="79" t="s">
        <v>9</v>
      </c>
      <c r="J209" s="81">
        <v>12</v>
      </c>
      <c r="K209" t="s">
        <v>47</v>
      </c>
    </row>
    <row r="210" spans="2:11" x14ac:dyDescent="0.25">
      <c r="B210" s="2">
        <v>4</v>
      </c>
      <c r="C210" s="82">
        <v>130121.36200000001</v>
      </c>
      <c r="D210" s="82">
        <v>42647.659999999996</v>
      </c>
      <c r="E210" s="79">
        <v>23035.87</v>
      </c>
      <c r="F210" s="79">
        <f>SUM(BASE_DATOS[[#This Row],[Capital($)]:[Interés
Resarcitorio($)]])</f>
        <v>195804.89199999999</v>
      </c>
      <c r="G210" s="8">
        <v>45742</v>
      </c>
      <c r="H210" s="80" t="s">
        <v>75</v>
      </c>
      <c r="I210" s="79" t="s">
        <v>7</v>
      </c>
      <c r="J210" s="81">
        <v>12</v>
      </c>
      <c r="K210" t="s">
        <v>47</v>
      </c>
    </row>
    <row r="211" spans="2:11" x14ac:dyDescent="0.25">
      <c r="B211" s="2">
        <v>5</v>
      </c>
      <c r="C211" s="82">
        <v>134285.245</v>
      </c>
      <c r="D211" s="82">
        <v>38483.777000000002</v>
      </c>
      <c r="E211" s="79">
        <v>0</v>
      </c>
      <c r="F211" s="79">
        <f>SUM(BASE_DATOS[[#This Row],[Capital($)]:[Interés
Resarcitorio($)]])</f>
        <v>172769.022</v>
      </c>
      <c r="G211" s="8">
        <v>45763</v>
      </c>
      <c r="H211" s="80" t="s">
        <v>75</v>
      </c>
      <c r="I211" s="79" t="s">
        <v>9</v>
      </c>
      <c r="J211" s="81">
        <v>12</v>
      </c>
      <c r="K211" t="s">
        <v>47</v>
      </c>
    </row>
    <row r="212" spans="2:11" x14ac:dyDescent="0.25">
      <c r="B212" s="2">
        <v>5</v>
      </c>
      <c r="C212" s="82">
        <v>134285.245</v>
      </c>
      <c r="D212" s="82">
        <v>38483.777000000002</v>
      </c>
      <c r="E212" s="79">
        <v>23035.87</v>
      </c>
      <c r="F212" s="79">
        <f>SUM(BASE_DATOS[[#This Row],[Capital($)]:[Interés
Resarcitorio($)]])</f>
        <v>195804.89199999999</v>
      </c>
      <c r="G212" s="8">
        <v>45773</v>
      </c>
      <c r="H212" s="80" t="s">
        <v>75</v>
      </c>
      <c r="I212" s="79" t="s">
        <v>7</v>
      </c>
      <c r="J212" s="81">
        <v>12</v>
      </c>
      <c r="K212" t="s">
        <v>47</v>
      </c>
    </row>
    <row r="213" spans="2:11" x14ac:dyDescent="0.25">
      <c r="B213" s="2">
        <v>6</v>
      </c>
      <c r="C213" s="82">
        <v>138582.37299999999</v>
      </c>
      <c r="D213" s="82">
        <v>34186.648999999998</v>
      </c>
      <c r="E213" s="79">
        <v>0</v>
      </c>
      <c r="F213" s="79">
        <f>SUM(BASE_DATOS[[#This Row],[Capital($)]:[Interés
Resarcitorio($)]])</f>
        <v>172769.022</v>
      </c>
      <c r="G213" s="8">
        <v>45793</v>
      </c>
      <c r="H213" s="80" t="s">
        <v>75</v>
      </c>
      <c r="I213" s="79" t="s">
        <v>9</v>
      </c>
      <c r="J213" s="81">
        <v>12</v>
      </c>
      <c r="K213" t="s">
        <v>47</v>
      </c>
    </row>
    <row r="214" spans="2:11" x14ac:dyDescent="0.25">
      <c r="B214" s="2">
        <v>6</v>
      </c>
      <c r="C214" s="82">
        <v>138582.37299999999</v>
      </c>
      <c r="D214" s="82">
        <v>34186.648999999998</v>
      </c>
      <c r="E214" s="79">
        <v>23035.87</v>
      </c>
      <c r="F214" s="79">
        <f>SUM(BASE_DATOS[[#This Row],[Capital($)]:[Interés
Resarcitorio($)]])</f>
        <v>195804.89199999999</v>
      </c>
      <c r="G214" s="8">
        <v>45803</v>
      </c>
      <c r="H214" s="80" t="s">
        <v>75</v>
      </c>
      <c r="I214" s="79" t="s">
        <v>7</v>
      </c>
      <c r="J214" s="81">
        <v>12</v>
      </c>
      <c r="K214" t="s">
        <v>47</v>
      </c>
    </row>
    <row r="215" spans="2:11" x14ac:dyDescent="0.25">
      <c r="B215" s="2">
        <v>7</v>
      </c>
      <c r="C215" s="82">
        <v>143017.00900000002</v>
      </c>
      <c r="D215" s="82">
        <v>29752.012999999999</v>
      </c>
      <c r="E215" s="79">
        <v>0</v>
      </c>
      <c r="F215" s="79">
        <f>SUM(BASE_DATOS[[#This Row],[Capital($)]:[Interés
Resarcitorio($)]])</f>
        <v>172769.02200000003</v>
      </c>
      <c r="G215" s="8">
        <v>45824</v>
      </c>
      <c r="H215" s="80" t="s">
        <v>75</v>
      </c>
      <c r="I215" s="79" t="s">
        <v>9</v>
      </c>
      <c r="J215" s="81">
        <v>12</v>
      </c>
      <c r="K215" t="s">
        <v>47</v>
      </c>
    </row>
    <row r="216" spans="2:11" x14ac:dyDescent="0.25">
      <c r="B216" s="2">
        <v>7</v>
      </c>
      <c r="C216" s="82">
        <v>143017.00900000002</v>
      </c>
      <c r="D216" s="82">
        <v>29752.012999999999</v>
      </c>
      <c r="E216" s="79">
        <v>23035.87</v>
      </c>
      <c r="F216" s="79">
        <f>SUM(BASE_DATOS[[#This Row],[Capital($)]:[Interés
Resarcitorio($)]])</f>
        <v>195804.89200000002</v>
      </c>
      <c r="G216" s="8">
        <v>45834</v>
      </c>
      <c r="H216" s="80" t="s">
        <v>75</v>
      </c>
      <c r="I216" s="79" t="s">
        <v>7</v>
      </c>
      <c r="J216" s="81">
        <v>12</v>
      </c>
      <c r="K216" t="s">
        <v>47</v>
      </c>
    </row>
    <row r="217" spans="2:11" x14ac:dyDescent="0.25">
      <c r="B217" s="2">
        <v>8</v>
      </c>
      <c r="C217" s="82">
        <v>147593.55300000001</v>
      </c>
      <c r="D217" s="82">
        <v>25175.469000000001</v>
      </c>
      <c r="E217" s="79">
        <v>0</v>
      </c>
      <c r="F217" s="79">
        <f>SUM(BASE_DATOS[[#This Row],[Capital($)]:[Interés
Resarcitorio($)]])</f>
        <v>172769.02200000003</v>
      </c>
      <c r="G217" s="8">
        <v>45854</v>
      </c>
      <c r="H217" s="80" t="s">
        <v>75</v>
      </c>
      <c r="I217" s="79" t="s">
        <v>6</v>
      </c>
      <c r="J217" s="81">
        <v>12</v>
      </c>
      <c r="K217" t="s">
        <v>47</v>
      </c>
    </row>
    <row r="218" spans="2:11" x14ac:dyDescent="0.25">
      <c r="B218" s="2">
        <v>8</v>
      </c>
      <c r="C218" s="82">
        <v>147593.55300000001</v>
      </c>
      <c r="D218" s="82">
        <v>25175.469000000001</v>
      </c>
      <c r="E218" s="79">
        <v>23035.87</v>
      </c>
      <c r="F218" s="79">
        <f>SUM(BASE_DATOS[[#This Row],[Capital($)]:[Interés
Resarcitorio($)]])</f>
        <v>195804.89200000002</v>
      </c>
      <c r="G218" s="8">
        <v>45864</v>
      </c>
      <c r="H218" s="80" t="s">
        <v>75</v>
      </c>
      <c r="I218" s="79" t="s">
        <v>7</v>
      </c>
      <c r="J218" s="81">
        <v>12</v>
      </c>
      <c r="K218" t="s">
        <v>47</v>
      </c>
    </row>
    <row r="219" spans="2:11" x14ac:dyDescent="0.25">
      <c r="B219" s="2">
        <v>9</v>
      </c>
      <c r="C219" s="82">
        <v>152316.54699999999</v>
      </c>
      <c r="D219" s="82">
        <v>20452.474999999999</v>
      </c>
      <c r="E219" s="79">
        <v>0</v>
      </c>
      <c r="F219" s="79">
        <f>SUM(BASE_DATOS[[#This Row],[Capital($)]:[Interés
Resarcitorio($)]])</f>
        <v>172769.022</v>
      </c>
      <c r="G219" s="8">
        <v>45885</v>
      </c>
      <c r="H219" s="80" t="s">
        <v>75</v>
      </c>
      <c r="I219" s="79" t="s">
        <v>6</v>
      </c>
      <c r="J219" s="81">
        <v>12</v>
      </c>
      <c r="K219" t="s">
        <v>47</v>
      </c>
    </row>
    <row r="220" spans="2:11" x14ac:dyDescent="0.25">
      <c r="B220" s="2">
        <v>9</v>
      </c>
      <c r="C220" s="82">
        <v>152316.54699999999</v>
      </c>
      <c r="D220" s="82">
        <v>20452.474999999999</v>
      </c>
      <c r="E220" s="79">
        <v>23035.87</v>
      </c>
      <c r="F220" s="79">
        <f>SUM(BASE_DATOS[[#This Row],[Capital($)]:[Interés
Resarcitorio($)]])</f>
        <v>195804.89199999999</v>
      </c>
      <c r="G220" s="8">
        <v>45895</v>
      </c>
      <c r="H220" s="80" t="s">
        <v>75</v>
      </c>
      <c r="I220" s="79" t="s">
        <v>7</v>
      </c>
      <c r="J220" s="81">
        <v>12</v>
      </c>
      <c r="K220" t="s">
        <v>47</v>
      </c>
    </row>
    <row r="221" spans="2:11" x14ac:dyDescent="0.25">
      <c r="B221" s="2">
        <v>10</v>
      </c>
      <c r="C221" s="82">
        <v>157190.677</v>
      </c>
      <c r="D221" s="82">
        <v>15578.345000000001</v>
      </c>
      <c r="E221" s="79">
        <v>0</v>
      </c>
      <c r="F221" s="79">
        <f>SUM(BASE_DATOS[[#This Row],[Capital($)]:[Interés
Resarcitorio($)]])</f>
        <v>172769.022</v>
      </c>
      <c r="G221" s="8">
        <v>45916</v>
      </c>
      <c r="H221" s="80" t="s">
        <v>75</v>
      </c>
      <c r="I221" s="79" t="s">
        <v>6</v>
      </c>
      <c r="J221" s="81">
        <v>12</v>
      </c>
      <c r="K221" t="s">
        <v>47</v>
      </c>
    </row>
    <row r="222" spans="2:11" x14ac:dyDescent="0.25">
      <c r="B222" s="2">
        <v>10</v>
      </c>
      <c r="C222" s="82">
        <v>157190.677</v>
      </c>
      <c r="D222" s="82">
        <v>15578.345000000001</v>
      </c>
      <c r="E222" s="79">
        <v>23035.87</v>
      </c>
      <c r="F222" s="79">
        <f>SUM(BASE_DATOS[[#This Row],[Capital($)]:[Interés
Resarcitorio($)]])</f>
        <v>195804.89199999999</v>
      </c>
      <c r="G222" s="8">
        <v>45926</v>
      </c>
      <c r="H222" s="80" t="s">
        <v>75</v>
      </c>
      <c r="I222" s="79" t="s">
        <v>7</v>
      </c>
      <c r="J222" s="81">
        <v>12</v>
      </c>
      <c r="K222" t="s">
        <v>47</v>
      </c>
    </row>
    <row r="223" spans="2:11" x14ac:dyDescent="0.25">
      <c r="B223" s="2">
        <v>11</v>
      </c>
      <c r="C223" s="82">
        <v>162220.77799999999</v>
      </c>
      <c r="D223" s="82">
        <v>10548.244000000001</v>
      </c>
      <c r="E223" s="79">
        <v>0</v>
      </c>
      <c r="F223" s="79">
        <f>SUM(BASE_DATOS[[#This Row],[Capital($)]:[Interés
Resarcitorio($)]])</f>
        <v>172769.022</v>
      </c>
      <c r="G223" s="8">
        <v>45946</v>
      </c>
      <c r="H223" s="80" t="s">
        <v>75</v>
      </c>
      <c r="I223" s="79" t="s">
        <v>6</v>
      </c>
      <c r="J223" s="81">
        <v>12</v>
      </c>
      <c r="K223" t="s">
        <v>47</v>
      </c>
    </row>
    <row r="224" spans="2:11" x14ac:dyDescent="0.25">
      <c r="B224" s="2">
        <v>11</v>
      </c>
      <c r="C224" s="82">
        <v>162220.77799999999</v>
      </c>
      <c r="D224" s="82">
        <v>10548.244000000001</v>
      </c>
      <c r="E224" s="79">
        <v>23035.87</v>
      </c>
      <c r="F224" s="79">
        <f>SUM(BASE_DATOS[[#This Row],[Capital($)]:[Interés
Resarcitorio($)]])</f>
        <v>195804.89199999999</v>
      </c>
      <c r="G224" s="8">
        <v>45956</v>
      </c>
      <c r="H224" s="80" t="s">
        <v>75</v>
      </c>
      <c r="I224" s="79" t="s">
        <v>7</v>
      </c>
      <c r="J224" s="81">
        <v>12</v>
      </c>
      <c r="K224" t="s">
        <v>47</v>
      </c>
    </row>
    <row r="225" spans="2:11" x14ac:dyDescent="0.25">
      <c r="B225" s="2">
        <v>12</v>
      </c>
      <c r="C225" s="82">
        <v>167411.83899999998</v>
      </c>
      <c r="D225" s="82">
        <v>5357.183</v>
      </c>
      <c r="E225" s="79">
        <v>0</v>
      </c>
      <c r="F225" s="79">
        <f>SUM(BASE_DATOS[[#This Row],[Capital($)]:[Interés
Resarcitorio($)]])</f>
        <v>172769.02199999997</v>
      </c>
      <c r="G225" s="8">
        <v>45977</v>
      </c>
      <c r="H225" s="80" t="s">
        <v>75</v>
      </c>
      <c r="I225" s="79" t="s">
        <v>6</v>
      </c>
      <c r="J225" s="81">
        <v>12</v>
      </c>
      <c r="K225" t="s">
        <v>47</v>
      </c>
    </row>
    <row r="226" spans="2:11" x14ac:dyDescent="0.25">
      <c r="B226" s="2">
        <v>12</v>
      </c>
      <c r="C226" s="82">
        <v>167411.83899999998</v>
      </c>
      <c r="D226" s="82">
        <v>5357.183</v>
      </c>
      <c r="E226" s="79">
        <v>23035.87</v>
      </c>
      <c r="F226" s="79">
        <f>SUM(BASE_DATOS[[#This Row],[Capital($)]:[Interés
Resarcitorio($)]])</f>
        <v>195804.89199999996</v>
      </c>
      <c r="G226" s="8">
        <v>45987</v>
      </c>
      <c r="H226" s="80" t="s">
        <v>75</v>
      </c>
      <c r="I226" s="79" t="s">
        <v>7</v>
      </c>
      <c r="J226" s="81">
        <v>12</v>
      </c>
      <c r="K226" t="s">
        <v>47</v>
      </c>
    </row>
    <row r="227" spans="2:11" x14ac:dyDescent="0.25">
      <c r="B227" s="2">
        <v>1</v>
      </c>
      <c r="C227" s="79">
        <v>1339041.267</v>
      </c>
      <c r="D227" s="79">
        <v>615074.68099999998</v>
      </c>
      <c r="E227" s="79">
        <v>0</v>
      </c>
      <c r="F227" s="79">
        <f>SUM(BASE_DATOS[[#This Row],[Capital($)]:[Interés
Resarcitorio($)]])</f>
        <v>1954115.9479999999</v>
      </c>
      <c r="G227" s="8">
        <v>45642</v>
      </c>
      <c r="H227" s="80" t="s">
        <v>76</v>
      </c>
      <c r="I227" s="79" t="s">
        <v>9</v>
      </c>
      <c r="J227" s="81">
        <v>12</v>
      </c>
      <c r="K227" t="s">
        <v>47</v>
      </c>
    </row>
    <row r="228" spans="2:11" x14ac:dyDescent="0.25">
      <c r="B228" s="2">
        <v>1</v>
      </c>
      <c r="C228" s="79">
        <v>1339041.267</v>
      </c>
      <c r="D228" s="79">
        <v>615074.68099999998</v>
      </c>
      <c r="E228" s="79">
        <v>486574.87</v>
      </c>
      <c r="F228" s="79">
        <f>SUM(BASE_DATOS[[#This Row],[Capital($)]:[Interés
Resarcitorio($)]])</f>
        <v>2440690.818</v>
      </c>
      <c r="G228" s="8">
        <v>45652</v>
      </c>
      <c r="H228" s="80" t="s">
        <v>76</v>
      </c>
      <c r="I228" s="79" t="s">
        <v>7</v>
      </c>
      <c r="J228" s="81">
        <v>12</v>
      </c>
      <c r="K228" t="s">
        <v>47</v>
      </c>
    </row>
    <row r="229" spans="2:11" x14ac:dyDescent="0.25">
      <c r="B229" s="2">
        <v>2</v>
      </c>
      <c r="C229" s="79">
        <v>1381890.588</v>
      </c>
      <c r="D229" s="79">
        <v>572225.36</v>
      </c>
      <c r="E229" s="79">
        <v>0</v>
      </c>
      <c r="F229" s="79">
        <f>SUM(BASE_DATOS[[#This Row],[Capital($)]:[Interés
Resarcitorio($)]])</f>
        <v>1954115.9479999999</v>
      </c>
      <c r="G229" s="8">
        <v>45673</v>
      </c>
      <c r="H229" s="80" t="s">
        <v>76</v>
      </c>
      <c r="I229" s="79" t="s">
        <v>9</v>
      </c>
      <c r="J229" s="81">
        <v>12</v>
      </c>
      <c r="K229" t="s">
        <v>47</v>
      </c>
    </row>
    <row r="230" spans="2:11" x14ac:dyDescent="0.25">
      <c r="B230" s="2">
        <v>2</v>
      </c>
      <c r="C230" s="79">
        <v>1381890.588</v>
      </c>
      <c r="D230" s="79">
        <v>572225.36</v>
      </c>
      <c r="E230" s="79">
        <v>486574.87</v>
      </c>
      <c r="F230" s="79">
        <f>SUM(BASE_DATOS[[#This Row],[Capital($)]:[Interés
Resarcitorio($)]])</f>
        <v>2440690.818</v>
      </c>
      <c r="G230" s="8">
        <v>45683</v>
      </c>
      <c r="H230" s="80" t="s">
        <v>76</v>
      </c>
      <c r="I230" s="79" t="s">
        <v>7</v>
      </c>
      <c r="J230" s="81">
        <v>12</v>
      </c>
      <c r="K230" t="s">
        <v>47</v>
      </c>
    </row>
    <row r="231" spans="2:11" x14ac:dyDescent="0.25">
      <c r="B231" s="2">
        <v>3</v>
      </c>
      <c r="C231" s="79">
        <v>1426111.0869999998</v>
      </c>
      <c r="D231" s="79">
        <v>528004.86100000003</v>
      </c>
      <c r="E231" s="79">
        <v>0</v>
      </c>
      <c r="F231" s="79">
        <f>SUM(BASE_DATOS[[#This Row],[Capital($)]:[Interés
Resarcitorio($)]])</f>
        <v>1954115.9479999999</v>
      </c>
      <c r="G231" s="8">
        <v>45704</v>
      </c>
      <c r="H231" s="80" t="s">
        <v>76</v>
      </c>
      <c r="I231" s="79" t="s">
        <v>9</v>
      </c>
      <c r="J231" s="81">
        <v>12</v>
      </c>
      <c r="K231" t="s">
        <v>47</v>
      </c>
    </row>
    <row r="232" spans="2:11" x14ac:dyDescent="0.25">
      <c r="B232" s="2">
        <v>3</v>
      </c>
      <c r="C232" s="79">
        <v>1426111.0869999998</v>
      </c>
      <c r="D232" s="79">
        <v>528004.86100000003</v>
      </c>
      <c r="E232" s="79">
        <v>472896.06</v>
      </c>
      <c r="F232" s="79">
        <f>SUM(BASE_DATOS[[#This Row],[Capital($)]:[Interés
Resarcitorio($)]])</f>
        <v>2427012.0079999999</v>
      </c>
      <c r="G232" s="8">
        <v>45714</v>
      </c>
      <c r="H232" s="80" t="s">
        <v>76</v>
      </c>
      <c r="I232" s="79" t="s">
        <v>7</v>
      </c>
      <c r="J232" s="81">
        <v>12</v>
      </c>
      <c r="K232" t="s">
        <v>47</v>
      </c>
    </row>
    <row r="233" spans="2:11" x14ac:dyDescent="0.25">
      <c r="B233" s="2">
        <v>4</v>
      </c>
      <c r="C233" s="79">
        <v>1471746.642</v>
      </c>
      <c r="D233" s="79">
        <v>482369.30599999998</v>
      </c>
      <c r="E233" s="79">
        <v>0</v>
      </c>
      <c r="F233" s="79">
        <f>SUM(BASE_DATOS[[#This Row],[Capital($)]:[Interés
Resarcitorio($)]])</f>
        <v>1954115.9479999999</v>
      </c>
      <c r="G233" s="8">
        <v>45732</v>
      </c>
      <c r="H233" s="80" t="s">
        <v>76</v>
      </c>
      <c r="I233" s="79" t="s">
        <v>9</v>
      </c>
      <c r="J233" s="81">
        <v>12</v>
      </c>
      <c r="K233" t="s">
        <v>47</v>
      </c>
    </row>
    <row r="234" spans="2:11" x14ac:dyDescent="0.25">
      <c r="B234" s="2">
        <v>4</v>
      </c>
      <c r="C234" s="79">
        <v>1471746.642</v>
      </c>
      <c r="D234" s="79">
        <v>482369.30599999998</v>
      </c>
      <c r="E234" s="79">
        <v>260548.8</v>
      </c>
      <c r="F234" s="79">
        <f>SUM(BASE_DATOS[[#This Row],[Capital($)]:[Interés
Resarcitorio($)]])</f>
        <v>2214664.7479999997</v>
      </c>
      <c r="G234" s="8">
        <v>45742</v>
      </c>
      <c r="H234" s="80" t="s">
        <v>76</v>
      </c>
      <c r="I234" s="79" t="s">
        <v>7</v>
      </c>
      <c r="J234" s="81">
        <v>12</v>
      </c>
      <c r="K234" t="s">
        <v>47</v>
      </c>
    </row>
    <row r="235" spans="2:11" x14ac:dyDescent="0.25">
      <c r="B235" s="2">
        <v>5</v>
      </c>
      <c r="C235" s="79">
        <v>1518842.534</v>
      </c>
      <c r="D235" s="79">
        <v>435273.41399999999</v>
      </c>
      <c r="E235" s="79">
        <v>0</v>
      </c>
      <c r="F235" s="79">
        <f>SUM(BASE_DATOS[[#This Row],[Capital($)]:[Interés
Resarcitorio($)]])</f>
        <v>1954115.9479999999</v>
      </c>
      <c r="G235" s="8">
        <v>45763</v>
      </c>
      <c r="H235" s="80" t="s">
        <v>76</v>
      </c>
      <c r="I235" s="79" t="s">
        <v>9</v>
      </c>
      <c r="J235" s="81">
        <v>12</v>
      </c>
      <c r="K235" t="s">
        <v>47</v>
      </c>
    </row>
    <row r="236" spans="2:11" x14ac:dyDescent="0.25">
      <c r="B236" s="2">
        <v>5</v>
      </c>
      <c r="C236" s="79">
        <v>1518842.534</v>
      </c>
      <c r="D236" s="79">
        <v>435273.41399999999</v>
      </c>
      <c r="E236" s="79">
        <v>260548.8</v>
      </c>
      <c r="F236" s="79">
        <f>SUM(BASE_DATOS[[#This Row],[Capital($)]:[Interés
Resarcitorio($)]])</f>
        <v>2214664.7479999997</v>
      </c>
      <c r="G236" s="8">
        <v>45773</v>
      </c>
      <c r="H236" s="80" t="s">
        <v>76</v>
      </c>
      <c r="I236" s="79" t="s">
        <v>7</v>
      </c>
      <c r="J236" s="81">
        <v>12</v>
      </c>
      <c r="K236" t="s">
        <v>47</v>
      </c>
    </row>
    <row r="237" spans="2:11" x14ac:dyDescent="0.25">
      <c r="B237" s="2">
        <v>6</v>
      </c>
      <c r="C237" s="79">
        <v>1567445.4949999999</v>
      </c>
      <c r="D237" s="79">
        <v>386670.45299999998</v>
      </c>
      <c r="E237" s="79">
        <v>0</v>
      </c>
      <c r="F237" s="79">
        <f>SUM(BASE_DATOS[[#This Row],[Capital($)]:[Interés
Resarcitorio($)]])</f>
        <v>1954115.9479999999</v>
      </c>
      <c r="G237" s="8">
        <v>45793</v>
      </c>
      <c r="H237" s="80" t="s">
        <v>76</v>
      </c>
      <c r="I237" s="79" t="s">
        <v>9</v>
      </c>
      <c r="J237" s="81">
        <v>12</v>
      </c>
      <c r="K237" t="s">
        <v>47</v>
      </c>
    </row>
    <row r="238" spans="2:11" x14ac:dyDescent="0.25">
      <c r="B238" s="2">
        <v>6</v>
      </c>
      <c r="C238" s="79">
        <v>1567445.4949999999</v>
      </c>
      <c r="D238" s="79">
        <v>386670.45299999998</v>
      </c>
      <c r="E238" s="79">
        <v>260548.8</v>
      </c>
      <c r="F238" s="79">
        <f>SUM(BASE_DATOS[[#This Row],[Capital($)]:[Interés
Resarcitorio($)]])</f>
        <v>2214664.7479999997</v>
      </c>
      <c r="G238" s="8">
        <v>45803</v>
      </c>
      <c r="H238" s="80" t="s">
        <v>76</v>
      </c>
      <c r="I238" s="79" t="s">
        <v>7</v>
      </c>
      <c r="J238" s="81">
        <v>12</v>
      </c>
      <c r="K238" t="s">
        <v>47</v>
      </c>
    </row>
    <row r="239" spans="2:11" x14ac:dyDescent="0.25">
      <c r="B239" s="2">
        <v>7</v>
      </c>
      <c r="C239" s="79">
        <v>1617603.7509999999</v>
      </c>
      <c r="D239" s="79">
        <v>336512.19700000004</v>
      </c>
      <c r="E239" s="79">
        <v>0</v>
      </c>
      <c r="F239" s="79">
        <f>SUM(BASE_DATOS[[#This Row],[Capital($)]:[Interés
Resarcitorio($)]])</f>
        <v>1954115.9479999999</v>
      </c>
      <c r="G239" s="8">
        <v>45824</v>
      </c>
      <c r="H239" s="80" t="s">
        <v>76</v>
      </c>
      <c r="I239" s="79" t="s">
        <v>9</v>
      </c>
      <c r="J239" s="81">
        <v>12</v>
      </c>
      <c r="K239" t="s">
        <v>47</v>
      </c>
    </row>
    <row r="240" spans="2:11" x14ac:dyDescent="0.25">
      <c r="B240" s="2">
        <v>7</v>
      </c>
      <c r="C240" s="79">
        <v>1617603.7509999999</v>
      </c>
      <c r="D240" s="79">
        <v>336512.19700000004</v>
      </c>
      <c r="E240" s="79">
        <v>260548.8</v>
      </c>
      <c r="F240" s="79">
        <f>SUM(BASE_DATOS[[#This Row],[Capital($)]:[Interés
Resarcitorio($)]])</f>
        <v>2214664.7479999997</v>
      </c>
      <c r="G240" s="8">
        <v>45834</v>
      </c>
      <c r="H240" s="80" t="s">
        <v>76</v>
      </c>
      <c r="I240" s="79" t="s">
        <v>7</v>
      </c>
      <c r="J240" s="81">
        <v>12</v>
      </c>
      <c r="K240" t="s">
        <v>47</v>
      </c>
    </row>
    <row r="241" spans="2:11" x14ac:dyDescent="0.25">
      <c r="B241" s="2">
        <v>8</v>
      </c>
      <c r="C241" s="79">
        <v>1669367.071</v>
      </c>
      <c r="D241" s="79">
        <v>284748.87699999998</v>
      </c>
      <c r="E241" s="79">
        <v>0</v>
      </c>
      <c r="F241" s="79">
        <f>SUM(BASE_DATOS[[#This Row],[Capital($)]:[Interés
Resarcitorio($)]])</f>
        <v>1954115.9479999999</v>
      </c>
      <c r="G241" s="8">
        <v>45854</v>
      </c>
      <c r="H241" s="80" t="s">
        <v>76</v>
      </c>
      <c r="I241" s="79" t="s">
        <v>6</v>
      </c>
      <c r="J241" s="81">
        <v>12</v>
      </c>
      <c r="K241" t="s">
        <v>47</v>
      </c>
    </row>
    <row r="242" spans="2:11" x14ac:dyDescent="0.25">
      <c r="B242" s="2">
        <v>8</v>
      </c>
      <c r="C242" s="79">
        <v>1669367.071</v>
      </c>
      <c r="D242" s="79">
        <v>284748.87699999998</v>
      </c>
      <c r="E242" s="79">
        <v>260548.8</v>
      </c>
      <c r="F242" s="79">
        <f>SUM(BASE_DATOS[[#This Row],[Capital($)]:[Interés
Resarcitorio($)]])</f>
        <v>2214664.7479999997</v>
      </c>
      <c r="G242" s="8">
        <v>45864</v>
      </c>
      <c r="H242" s="80" t="s">
        <v>76</v>
      </c>
      <c r="I242" s="79" t="s">
        <v>7</v>
      </c>
      <c r="J242" s="81">
        <v>12</v>
      </c>
      <c r="K242" t="s">
        <v>47</v>
      </c>
    </row>
    <row r="243" spans="2:11" x14ac:dyDescent="0.25">
      <c r="B243" s="2">
        <v>9</v>
      </c>
      <c r="C243" s="79">
        <v>1722786.8170000003</v>
      </c>
      <c r="D243" s="79">
        <v>231329.13099999999</v>
      </c>
      <c r="E243" s="79">
        <v>0</v>
      </c>
      <c r="F243" s="79">
        <f>SUM(BASE_DATOS[[#This Row],[Capital($)]:[Interés
Resarcitorio($)]])</f>
        <v>1954115.9480000003</v>
      </c>
      <c r="G243" s="8">
        <v>45885</v>
      </c>
      <c r="H243" s="80" t="s">
        <v>76</v>
      </c>
      <c r="I243" s="79" t="s">
        <v>6</v>
      </c>
      <c r="J243" s="81">
        <v>12</v>
      </c>
      <c r="K243" t="s">
        <v>47</v>
      </c>
    </row>
    <row r="244" spans="2:11" x14ac:dyDescent="0.25">
      <c r="B244" s="2">
        <v>9</v>
      </c>
      <c r="C244" s="79">
        <v>1722786.8170000003</v>
      </c>
      <c r="D244" s="79">
        <v>231329.13099999999</v>
      </c>
      <c r="E244" s="79">
        <v>260548.8</v>
      </c>
      <c r="F244" s="79">
        <f>SUM(BASE_DATOS[[#This Row],[Capital($)]:[Interés
Resarcitorio($)]])</f>
        <v>2214664.7480000001</v>
      </c>
      <c r="G244" s="8">
        <v>45895</v>
      </c>
      <c r="H244" s="80" t="s">
        <v>76</v>
      </c>
      <c r="I244" s="79" t="s">
        <v>7</v>
      </c>
      <c r="J244" s="81">
        <v>12</v>
      </c>
      <c r="K244" t="s">
        <v>47</v>
      </c>
    </row>
    <row r="245" spans="2:11" x14ac:dyDescent="0.25">
      <c r="B245" s="2">
        <v>10</v>
      </c>
      <c r="C245" s="79">
        <v>1777915.996</v>
      </c>
      <c r="D245" s="79">
        <v>176199.95199999999</v>
      </c>
      <c r="E245" s="79">
        <v>0</v>
      </c>
      <c r="F245" s="79">
        <f>SUM(BASE_DATOS[[#This Row],[Capital($)]:[Interés
Resarcitorio($)]])</f>
        <v>1954115.9480000001</v>
      </c>
      <c r="G245" s="8">
        <v>45916</v>
      </c>
      <c r="H245" s="80" t="s">
        <v>76</v>
      </c>
      <c r="I245" s="79" t="s">
        <v>6</v>
      </c>
      <c r="J245" s="81">
        <v>12</v>
      </c>
      <c r="K245" t="s">
        <v>47</v>
      </c>
    </row>
    <row r="246" spans="2:11" x14ac:dyDescent="0.25">
      <c r="B246" s="2">
        <v>10</v>
      </c>
      <c r="C246" s="79">
        <v>1777915.996</v>
      </c>
      <c r="D246" s="79">
        <v>176199.95199999999</v>
      </c>
      <c r="E246" s="79">
        <v>260548.8</v>
      </c>
      <c r="F246" s="79">
        <f>SUM(BASE_DATOS[[#This Row],[Capital($)]:[Interés
Resarcitorio($)]])</f>
        <v>2214664.7480000001</v>
      </c>
      <c r="G246" s="8">
        <v>45926</v>
      </c>
      <c r="H246" s="80" t="s">
        <v>76</v>
      </c>
      <c r="I246" s="79" t="s">
        <v>7</v>
      </c>
      <c r="J246" s="81">
        <v>12</v>
      </c>
      <c r="K246" t="s">
        <v>47</v>
      </c>
    </row>
    <row r="247" spans="2:11" x14ac:dyDescent="0.25">
      <c r="B247" s="2">
        <v>11</v>
      </c>
      <c r="C247" s="79">
        <v>1834809.307</v>
      </c>
      <c r="D247" s="79">
        <v>119306.64099999999</v>
      </c>
      <c r="E247" s="79">
        <v>0</v>
      </c>
      <c r="F247" s="79">
        <f>SUM(BASE_DATOS[[#This Row],[Capital($)]:[Interés
Resarcitorio($)]])</f>
        <v>1954115.9480000001</v>
      </c>
      <c r="G247" s="8">
        <v>45946</v>
      </c>
      <c r="H247" s="80" t="s">
        <v>76</v>
      </c>
      <c r="I247" s="79" t="s">
        <v>6</v>
      </c>
      <c r="J247" s="81">
        <v>12</v>
      </c>
      <c r="K247" t="s">
        <v>47</v>
      </c>
    </row>
    <row r="248" spans="2:11" x14ac:dyDescent="0.25">
      <c r="B248" s="2">
        <v>11</v>
      </c>
      <c r="C248" s="79">
        <v>1834809.307</v>
      </c>
      <c r="D248" s="79">
        <v>119306.64099999999</v>
      </c>
      <c r="E248" s="79">
        <v>260548.8</v>
      </c>
      <c r="F248" s="79">
        <f>SUM(BASE_DATOS[[#This Row],[Capital($)]:[Interés
Resarcitorio($)]])</f>
        <v>2214664.7480000001</v>
      </c>
      <c r="G248" s="8">
        <v>45956</v>
      </c>
      <c r="H248" s="80" t="s">
        <v>76</v>
      </c>
      <c r="I248" s="79" t="s">
        <v>7</v>
      </c>
      <c r="J248" s="81">
        <v>12</v>
      </c>
      <c r="K248" t="s">
        <v>47</v>
      </c>
    </row>
    <row r="249" spans="2:11" x14ac:dyDescent="0.25">
      <c r="B249" s="2">
        <v>12</v>
      </c>
      <c r="C249" s="79">
        <v>1893523.2120000001</v>
      </c>
      <c r="D249" s="79">
        <v>60592.735999999997</v>
      </c>
      <c r="E249" s="79">
        <v>0</v>
      </c>
      <c r="F249" s="79">
        <f>SUM(BASE_DATOS[[#This Row],[Capital($)]:[Interés
Resarcitorio($)]])</f>
        <v>1954115.9480000001</v>
      </c>
      <c r="G249" s="8">
        <v>45977</v>
      </c>
      <c r="H249" s="80" t="s">
        <v>76</v>
      </c>
      <c r="I249" s="79" t="s">
        <v>6</v>
      </c>
      <c r="J249" s="81">
        <v>12</v>
      </c>
      <c r="K249" t="s">
        <v>47</v>
      </c>
    </row>
    <row r="250" spans="2:11" x14ac:dyDescent="0.25">
      <c r="B250" s="2">
        <v>12</v>
      </c>
      <c r="C250" s="79">
        <v>1893523.2120000001</v>
      </c>
      <c r="D250" s="79">
        <v>60592.735999999997</v>
      </c>
      <c r="E250" s="79">
        <v>260548.8</v>
      </c>
      <c r="F250" s="79">
        <f>SUM(BASE_DATOS[[#This Row],[Capital($)]:[Interés
Resarcitorio($)]])</f>
        <v>2214664.7480000001</v>
      </c>
      <c r="G250" s="8">
        <v>45987</v>
      </c>
      <c r="H250" s="80" t="s">
        <v>76</v>
      </c>
      <c r="I250" s="79" t="s">
        <v>7</v>
      </c>
      <c r="J250" s="81">
        <v>12</v>
      </c>
      <c r="K250" t="s">
        <v>47</v>
      </c>
    </row>
    <row r="251" spans="2:11" x14ac:dyDescent="0.25">
      <c r="B251" s="2">
        <v>1</v>
      </c>
      <c r="C251" s="4">
        <v>891335.25600000005</v>
      </c>
      <c r="D251" s="4">
        <v>491892.26100000006</v>
      </c>
      <c r="E251" s="79">
        <v>0</v>
      </c>
      <c r="F251" s="79">
        <f>SUM(BASE_DATOS[[#This Row],[Capital($)]:[Interés
Resarcitorio($)]])</f>
        <v>1383227.517</v>
      </c>
      <c r="G251" s="8">
        <v>45673</v>
      </c>
      <c r="H251" s="80" t="s">
        <v>78</v>
      </c>
      <c r="I251" s="79" t="s">
        <v>9</v>
      </c>
      <c r="J251" s="81">
        <v>12</v>
      </c>
      <c r="K251" t="s">
        <v>47</v>
      </c>
    </row>
    <row r="252" spans="2:11" x14ac:dyDescent="0.25">
      <c r="B252" s="2">
        <v>1</v>
      </c>
      <c r="C252" s="4">
        <v>891335.25600000005</v>
      </c>
      <c r="D252" s="4">
        <v>491892.26100000006</v>
      </c>
      <c r="E252" s="79">
        <v>344423.65</v>
      </c>
      <c r="F252" s="79">
        <f>SUM(BASE_DATOS[[#This Row],[Capital($)]:[Interés
Resarcitorio($)]])</f>
        <v>1727651.1669999999</v>
      </c>
      <c r="G252" s="8">
        <v>45683</v>
      </c>
      <c r="H252" s="80" t="s">
        <v>78</v>
      </c>
      <c r="I252" s="79" t="s">
        <v>7</v>
      </c>
      <c r="J252" s="81">
        <v>12</v>
      </c>
      <c r="K252" t="s">
        <v>47</v>
      </c>
    </row>
    <row r="253" spans="2:11" x14ac:dyDescent="0.25">
      <c r="B253" s="2">
        <v>2</v>
      </c>
      <c r="C253" s="4">
        <v>924582.06099999999</v>
      </c>
      <c r="D253" s="4">
        <v>458645.45599999995</v>
      </c>
      <c r="E253" s="79">
        <v>0</v>
      </c>
      <c r="F253" s="79">
        <f>SUM(BASE_DATOS[[#This Row],[Capital($)]:[Interés
Resarcitorio($)]])</f>
        <v>1383227.517</v>
      </c>
      <c r="G253" s="8">
        <v>45704</v>
      </c>
      <c r="H253" s="80" t="s">
        <v>78</v>
      </c>
      <c r="I253" s="79" t="s">
        <v>9</v>
      </c>
      <c r="J253" s="81">
        <v>12</v>
      </c>
      <c r="K253" t="s">
        <v>47</v>
      </c>
    </row>
    <row r="254" spans="2:11" x14ac:dyDescent="0.25">
      <c r="B254" s="2">
        <v>2</v>
      </c>
      <c r="C254" s="4">
        <v>924582.06099999999</v>
      </c>
      <c r="D254" s="4">
        <v>458645.45599999995</v>
      </c>
      <c r="E254" s="79">
        <v>334741.06</v>
      </c>
      <c r="F254" s="79">
        <f>SUM(BASE_DATOS[[#This Row],[Capital($)]:[Interés
Resarcitorio($)]])</f>
        <v>1717968.577</v>
      </c>
      <c r="G254" s="8">
        <v>45714</v>
      </c>
      <c r="H254" s="80" t="s">
        <v>78</v>
      </c>
      <c r="I254" s="79" t="s">
        <v>7</v>
      </c>
      <c r="J254" s="81">
        <v>12</v>
      </c>
      <c r="K254" t="s">
        <v>47</v>
      </c>
    </row>
    <row r="255" spans="2:11" x14ac:dyDescent="0.25">
      <c r="B255" s="2">
        <v>3</v>
      </c>
      <c r="C255" s="4">
        <v>959068.97200000007</v>
      </c>
      <c r="D255" s="4">
        <v>424158.54500000004</v>
      </c>
      <c r="E255" s="79">
        <v>0</v>
      </c>
      <c r="F255" s="79">
        <f>SUM(BASE_DATOS[[#This Row],[Capital($)]:[Interés
Resarcitorio($)]])</f>
        <v>1383227.517</v>
      </c>
      <c r="G255" s="8">
        <v>45732</v>
      </c>
      <c r="H255" s="80" t="s">
        <v>78</v>
      </c>
      <c r="I255" s="79" t="s">
        <v>9</v>
      </c>
      <c r="J255" s="81">
        <v>12</v>
      </c>
      <c r="K255" t="s">
        <v>47</v>
      </c>
    </row>
    <row r="256" spans="2:11" x14ac:dyDescent="0.25">
      <c r="B256" s="2">
        <v>3</v>
      </c>
      <c r="C256" s="4">
        <v>959068.97200000007</v>
      </c>
      <c r="D256" s="4">
        <v>424158.54500000004</v>
      </c>
      <c r="E256" s="79">
        <v>184430.34</v>
      </c>
      <c r="F256" s="79">
        <f>SUM(BASE_DATOS[[#This Row],[Capital($)]:[Interés
Resarcitorio($)]])</f>
        <v>1567657.8570000001</v>
      </c>
      <c r="G256" s="8">
        <v>45742</v>
      </c>
      <c r="H256" s="80" t="s">
        <v>78</v>
      </c>
      <c r="I256" s="79" t="s">
        <v>7</v>
      </c>
      <c r="J256" s="81">
        <v>12</v>
      </c>
      <c r="K256" t="s">
        <v>47</v>
      </c>
    </row>
    <row r="257" spans="2:11" x14ac:dyDescent="0.25">
      <c r="B257" s="2">
        <v>4</v>
      </c>
      <c r="C257" s="4">
        <v>994842.24499999988</v>
      </c>
      <c r="D257" s="4">
        <v>388385.272</v>
      </c>
      <c r="E257" s="79">
        <v>0</v>
      </c>
      <c r="F257" s="79">
        <f>SUM(BASE_DATOS[[#This Row],[Capital($)]:[Interés
Resarcitorio($)]])</f>
        <v>1383227.517</v>
      </c>
      <c r="G257" s="8">
        <v>45763</v>
      </c>
      <c r="H257" s="80" t="s">
        <v>78</v>
      </c>
      <c r="I257" s="79" t="s">
        <v>9</v>
      </c>
      <c r="J257" s="81">
        <v>12</v>
      </c>
      <c r="K257" t="s">
        <v>47</v>
      </c>
    </row>
    <row r="258" spans="2:11" x14ac:dyDescent="0.25">
      <c r="B258" s="2">
        <v>4</v>
      </c>
      <c r="C258" s="4">
        <v>994842.24499999988</v>
      </c>
      <c r="D258" s="4">
        <v>388385.272</v>
      </c>
      <c r="E258" s="79">
        <v>184430.34</v>
      </c>
      <c r="F258" s="79">
        <f>SUM(BASE_DATOS[[#This Row],[Capital($)]:[Interés
Resarcitorio($)]])</f>
        <v>1567657.8570000001</v>
      </c>
      <c r="G258" s="8">
        <v>45773</v>
      </c>
      <c r="H258" s="80" t="s">
        <v>78</v>
      </c>
      <c r="I258" s="79" t="s">
        <v>7</v>
      </c>
      <c r="J258" s="81">
        <v>12</v>
      </c>
      <c r="K258" t="s">
        <v>47</v>
      </c>
    </row>
    <row r="259" spans="2:11" x14ac:dyDescent="0.25">
      <c r="B259" s="2">
        <v>5</v>
      </c>
      <c r="C259" s="4">
        <v>1031949.8609999999</v>
      </c>
      <c r="D259" s="4">
        <v>351277.65600000002</v>
      </c>
      <c r="E259" s="79">
        <v>0</v>
      </c>
      <c r="F259" s="79">
        <f>SUM(BASE_DATOS[[#This Row],[Capital($)]:[Interés
Resarcitorio($)]])</f>
        <v>1383227.517</v>
      </c>
      <c r="G259" s="8">
        <v>45793</v>
      </c>
      <c r="H259" s="80" t="s">
        <v>78</v>
      </c>
      <c r="I259" s="79" t="s">
        <v>9</v>
      </c>
      <c r="J259" s="81">
        <v>12</v>
      </c>
      <c r="K259" t="s">
        <v>47</v>
      </c>
    </row>
    <row r="260" spans="2:11" x14ac:dyDescent="0.25">
      <c r="B260" s="2">
        <v>5</v>
      </c>
      <c r="C260" s="4">
        <v>1031949.8609999999</v>
      </c>
      <c r="D260" s="4">
        <v>351277.65600000002</v>
      </c>
      <c r="E260" s="79">
        <v>184430.34</v>
      </c>
      <c r="F260" s="79">
        <f>SUM(BASE_DATOS[[#This Row],[Capital($)]:[Interés
Resarcitorio($)]])</f>
        <v>1567657.8570000001</v>
      </c>
      <c r="G260" s="8">
        <v>45803</v>
      </c>
      <c r="H260" s="80" t="s">
        <v>78</v>
      </c>
      <c r="I260" s="79" t="s">
        <v>7</v>
      </c>
      <c r="J260" s="81">
        <v>12</v>
      </c>
      <c r="K260" t="s">
        <v>47</v>
      </c>
    </row>
    <row r="261" spans="2:11" x14ac:dyDescent="0.25">
      <c r="B261" s="2">
        <v>6</v>
      </c>
      <c r="C261" s="4">
        <v>1070441.5900000001</v>
      </c>
      <c r="D261" s="4">
        <v>312785.92700000003</v>
      </c>
      <c r="E261" s="79">
        <v>0</v>
      </c>
      <c r="F261" s="79">
        <f>SUM(BASE_DATOS[[#This Row],[Capital($)]:[Interés
Resarcitorio($)]])</f>
        <v>1383227.517</v>
      </c>
      <c r="G261" s="8">
        <v>45824</v>
      </c>
      <c r="H261" s="80" t="s">
        <v>78</v>
      </c>
      <c r="I261" s="79" t="s">
        <v>9</v>
      </c>
      <c r="J261" s="81">
        <v>12</v>
      </c>
      <c r="K261" t="s">
        <v>47</v>
      </c>
    </row>
    <row r="262" spans="2:11" x14ac:dyDescent="0.25">
      <c r="B262" s="2">
        <v>6</v>
      </c>
      <c r="C262" s="4">
        <v>1070441.5900000001</v>
      </c>
      <c r="D262" s="4">
        <v>312785.92700000003</v>
      </c>
      <c r="E262" s="79">
        <v>184430.34</v>
      </c>
      <c r="F262" s="79">
        <f>SUM(BASE_DATOS[[#This Row],[Capital($)]:[Interés
Resarcitorio($)]])</f>
        <v>1567657.8570000001</v>
      </c>
      <c r="G262" s="8">
        <v>45834</v>
      </c>
      <c r="H262" s="80" t="s">
        <v>78</v>
      </c>
      <c r="I262" s="79" t="s">
        <v>7</v>
      </c>
      <c r="J262" s="81">
        <v>12</v>
      </c>
      <c r="K262" t="s">
        <v>47</v>
      </c>
    </row>
    <row r="263" spans="2:11" x14ac:dyDescent="0.25">
      <c r="B263" s="2">
        <v>7</v>
      </c>
      <c r="C263" s="4">
        <v>1110369.0619999999</v>
      </c>
      <c r="D263" s="4">
        <v>272858.45499999996</v>
      </c>
      <c r="E263" s="79">
        <v>0</v>
      </c>
      <c r="F263" s="79">
        <f>SUM(BASE_DATOS[[#This Row],[Capital($)]:[Interés
Resarcitorio($)]])</f>
        <v>1383227.517</v>
      </c>
      <c r="G263" s="8">
        <v>45854</v>
      </c>
      <c r="H263" s="80" t="s">
        <v>78</v>
      </c>
      <c r="I263" s="79" t="s">
        <v>6</v>
      </c>
      <c r="J263" s="81">
        <v>12</v>
      </c>
      <c r="K263" t="s">
        <v>47</v>
      </c>
    </row>
    <row r="264" spans="2:11" x14ac:dyDescent="0.25">
      <c r="B264" s="2">
        <v>7</v>
      </c>
      <c r="C264" s="4">
        <v>1110369.0619999999</v>
      </c>
      <c r="D264" s="4">
        <v>272858.45499999996</v>
      </c>
      <c r="E264" s="79">
        <v>184430.34</v>
      </c>
      <c r="F264" s="79">
        <f>SUM(BASE_DATOS[[#This Row],[Capital($)]:[Interés
Resarcitorio($)]])</f>
        <v>1567657.8570000001</v>
      </c>
      <c r="G264" s="8">
        <v>45864</v>
      </c>
      <c r="H264" s="80" t="s">
        <v>78</v>
      </c>
      <c r="I264" s="79" t="s">
        <v>7</v>
      </c>
      <c r="J264" s="81">
        <v>12</v>
      </c>
      <c r="K264" t="s">
        <v>47</v>
      </c>
    </row>
    <row r="265" spans="2:11" x14ac:dyDescent="0.25">
      <c r="B265" s="2">
        <v>8</v>
      </c>
      <c r="C265" s="4">
        <v>1151785.828</v>
      </c>
      <c r="D265" s="4">
        <v>231441.68900000001</v>
      </c>
      <c r="E265" s="79">
        <v>0</v>
      </c>
      <c r="F265" s="79">
        <f>SUM(BASE_DATOS[[#This Row],[Capital($)]:[Interés
Resarcitorio($)]])</f>
        <v>1383227.517</v>
      </c>
      <c r="G265" s="8">
        <v>45885</v>
      </c>
      <c r="H265" s="80" t="s">
        <v>78</v>
      </c>
      <c r="I265" s="79" t="s">
        <v>6</v>
      </c>
      <c r="J265" s="81">
        <v>12</v>
      </c>
      <c r="K265" t="s">
        <v>47</v>
      </c>
    </row>
    <row r="266" spans="2:11" x14ac:dyDescent="0.25">
      <c r="B266" s="2">
        <v>8</v>
      </c>
      <c r="C266" s="4">
        <v>1151785.828</v>
      </c>
      <c r="D266" s="4">
        <v>231441.68900000001</v>
      </c>
      <c r="E266" s="79">
        <v>184430.34</v>
      </c>
      <c r="F266" s="79">
        <f>SUM(BASE_DATOS[[#This Row],[Capital($)]:[Interés
Resarcitorio($)]])</f>
        <v>1567657.8570000001</v>
      </c>
      <c r="G266" s="8">
        <v>45895</v>
      </c>
      <c r="H266" s="80" t="s">
        <v>78</v>
      </c>
      <c r="I266" s="79" t="s">
        <v>7</v>
      </c>
      <c r="J266" s="81">
        <v>12</v>
      </c>
      <c r="K266" t="s">
        <v>47</v>
      </c>
    </row>
    <row r="267" spans="2:11" x14ac:dyDescent="0.25">
      <c r="B267" s="2">
        <v>9</v>
      </c>
      <c r="C267" s="4">
        <v>1194747.439</v>
      </c>
      <c r="D267" s="4">
        <v>188480.07800000001</v>
      </c>
      <c r="E267" s="79">
        <v>0</v>
      </c>
      <c r="F267" s="79">
        <f>SUM(BASE_DATOS[[#This Row],[Capital($)]:[Interés
Resarcitorio($)]])</f>
        <v>1383227.517</v>
      </c>
      <c r="G267" s="8">
        <v>45916</v>
      </c>
      <c r="H267" s="80" t="s">
        <v>78</v>
      </c>
      <c r="I267" s="79" t="s">
        <v>6</v>
      </c>
      <c r="J267" s="81">
        <v>12</v>
      </c>
      <c r="K267" t="s">
        <v>47</v>
      </c>
    </row>
    <row r="268" spans="2:11" x14ac:dyDescent="0.25">
      <c r="B268" s="2">
        <v>9</v>
      </c>
      <c r="C268" s="4">
        <v>1194747.439</v>
      </c>
      <c r="D268" s="4">
        <v>188480.07800000001</v>
      </c>
      <c r="E268" s="79">
        <v>184430.34</v>
      </c>
      <c r="F268" s="79">
        <f>SUM(BASE_DATOS[[#This Row],[Capital($)]:[Interés
Resarcitorio($)]])</f>
        <v>1567657.8570000001</v>
      </c>
      <c r="G268" s="8">
        <v>45926</v>
      </c>
      <c r="H268" s="80" t="s">
        <v>78</v>
      </c>
      <c r="I268" s="79" t="s">
        <v>7</v>
      </c>
      <c r="J268" s="81">
        <v>12</v>
      </c>
      <c r="K268" t="s">
        <v>47</v>
      </c>
    </row>
    <row r="269" spans="2:11" x14ac:dyDescent="0.25">
      <c r="B269" s="2">
        <v>10</v>
      </c>
      <c r="C269" s="4">
        <v>1239311.5189999999</v>
      </c>
      <c r="D269" s="4">
        <v>143915.99799999999</v>
      </c>
      <c r="E269" s="79">
        <v>0</v>
      </c>
      <c r="F269" s="79">
        <f>SUM(BASE_DATOS[[#This Row],[Capital($)]:[Interés
Resarcitorio($)]])</f>
        <v>1383227.5169999998</v>
      </c>
      <c r="G269" s="8">
        <v>45946</v>
      </c>
      <c r="H269" s="80" t="s">
        <v>78</v>
      </c>
      <c r="I269" s="79" t="s">
        <v>6</v>
      </c>
      <c r="J269" s="81">
        <v>12</v>
      </c>
      <c r="K269" t="s">
        <v>47</v>
      </c>
    </row>
    <row r="270" spans="2:11" x14ac:dyDescent="0.25">
      <c r="B270" s="2">
        <v>10</v>
      </c>
      <c r="C270" s="4">
        <v>1239311.5189999999</v>
      </c>
      <c r="D270" s="4">
        <v>143915.99799999999</v>
      </c>
      <c r="E270" s="79">
        <v>184430.34</v>
      </c>
      <c r="F270" s="79">
        <f>SUM(BASE_DATOS[[#This Row],[Capital($)]:[Interés
Resarcitorio($)]])</f>
        <v>1567657.8569999998</v>
      </c>
      <c r="G270" s="8">
        <v>45956</v>
      </c>
      <c r="H270" s="80" t="s">
        <v>78</v>
      </c>
      <c r="I270" s="79" t="s">
        <v>7</v>
      </c>
      <c r="J270" s="81">
        <v>12</v>
      </c>
      <c r="K270" t="s">
        <v>47</v>
      </c>
    </row>
    <row r="271" spans="2:11" x14ac:dyDescent="0.25">
      <c r="B271" s="2">
        <v>11</v>
      </c>
      <c r="C271" s="4">
        <v>1285537.838</v>
      </c>
      <c r="D271" s="4">
        <v>97689.679000000004</v>
      </c>
      <c r="E271" s="79">
        <v>0</v>
      </c>
      <c r="F271" s="79">
        <f>SUM(BASE_DATOS[[#This Row],[Capital($)]:[Interés
Resarcitorio($)]])</f>
        <v>1383227.517</v>
      </c>
      <c r="G271" s="8">
        <v>45977</v>
      </c>
      <c r="H271" s="80" t="s">
        <v>78</v>
      </c>
      <c r="I271" s="79" t="s">
        <v>6</v>
      </c>
      <c r="J271" s="81">
        <v>12</v>
      </c>
      <c r="K271" t="s">
        <v>47</v>
      </c>
    </row>
    <row r="272" spans="2:11" x14ac:dyDescent="0.25">
      <c r="B272" s="2">
        <v>11</v>
      </c>
      <c r="C272" s="4">
        <v>1285537.838</v>
      </c>
      <c r="D272" s="4">
        <v>97689.679000000004</v>
      </c>
      <c r="E272" s="79">
        <v>184430.34</v>
      </c>
      <c r="F272" s="79">
        <f>SUM(BASE_DATOS[[#This Row],[Capital($)]:[Interés
Resarcitorio($)]])</f>
        <v>1567657.8570000001</v>
      </c>
      <c r="G272" s="8">
        <v>45987</v>
      </c>
      <c r="H272" s="80" t="s">
        <v>78</v>
      </c>
      <c r="I272" s="79" t="s">
        <v>7</v>
      </c>
      <c r="J272" s="81">
        <v>12</v>
      </c>
      <c r="K272" t="s">
        <v>47</v>
      </c>
    </row>
    <row r="273" spans="2:11" x14ac:dyDescent="0.25">
      <c r="B273" s="2">
        <v>12</v>
      </c>
      <c r="C273" s="4">
        <v>1333488.4039999999</v>
      </c>
      <c r="D273" s="4">
        <v>49739.112999999998</v>
      </c>
      <c r="E273" s="79">
        <v>0</v>
      </c>
      <c r="F273" s="79">
        <f>SUM(BASE_DATOS[[#This Row],[Capital($)]:[Interés
Resarcitorio($)]])</f>
        <v>1383227.5169999998</v>
      </c>
      <c r="G273" s="8">
        <v>46007</v>
      </c>
      <c r="H273" s="80" t="s">
        <v>78</v>
      </c>
      <c r="I273" s="79" t="s">
        <v>6</v>
      </c>
      <c r="J273" s="81">
        <v>12</v>
      </c>
      <c r="K273" t="s">
        <v>47</v>
      </c>
    </row>
    <row r="274" spans="2:11" x14ac:dyDescent="0.25">
      <c r="B274" s="2">
        <v>12</v>
      </c>
      <c r="C274" s="4">
        <v>1333488.4039999999</v>
      </c>
      <c r="D274" s="4">
        <v>49739.112999999998</v>
      </c>
      <c r="E274" s="79">
        <v>184430.34</v>
      </c>
      <c r="F274" s="79">
        <f>SUM(BASE_DATOS[[#This Row],[Capital($)]:[Interés
Resarcitorio($)]])</f>
        <v>1567657.8569999998</v>
      </c>
      <c r="G274" s="8">
        <v>46017</v>
      </c>
      <c r="H274" s="80" t="s">
        <v>78</v>
      </c>
      <c r="I274" s="79" t="s">
        <v>7</v>
      </c>
      <c r="J274" s="81">
        <v>12</v>
      </c>
      <c r="K274" t="s">
        <v>47</v>
      </c>
    </row>
    <row r="275" spans="2:11" x14ac:dyDescent="0.25">
      <c r="B275" s="2">
        <v>1</v>
      </c>
      <c r="C275" s="4">
        <v>432547.82400000002</v>
      </c>
      <c r="D275" s="4">
        <v>238705.83599999998</v>
      </c>
      <c r="E275" s="79">
        <v>0</v>
      </c>
      <c r="F275" s="79">
        <f>SUM(BASE_DATOS[[#This Row],[Capital($)]:[Interés
Resarcitorio($)]])</f>
        <v>671253.66</v>
      </c>
      <c r="G275" s="8">
        <v>45704</v>
      </c>
      <c r="H275" s="80" t="s">
        <v>80</v>
      </c>
      <c r="I275" s="79" t="s">
        <v>9</v>
      </c>
      <c r="J275" s="81">
        <v>12</v>
      </c>
      <c r="K275" t="s">
        <v>47</v>
      </c>
    </row>
    <row r="276" spans="2:11" x14ac:dyDescent="0.25">
      <c r="B276" s="2">
        <v>1</v>
      </c>
      <c r="C276" s="4">
        <v>432547.82400000002</v>
      </c>
      <c r="D276" s="4">
        <v>238705.83599999998</v>
      </c>
      <c r="E276" s="79">
        <v>162443.39000000001</v>
      </c>
      <c r="F276" s="79">
        <f>SUM(BASE_DATOS[[#This Row],[Capital($)]:[Interés
Resarcitorio($)]])</f>
        <v>833697.05</v>
      </c>
      <c r="G276" s="8">
        <v>45714</v>
      </c>
      <c r="H276" s="80" t="s">
        <v>80</v>
      </c>
      <c r="I276" s="79" t="s">
        <v>7</v>
      </c>
      <c r="J276" s="81">
        <v>12</v>
      </c>
      <c r="K276" t="s">
        <v>47</v>
      </c>
    </row>
    <row r="277" spans="2:11" x14ac:dyDescent="0.25">
      <c r="B277" s="2">
        <v>2</v>
      </c>
      <c r="C277" s="4">
        <v>448681.85800000001</v>
      </c>
      <c r="D277" s="4">
        <v>222571.802</v>
      </c>
      <c r="E277" s="79">
        <v>0</v>
      </c>
      <c r="F277" s="79">
        <f>SUM(BASE_DATOS[[#This Row],[Capital($)]:[Interés
Resarcitorio($)]])</f>
        <v>671253.66</v>
      </c>
      <c r="G277" s="8">
        <v>45732</v>
      </c>
      <c r="H277" s="80" t="s">
        <v>80</v>
      </c>
      <c r="I277" s="79" t="s">
        <v>9</v>
      </c>
      <c r="J277" s="81">
        <v>12</v>
      </c>
      <c r="K277" t="s">
        <v>47</v>
      </c>
    </row>
    <row r="278" spans="2:11" x14ac:dyDescent="0.25">
      <c r="B278" s="2">
        <v>2</v>
      </c>
      <c r="C278" s="4">
        <v>448681.85800000001</v>
      </c>
      <c r="D278" s="4">
        <v>222571.802</v>
      </c>
      <c r="E278" s="79">
        <v>89500.49</v>
      </c>
      <c r="F278" s="79">
        <f>SUM(BASE_DATOS[[#This Row],[Capital($)]:[Interés
Resarcitorio($)]])</f>
        <v>760754.15</v>
      </c>
      <c r="G278" s="8">
        <v>45742</v>
      </c>
      <c r="H278" s="80" t="s">
        <v>80</v>
      </c>
      <c r="I278" s="79" t="s">
        <v>7</v>
      </c>
      <c r="J278" s="81">
        <v>12</v>
      </c>
      <c r="K278" t="s">
        <v>47</v>
      </c>
    </row>
    <row r="279" spans="2:11" x14ac:dyDescent="0.25">
      <c r="B279" s="2">
        <v>3</v>
      </c>
      <c r="C279" s="4">
        <v>465417.69199999998</v>
      </c>
      <c r="D279" s="4">
        <v>205835.96799999999</v>
      </c>
      <c r="E279" s="79">
        <v>0</v>
      </c>
      <c r="F279" s="79">
        <f>SUM(BASE_DATOS[[#This Row],[Capital($)]:[Interés
Resarcitorio($)]])</f>
        <v>671253.65999999992</v>
      </c>
      <c r="G279" s="8">
        <v>45763</v>
      </c>
      <c r="H279" s="80" t="s">
        <v>80</v>
      </c>
      <c r="I279" s="79" t="s">
        <v>9</v>
      </c>
      <c r="J279" s="81">
        <v>12</v>
      </c>
      <c r="K279" t="s">
        <v>47</v>
      </c>
    </row>
    <row r="280" spans="2:11" x14ac:dyDescent="0.25">
      <c r="B280" s="2">
        <v>3</v>
      </c>
      <c r="C280" s="4">
        <v>465417.69199999998</v>
      </c>
      <c r="D280" s="4">
        <v>205835.96799999999</v>
      </c>
      <c r="E280" s="79">
        <v>89500.49</v>
      </c>
      <c r="F280" s="79">
        <f>SUM(BASE_DATOS[[#This Row],[Capital($)]:[Interés
Resarcitorio($)]])</f>
        <v>760754.14999999991</v>
      </c>
      <c r="G280" s="8">
        <v>45773</v>
      </c>
      <c r="H280" s="80" t="s">
        <v>80</v>
      </c>
      <c r="I280" s="79" t="s">
        <v>7</v>
      </c>
      <c r="J280" s="81">
        <v>12</v>
      </c>
      <c r="K280" t="s">
        <v>47</v>
      </c>
    </row>
    <row r="281" spans="2:11" x14ac:dyDescent="0.25">
      <c r="B281" s="2">
        <v>4</v>
      </c>
      <c r="C281" s="4">
        <v>482777.77100000001</v>
      </c>
      <c r="D281" s="4">
        <v>188475.889</v>
      </c>
      <c r="E281" s="79">
        <v>0</v>
      </c>
      <c r="F281" s="79">
        <f>SUM(BASE_DATOS[[#This Row],[Capital($)]:[Interés
Resarcitorio($)]])</f>
        <v>671253.66</v>
      </c>
      <c r="G281" s="8">
        <v>45793</v>
      </c>
      <c r="H281" s="80" t="s">
        <v>80</v>
      </c>
      <c r="I281" s="79" t="s">
        <v>9</v>
      </c>
      <c r="J281" s="81">
        <v>12</v>
      </c>
      <c r="K281" t="s">
        <v>47</v>
      </c>
    </row>
    <row r="282" spans="2:11" x14ac:dyDescent="0.25">
      <c r="B282" s="2">
        <v>4</v>
      </c>
      <c r="C282" s="4">
        <v>482777.77100000001</v>
      </c>
      <c r="D282" s="4">
        <v>188475.889</v>
      </c>
      <c r="E282" s="79">
        <v>89500.49</v>
      </c>
      <c r="F282" s="79">
        <f>SUM(BASE_DATOS[[#This Row],[Capital($)]:[Interés
Resarcitorio($)]])</f>
        <v>760754.15</v>
      </c>
      <c r="G282" s="8">
        <v>45803</v>
      </c>
      <c r="H282" s="80" t="s">
        <v>80</v>
      </c>
      <c r="I282" s="79" t="s">
        <v>7</v>
      </c>
      <c r="J282" s="81">
        <v>12</v>
      </c>
      <c r="K282" t="s">
        <v>47</v>
      </c>
    </row>
    <row r="283" spans="2:11" x14ac:dyDescent="0.25">
      <c r="B283" s="2">
        <v>5</v>
      </c>
      <c r="C283" s="4">
        <v>500785.38200000004</v>
      </c>
      <c r="D283" s="4">
        <v>170468.27799999999</v>
      </c>
      <c r="E283" s="79">
        <v>0</v>
      </c>
      <c r="F283" s="79">
        <f>SUM(BASE_DATOS[[#This Row],[Capital($)]:[Interés
Resarcitorio($)]])</f>
        <v>671253.66</v>
      </c>
      <c r="G283" s="8">
        <v>45824</v>
      </c>
      <c r="H283" s="80" t="s">
        <v>80</v>
      </c>
      <c r="I283" s="79" t="s">
        <v>9</v>
      </c>
      <c r="J283" s="81">
        <v>12</v>
      </c>
      <c r="K283" t="s">
        <v>47</v>
      </c>
    </row>
    <row r="284" spans="2:11" x14ac:dyDescent="0.25">
      <c r="B284" s="2">
        <v>5</v>
      </c>
      <c r="C284" s="4">
        <v>500785.38200000004</v>
      </c>
      <c r="D284" s="4">
        <v>170468.27799999999</v>
      </c>
      <c r="E284" s="79">
        <v>89500.49</v>
      </c>
      <c r="F284" s="79">
        <f>SUM(BASE_DATOS[[#This Row],[Capital($)]:[Interés
Resarcitorio($)]])</f>
        <v>760754.15</v>
      </c>
      <c r="G284" s="8">
        <v>45834</v>
      </c>
      <c r="H284" s="80" t="s">
        <v>80</v>
      </c>
      <c r="I284" s="79" t="s">
        <v>7</v>
      </c>
      <c r="J284" s="81">
        <v>12</v>
      </c>
      <c r="K284" t="s">
        <v>47</v>
      </c>
    </row>
    <row r="285" spans="2:11" x14ac:dyDescent="0.25">
      <c r="B285" s="2">
        <v>6</v>
      </c>
      <c r="C285" s="4">
        <v>519464.67699999997</v>
      </c>
      <c r="D285" s="4">
        <v>151788.98300000001</v>
      </c>
      <c r="E285" s="79">
        <v>0</v>
      </c>
      <c r="F285" s="79">
        <f>SUM(BASE_DATOS[[#This Row],[Capital($)]:[Interés
Resarcitorio($)]])</f>
        <v>671253.65999999992</v>
      </c>
      <c r="G285" s="8">
        <v>45854</v>
      </c>
      <c r="H285" s="80" t="s">
        <v>80</v>
      </c>
      <c r="I285" s="79" t="s">
        <v>6</v>
      </c>
      <c r="J285" s="81">
        <v>12</v>
      </c>
      <c r="K285" t="s">
        <v>47</v>
      </c>
    </row>
    <row r="286" spans="2:11" x14ac:dyDescent="0.25">
      <c r="B286" s="2">
        <v>6</v>
      </c>
      <c r="C286" s="4">
        <v>519464.67699999997</v>
      </c>
      <c r="D286" s="4">
        <v>151788.98300000001</v>
      </c>
      <c r="E286" s="79">
        <v>89500.49</v>
      </c>
      <c r="F286" s="79">
        <f>SUM(BASE_DATOS[[#This Row],[Capital($)]:[Interés
Resarcitorio($)]])</f>
        <v>760754.14999999991</v>
      </c>
      <c r="G286" s="8">
        <v>45864</v>
      </c>
      <c r="H286" s="80" t="s">
        <v>80</v>
      </c>
      <c r="I286" s="79" t="s">
        <v>7</v>
      </c>
      <c r="J286" s="81">
        <v>12</v>
      </c>
      <c r="K286" t="s">
        <v>47</v>
      </c>
    </row>
    <row r="287" spans="2:11" x14ac:dyDescent="0.25">
      <c r="B287" s="2">
        <v>7</v>
      </c>
      <c r="C287" s="4">
        <v>538840.71</v>
      </c>
      <c r="D287" s="4">
        <v>132412.95000000001</v>
      </c>
      <c r="E287" s="79">
        <v>0</v>
      </c>
      <c r="F287" s="79">
        <f>SUM(BASE_DATOS[[#This Row],[Capital($)]:[Interés
Resarcitorio($)]])</f>
        <v>671253.65999999992</v>
      </c>
      <c r="G287" s="8">
        <v>45885</v>
      </c>
      <c r="H287" s="80" t="s">
        <v>80</v>
      </c>
      <c r="I287" s="79" t="s">
        <v>6</v>
      </c>
      <c r="J287" s="81">
        <v>12</v>
      </c>
      <c r="K287" t="s">
        <v>47</v>
      </c>
    </row>
    <row r="288" spans="2:11" x14ac:dyDescent="0.25">
      <c r="B288" s="2">
        <v>7</v>
      </c>
      <c r="C288" s="4">
        <v>538840.71</v>
      </c>
      <c r="D288" s="4">
        <v>132412.95000000001</v>
      </c>
      <c r="E288" s="79">
        <v>89500.49</v>
      </c>
      <c r="F288" s="79">
        <f>SUM(BASE_DATOS[[#This Row],[Capital($)]:[Interés
Resarcitorio($)]])</f>
        <v>760754.14999999991</v>
      </c>
      <c r="G288" s="8">
        <v>45895</v>
      </c>
      <c r="H288" s="80" t="s">
        <v>80</v>
      </c>
      <c r="I288" s="79" t="s">
        <v>7</v>
      </c>
      <c r="J288" s="81">
        <v>12</v>
      </c>
      <c r="K288" t="s">
        <v>47</v>
      </c>
    </row>
    <row r="289" spans="2:11" x14ac:dyDescent="0.25">
      <c r="B289" s="2">
        <v>8</v>
      </c>
      <c r="C289" s="4">
        <v>558939.46799999999</v>
      </c>
      <c r="D289" s="4">
        <v>112314.192</v>
      </c>
      <c r="E289" s="79">
        <v>0</v>
      </c>
      <c r="F289" s="79">
        <f>SUM(BASE_DATOS[[#This Row],[Capital($)]:[Interés
Resarcitorio($)]])</f>
        <v>671253.66</v>
      </c>
      <c r="G289" s="8">
        <v>45916</v>
      </c>
      <c r="H289" s="80" t="s">
        <v>80</v>
      </c>
      <c r="I289" s="79" t="s">
        <v>6</v>
      </c>
      <c r="J289" s="81">
        <v>12</v>
      </c>
      <c r="K289" t="s">
        <v>47</v>
      </c>
    </row>
    <row r="290" spans="2:11" x14ac:dyDescent="0.25">
      <c r="B290" s="2">
        <v>8</v>
      </c>
      <c r="C290" s="4">
        <v>558939.46799999999</v>
      </c>
      <c r="D290" s="4">
        <v>112314.192</v>
      </c>
      <c r="E290" s="79">
        <v>89500.49</v>
      </c>
      <c r="F290" s="79">
        <f>SUM(BASE_DATOS[[#This Row],[Capital($)]:[Interés
Resarcitorio($)]])</f>
        <v>760754.15</v>
      </c>
      <c r="G290" s="8">
        <v>45926</v>
      </c>
      <c r="H290" s="80" t="s">
        <v>80</v>
      </c>
      <c r="I290" s="79" t="s">
        <v>7</v>
      </c>
      <c r="J290" s="81">
        <v>12</v>
      </c>
      <c r="K290" t="s">
        <v>47</v>
      </c>
    </row>
    <row r="291" spans="2:11" x14ac:dyDescent="0.25">
      <c r="B291" s="2">
        <v>9</v>
      </c>
      <c r="C291" s="4">
        <v>579787.90999999992</v>
      </c>
      <c r="D291" s="4">
        <v>91465.75</v>
      </c>
      <c r="E291" s="79">
        <v>0</v>
      </c>
      <c r="F291" s="79">
        <f>SUM(BASE_DATOS[[#This Row],[Capital($)]:[Interés
Resarcitorio($)]])</f>
        <v>671253.65999999992</v>
      </c>
      <c r="G291" s="8">
        <v>45946</v>
      </c>
      <c r="H291" s="80" t="s">
        <v>80</v>
      </c>
      <c r="I291" s="79" t="s">
        <v>6</v>
      </c>
      <c r="J291" s="81">
        <v>12</v>
      </c>
      <c r="K291" t="s">
        <v>47</v>
      </c>
    </row>
    <row r="292" spans="2:11" x14ac:dyDescent="0.25">
      <c r="B292" s="2">
        <v>9</v>
      </c>
      <c r="C292" s="4">
        <v>579787.90999999992</v>
      </c>
      <c r="D292" s="4">
        <v>91465.75</v>
      </c>
      <c r="E292" s="79">
        <v>89500.49</v>
      </c>
      <c r="F292" s="79">
        <f>SUM(BASE_DATOS[[#This Row],[Capital($)]:[Interés
Resarcitorio($)]])</f>
        <v>760754.14999999991</v>
      </c>
      <c r="G292" s="8">
        <v>45956</v>
      </c>
      <c r="H292" s="80" t="s">
        <v>80</v>
      </c>
      <c r="I292" s="79" t="s">
        <v>7</v>
      </c>
      <c r="J292" s="81">
        <v>12</v>
      </c>
      <c r="K292" t="s">
        <v>47</v>
      </c>
    </row>
    <row r="293" spans="2:11" x14ac:dyDescent="0.25">
      <c r="B293" s="2">
        <v>10</v>
      </c>
      <c r="C293" s="4">
        <v>601413.99900000007</v>
      </c>
      <c r="D293" s="4">
        <v>69839.660999999993</v>
      </c>
      <c r="E293" s="79">
        <v>0</v>
      </c>
      <c r="F293" s="79">
        <f>SUM(BASE_DATOS[[#This Row],[Capital($)]:[Interés
Resarcitorio($)]])</f>
        <v>671253.66</v>
      </c>
      <c r="G293" s="8">
        <v>45977</v>
      </c>
      <c r="H293" s="80" t="s">
        <v>80</v>
      </c>
      <c r="I293" s="79" t="s">
        <v>6</v>
      </c>
      <c r="J293" s="81">
        <v>12</v>
      </c>
      <c r="K293" t="s">
        <v>47</v>
      </c>
    </row>
    <row r="294" spans="2:11" x14ac:dyDescent="0.25">
      <c r="B294" s="2">
        <v>10</v>
      </c>
      <c r="C294" s="4">
        <v>601413.99900000007</v>
      </c>
      <c r="D294" s="4">
        <v>69839.660999999993</v>
      </c>
      <c r="E294" s="79">
        <v>89500.49</v>
      </c>
      <c r="F294" s="79">
        <f>SUM(BASE_DATOS[[#This Row],[Capital($)]:[Interés
Resarcitorio($)]])</f>
        <v>760754.15</v>
      </c>
      <c r="G294" s="8">
        <v>45987</v>
      </c>
      <c r="H294" s="80" t="s">
        <v>80</v>
      </c>
      <c r="I294" s="79" t="s">
        <v>7</v>
      </c>
      <c r="J294" s="81">
        <v>12</v>
      </c>
      <c r="K294" t="s">
        <v>47</v>
      </c>
    </row>
    <row r="295" spans="2:11" x14ac:dyDescent="0.25">
      <c r="B295" s="2">
        <v>11</v>
      </c>
      <c r="C295" s="4">
        <v>623846.74100000004</v>
      </c>
      <c r="D295" s="4">
        <v>47406.919000000002</v>
      </c>
      <c r="E295" s="79">
        <v>0</v>
      </c>
      <c r="F295" s="79">
        <f>SUM(BASE_DATOS[[#This Row],[Capital($)]:[Interés
Resarcitorio($)]])</f>
        <v>671253.66</v>
      </c>
      <c r="G295" s="8">
        <v>46007</v>
      </c>
      <c r="H295" s="80" t="s">
        <v>80</v>
      </c>
      <c r="I295" s="79" t="s">
        <v>6</v>
      </c>
      <c r="J295" s="81">
        <v>12</v>
      </c>
      <c r="K295" t="s">
        <v>47</v>
      </c>
    </row>
    <row r="296" spans="2:11" x14ac:dyDescent="0.25">
      <c r="B296" s="2">
        <v>11</v>
      </c>
      <c r="C296" s="4">
        <v>623846.74100000004</v>
      </c>
      <c r="D296" s="4">
        <v>47406.919000000002</v>
      </c>
      <c r="E296" s="79">
        <v>89500.49</v>
      </c>
      <c r="F296" s="79">
        <f>SUM(BASE_DATOS[[#This Row],[Capital($)]:[Interés
Resarcitorio($)]])</f>
        <v>760754.15</v>
      </c>
      <c r="G296" s="8">
        <v>46017</v>
      </c>
      <c r="H296" s="80" t="s">
        <v>80</v>
      </c>
      <c r="I296" s="79" t="s">
        <v>7</v>
      </c>
      <c r="J296" s="81">
        <v>12</v>
      </c>
      <c r="K296" t="s">
        <v>47</v>
      </c>
    </row>
    <row r="297" spans="2:11" x14ac:dyDescent="0.25">
      <c r="B297" s="2">
        <v>12</v>
      </c>
      <c r="C297" s="4">
        <v>647116.22499999998</v>
      </c>
      <c r="D297" s="4">
        <v>24137.435000000001</v>
      </c>
      <c r="E297" s="79">
        <v>0</v>
      </c>
      <c r="F297" s="79">
        <f>SUM(BASE_DATOS[[#This Row],[Capital($)]:[Interés
Resarcitorio($)]])</f>
        <v>671253.66</v>
      </c>
      <c r="G297" s="8">
        <v>46038</v>
      </c>
      <c r="H297" s="80" t="s">
        <v>80</v>
      </c>
      <c r="I297" s="79" t="s">
        <v>6</v>
      </c>
      <c r="J297" s="81">
        <v>12</v>
      </c>
      <c r="K297" t="s">
        <v>47</v>
      </c>
    </row>
    <row r="298" spans="2:11" x14ac:dyDescent="0.25">
      <c r="B298" s="2">
        <v>12</v>
      </c>
      <c r="C298" s="4">
        <v>647116.22499999998</v>
      </c>
      <c r="D298" s="4">
        <v>24137.435000000001</v>
      </c>
      <c r="E298" s="79">
        <v>89500.49</v>
      </c>
      <c r="F298" s="79">
        <f>SUM(BASE_DATOS[[#This Row],[Capital($)]:[Interés
Resarcitorio($)]])</f>
        <v>760754.15</v>
      </c>
      <c r="G298" s="8">
        <v>46048</v>
      </c>
      <c r="H298" s="80" t="s">
        <v>80</v>
      </c>
      <c r="I298" s="79" t="s">
        <v>7</v>
      </c>
      <c r="J298" s="81">
        <v>12</v>
      </c>
      <c r="K298" t="s">
        <v>47</v>
      </c>
    </row>
    <row r="299" spans="2:11" x14ac:dyDescent="0.25">
      <c r="B299" s="2">
        <v>1</v>
      </c>
      <c r="C299" s="4">
        <v>778933.92800000007</v>
      </c>
      <c r="D299" s="4">
        <v>415952.41899999999</v>
      </c>
      <c r="E299" s="79">
        <v>0</v>
      </c>
      <c r="F299" s="79">
        <f>SUM(BASE_DATOS[[#This Row],[Capital($)]:[Interés
Resarcitorio($)]])</f>
        <v>1194886.3470000001</v>
      </c>
      <c r="G299" s="8">
        <v>45732</v>
      </c>
      <c r="H299" s="80" t="s">
        <v>84</v>
      </c>
      <c r="I299" s="79" t="s">
        <v>9</v>
      </c>
      <c r="J299" s="81">
        <v>12</v>
      </c>
      <c r="K299" t="s">
        <v>47</v>
      </c>
    </row>
    <row r="300" spans="2:11" x14ac:dyDescent="0.25">
      <c r="B300" s="2">
        <v>1</v>
      </c>
      <c r="C300" s="4">
        <v>778933.92800000007</v>
      </c>
      <c r="D300" s="4">
        <v>415952.41899999999</v>
      </c>
      <c r="E300" s="79">
        <v>159318.18</v>
      </c>
      <c r="F300" s="79">
        <f>SUM(BASE_DATOS[[#This Row],[Capital($)]:[Interés
Resarcitorio($)]])</f>
        <v>1354204.527</v>
      </c>
      <c r="G300" s="8">
        <v>45742</v>
      </c>
      <c r="H300" s="80" t="s">
        <v>84</v>
      </c>
      <c r="I300" s="79" t="s">
        <v>7</v>
      </c>
      <c r="J300" s="81">
        <v>12</v>
      </c>
      <c r="K300" t="s">
        <v>47</v>
      </c>
    </row>
    <row r="301" spans="2:11" x14ac:dyDescent="0.25">
      <c r="B301" s="2">
        <v>2</v>
      </c>
      <c r="C301" s="4">
        <v>807209.23</v>
      </c>
      <c r="D301" s="4">
        <v>387677.11699999997</v>
      </c>
      <c r="E301" s="79">
        <v>0</v>
      </c>
      <c r="F301" s="79">
        <f>SUM(BASE_DATOS[[#This Row],[Capital($)]:[Interés
Resarcitorio($)]])</f>
        <v>1194886.3470000001</v>
      </c>
      <c r="G301" s="8">
        <v>45763</v>
      </c>
      <c r="H301" s="80" t="s">
        <v>84</v>
      </c>
      <c r="I301" s="79" t="s">
        <v>9</v>
      </c>
      <c r="J301" s="81">
        <v>12</v>
      </c>
      <c r="K301" t="s">
        <v>47</v>
      </c>
    </row>
    <row r="302" spans="2:11" x14ac:dyDescent="0.25">
      <c r="B302" s="2">
        <v>2</v>
      </c>
      <c r="C302" s="4">
        <v>807209.23</v>
      </c>
      <c r="D302" s="4">
        <v>387677.11699999997</v>
      </c>
      <c r="E302" s="79">
        <v>159318.18</v>
      </c>
      <c r="F302" s="79">
        <f>SUM(BASE_DATOS[[#This Row],[Capital($)]:[Interés
Resarcitorio($)]])</f>
        <v>1354204.527</v>
      </c>
      <c r="G302" s="8">
        <v>45773</v>
      </c>
      <c r="H302" s="80" t="s">
        <v>84</v>
      </c>
      <c r="I302" s="79" t="s">
        <v>7</v>
      </c>
      <c r="J302" s="81">
        <v>12</v>
      </c>
      <c r="K302" t="s">
        <v>47</v>
      </c>
    </row>
    <row r="303" spans="2:11" x14ac:dyDescent="0.25">
      <c r="B303" s="2">
        <v>3</v>
      </c>
      <c r="C303" s="4">
        <v>836510.92500000005</v>
      </c>
      <c r="D303" s="4">
        <v>358375.42200000002</v>
      </c>
      <c r="E303" s="79">
        <v>0</v>
      </c>
      <c r="F303" s="79">
        <f>SUM(BASE_DATOS[[#This Row],[Capital($)]:[Interés
Resarcitorio($)]])</f>
        <v>1194886.3470000001</v>
      </c>
      <c r="G303" s="8">
        <v>45793</v>
      </c>
      <c r="H303" s="80" t="s">
        <v>84</v>
      </c>
      <c r="I303" s="79" t="s">
        <v>9</v>
      </c>
      <c r="J303" s="81">
        <v>12</v>
      </c>
      <c r="K303" t="s">
        <v>47</v>
      </c>
    </row>
    <row r="304" spans="2:11" x14ac:dyDescent="0.25">
      <c r="B304" s="2">
        <v>3</v>
      </c>
      <c r="C304" s="4">
        <v>836510.92500000005</v>
      </c>
      <c r="D304" s="4">
        <v>358375.42200000002</v>
      </c>
      <c r="E304" s="79">
        <v>159318.18</v>
      </c>
      <c r="F304" s="79">
        <f>SUM(BASE_DATOS[[#This Row],[Capital($)]:[Interés
Resarcitorio($)]])</f>
        <v>1354204.527</v>
      </c>
      <c r="G304" s="8">
        <v>45803</v>
      </c>
      <c r="H304" s="80" t="s">
        <v>84</v>
      </c>
      <c r="I304" s="79" t="s">
        <v>7</v>
      </c>
      <c r="J304" s="81">
        <v>12</v>
      </c>
      <c r="K304" t="s">
        <v>47</v>
      </c>
    </row>
    <row r="305" spans="2:11" x14ac:dyDescent="0.25">
      <c r="B305" s="2">
        <v>4</v>
      </c>
      <c r="C305" s="4">
        <v>866876.27200000011</v>
      </c>
      <c r="D305" s="4">
        <v>328010.07500000001</v>
      </c>
      <c r="E305" s="79">
        <v>0</v>
      </c>
      <c r="F305" s="79">
        <f>SUM(BASE_DATOS[[#This Row],[Capital($)]:[Interés
Resarcitorio($)]])</f>
        <v>1194886.3470000001</v>
      </c>
      <c r="G305" s="8">
        <v>45824</v>
      </c>
      <c r="H305" s="80" t="s">
        <v>84</v>
      </c>
      <c r="I305" s="79" t="s">
        <v>9</v>
      </c>
      <c r="J305" s="81">
        <v>12</v>
      </c>
      <c r="K305" t="s">
        <v>47</v>
      </c>
    </row>
    <row r="306" spans="2:11" x14ac:dyDescent="0.25">
      <c r="B306" s="2">
        <v>4</v>
      </c>
      <c r="C306" s="4">
        <v>866876.27200000011</v>
      </c>
      <c r="D306" s="4">
        <v>328010.07500000001</v>
      </c>
      <c r="E306" s="79">
        <v>159318.18</v>
      </c>
      <c r="F306" s="79">
        <f>SUM(BASE_DATOS[[#This Row],[Capital($)]:[Interés
Resarcitorio($)]])</f>
        <v>1354204.527</v>
      </c>
      <c r="G306" s="8">
        <v>45834</v>
      </c>
      <c r="H306" s="80" t="s">
        <v>84</v>
      </c>
      <c r="I306" s="79" t="s">
        <v>7</v>
      </c>
      <c r="J306" s="81">
        <v>12</v>
      </c>
      <c r="K306" t="s">
        <v>47</v>
      </c>
    </row>
    <row r="307" spans="2:11" x14ac:dyDescent="0.25">
      <c r="B307" s="2">
        <v>5</v>
      </c>
      <c r="C307" s="4">
        <v>898343.88000000012</v>
      </c>
      <c r="D307" s="4">
        <v>296542.467</v>
      </c>
      <c r="E307" s="79">
        <v>0</v>
      </c>
      <c r="F307" s="79">
        <f>SUM(BASE_DATOS[[#This Row],[Capital($)]:[Interés
Resarcitorio($)]])</f>
        <v>1194886.3470000001</v>
      </c>
      <c r="G307" s="8">
        <v>45854</v>
      </c>
      <c r="H307" s="80" t="s">
        <v>84</v>
      </c>
      <c r="I307" s="79" t="s">
        <v>6</v>
      </c>
      <c r="J307" s="81">
        <v>12</v>
      </c>
      <c r="K307" t="s">
        <v>47</v>
      </c>
    </row>
    <row r="308" spans="2:11" x14ac:dyDescent="0.25">
      <c r="B308" s="2">
        <v>5</v>
      </c>
      <c r="C308" s="4">
        <v>898343.88000000012</v>
      </c>
      <c r="D308" s="4">
        <v>296542.467</v>
      </c>
      <c r="E308" s="79">
        <v>159318.18</v>
      </c>
      <c r="F308" s="79">
        <f>SUM(BASE_DATOS[[#This Row],[Capital($)]:[Interés
Resarcitorio($)]])</f>
        <v>1354204.527</v>
      </c>
      <c r="G308" s="8">
        <v>45864</v>
      </c>
      <c r="H308" s="80" t="s">
        <v>84</v>
      </c>
      <c r="I308" s="79" t="s">
        <v>7</v>
      </c>
      <c r="J308" s="81">
        <v>12</v>
      </c>
      <c r="K308" t="s">
        <v>47</v>
      </c>
    </row>
    <row r="309" spans="2:11" x14ac:dyDescent="0.25">
      <c r="B309" s="2">
        <v>6</v>
      </c>
      <c r="C309" s="4">
        <v>930953.76300000004</v>
      </c>
      <c r="D309" s="4">
        <v>263932.58399999997</v>
      </c>
      <c r="E309" s="79">
        <v>0</v>
      </c>
      <c r="F309" s="79">
        <f>SUM(BASE_DATOS[[#This Row],[Capital($)]:[Interés
Resarcitorio($)]])</f>
        <v>1194886.3470000001</v>
      </c>
      <c r="G309" s="8">
        <v>45885</v>
      </c>
      <c r="H309" s="80" t="s">
        <v>84</v>
      </c>
      <c r="I309" s="79" t="s">
        <v>6</v>
      </c>
      <c r="J309" s="81">
        <v>12</v>
      </c>
      <c r="K309" t="s">
        <v>47</v>
      </c>
    </row>
    <row r="310" spans="2:11" x14ac:dyDescent="0.25">
      <c r="B310" s="2">
        <v>6</v>
      </c>
      <c r="C310" s="4">
        <v>930953.76300000004</v>
      </c>
      <c r="D310" s="4">
        <v>263932.58399999997</v>
      </c>
      <c r="E310" s="79">
        <v>159318.18</v>
      </c>
      <c r="F310" s="79">
        <f>SUM(BASE_DATOS[[#This Row],[Capital($)]:[Interés
Resarcitorio($)]])</f>
        <v>1354204.527</v>
      </c>
      <c r="G310" s="8">
        <v>45895</v>
      </c>
      <c r="H310" s="80" t="s">
        <v>84</v>
      </c>
      <c r="I310" s="79" t="s">
        <v>7</v>
      </c>
      <c r="J310" s="81">
        <v>12</v>
      </c>
      <c r="K310" t="s">
        <v>47</v>
      </c>
    </row>
    <row r="311" spans="2:11" x14ac:dyDescent="0.25">
      <c r="B311" s="2">
        <v>7</v>
      </c>
      <c r="C311" s="4">
        <v>964747.38500000001</v>
      </c>
      <c r="D311" s="4">
        <v>230138.962</v>
      </c>
      <c r="E311" s="79">
        <v>0</v>
      </c>
      <c r="F311" s="79">
        <f>SUM(BASE_DATOS[[#This Row],[Capital($)]:[Interés
Resarcitorio($)]])</f>
        <v>1194886.3470000001</v>
      </c>
      <c r="G311" s="8">
        <v>45916</v>
      </c>
      <c r="H311" s="80" t="s">
        <v>84</v>
      </c>
      <c r="I311" s="79" t="s">
        <v>6</v>
      </c>
      <c r="J311" s="81">
        <v>12</v>
      </c>
      <c r="K311" t="s">
        <v>47</v>
      </c>
    </row>
    <row r="312" spans="2:11" x14ac:dyDescent="0.25">
      <c r="B312" s="2">
        <v>7</v>
      </c>
      <c r="C312" s="4">
        <v>964747.38500000001</v>
      </c>
      <c r="D312" s="4">
        <v>230138.962</v>
      </c>
      <c r="E312" s="79">
        <v>159318.18</v>
      </c>
      <c r="F312" s="79">
        <f>SUM(BASE_DATOS[[#This Row],[Capital($)]:[Interés
Resarcitorio($)]])</f>
        <v>1354204.527</v>
      </c>
      <c r="G312" s="8">
        <v>45926</v>
      </c>
      <c r="H312" s="80" t="s">
        <v>84</v>
      </c>
      <c r="I312" s="79" t="s">
        <v>7</v>
      </c>
      <c r="J312" s="81">
        <v>12</v>
      </c>
      <c r="K312" t="s">
        <v>47</v>
      </c>
    </row>
    <row r="313" spans="2:11" x14ac:dyDescent="0.25">
      <c r="B313" s="2">
        <v>8</v>
      </c>
      <c r="C313" s="4">
        <v>999767.71500000008</v>
      </c>
      <c r="D313" s="4">
        <v>195118.63200000001</v>
      </c>
      <c r="E313" s="79">
        <v>0</v>
      </c>
      <c r="F313" s="79">
        <f>SUM(BASE_DATOS[[#This Row],[Capital($)]:[Interés
Resarcitorio($)]])</f>
        <v>1194886.3470000001</v>
      </c>
      <c r="G313" s="8">
        <v>45946</v>
      </c>
      <c r="H313" s="80" t="s">
        <v>84</v>
      </c>
      <c r="I313" s="79" t="s">
        <v>6</v>
      </c>
      <c r="J313" s="81">
        <v>12</v>
      </c>
      <c r="K313" t="s">
        <v>47</v>
      </c>
    </row>
    <row r="314" spans="2:11" x14ac:dyDescent="0.25">
      <c r="B314" s="2">
        <v>8</v>
      </c>
      <c r="C314" s="4">
        <v>999767.71500000008</v>
      </c>
      <c r="D314" s="4">
        <v>195118.63200000001</v>
      </c>
      <c r="E314" s="79">
        <v>159318.18</v>
      </c>
      <c r="F314" s="79">
        <f>SUM(BASE_DATOS[[#This Row],[Capital($)]:[Interés
Resarcitorio($)]])</f>
        <v>1354204.527</v>
      </c>
      <c r="G314" s="8">
        <v>45956</v>
      </c>
      <c r="H314" s="80" t="s">
        <v>84</v>
      </c>
      <c r="I314" s="79" t="s">
        <v>7</v>
      </c>
      <c r="J314" s="81">
        <v>12</v>
      </c>
      <c r="K314" t="s">
        <v>47</v>
      </c>
    </row>
    <row r="315" spans="2:11" x14ac:dyDescent="0.25">
      <c r="B315" s="2">
        <v>9</v>
      </c>
      <c r="C315" s="4">
        <v>1036059.2830000001</v>
      </c>
      <c r="D315" s="4">
        <v>158827.06399999998</v>
      </c>
      <c r="E315" s="79">
        <v>0</v>
      </c>
      <c r="F315" s="79">
        <f>SUM(BASE_DATOS[[#This Row],[Capital($)]:[Interés
Resarcitorio($)]])</f>
        <v>1194886.3470000001</v>
      </c>
      <c r="G315" s="8">
        <v>45977</v>
      </c>
      <c r="H315" s="80" t="s">
        <v>84</v>
      </c>
      <c r="I315" s="79" t="s">
        <v>6</v>
      </c>
      <c r="J315" s="81">
        <v>12</v>
      </c>
      <c r="K315" t="s">
        <v>47</v>
      </c>
    </row>
    <row r="316" spans="2:11" x14ac:dyDescent="0.25">
      <c r="B316" s="2">
        <v>9</v>
      </c>
      <c r="C316" s="4">
        <v>1036059.2830000001</v>
      </c>
      <c r="D316" s="4">
        <v>158827.06399999998</v>
      </c>
      <c r="E316" s="79">
        <v>159318.18</v>
      </c>
      <c r="F316" s="79">
        <f>SUM(BASE_DATOS[[#This Row],[Capital($)]:[Interés
Resarcitorio($)]])</f>
        <v>1354204.527</v>
      </c>
      <c r="G316" s="8">
        <v>45987</v>
      </c>
      <c r="H316" s="80" t="s">
        <v>84</v>
      </c>
      <c r="I316" s="79" t="s">
        <v>7</v>
      </c>
      <c r="J316" s="81">
        <v>12</v>
      </c>
      <c r="K316" t="s">
        <v>47</v>
      </c>
    </row>
    <row r="317" spans="2:11" x14ac:dyDescent="0.25">
      <c r="B317" s="2">
        <v>10</v>
      </c>
      <c r="C317" s="4">
        <v>1073668.2349999999</v>
      </c>
      <c r="D317" s="4">
        <v>121218.11200000001</v>
      </c>
      <c r="E317" s="79">
        <v>0</v>
      </c>
      <c r="F317" s="79">
        <f>SUM(BASE_DATOS[[#This Row],[Capital($)]:[Interés
Resarcitorio($)]])</f>
        <v>1194886.3469999998</v>
      </c>
      <c r="G317" s="8">
        <v>46007</v>
      </c>
      <c r="H317" s="80" t="s">
        <v>84</v>
      </c>
      <c r="I317" s="79" t="s">
        <v>6</v>
      </c>
      <c r="J317" s="81">
        <v>12</v>
      </c>
      <c r="K317" t="s">
        <v>47</v>
      </c>
    </row>
    <row r="318" spans="2:11" x14ac:dyDescent="0.25">
      <c r="B318" s="2">
        <v>10</v>
      </c>
      <c r="C318" s="4">
        <v>1073668.2349999999</v>
      </c>
      <c r="D318" s="4">
        <v>121218.11200000001</v>
      </c>
      <c r="E318" s="79">
        <v>159318.18</v>
      </c>
      <c r="F318" s="79">
        <f>SUM(BASE_DATOS[[#This Row],[Capital($)]:[Interés
Resarcitorio($)]])</f>
        <v>1354204.5269999998</v>
      </c>
      <c r="G318" s="8">
        <v>46017</v>
      </c>
      <c r="H318" s="80" t="s">
        <v>84</v>
      </c>
      <c r="I318" s="79" t="s">
        <v>7</v>
      </c>
      <c r="J318" s="81">
        <v>12</v>
      </c>
      <c r="K318" t="s">
        <v>47</v>
      </c>
    </row>
    <row r="319" spans="2:11" x14ac:dyDescent="0.25">
      <c r="B319" s="2">
        <v>11</v>
      </c>
      <c r="C319" s="4">
        <v>1112642.392</v>
      </c>
      <c r="D319" s="4">
        <v>82243.955000000002</v>
      </c>
      <c r="E319" s="79">
        <v>0</v>
      </c>
      <c r="F319" s="79">
        <f>SUM(BASE_DATOS[[#This Row],[Capital($)]:[Interés
Resarcitorio($)]])</f>
        <v>1194886.3470000001</v>
      </c>
      <c r="G319" s="8">
        <v>46038</v>
      </c>
      <c r="H319" s="80" t="s">
        <v>84</v>
      </c>
      <c r="I319" s="79" t="s">
        <v>6</v>
      </c>
      <c r="J319" s="81">
        <v>12</v>
      </c>
      <c r="K319" t="s">
        <v>47</v>
      </c>
    </row>
    <row r="320" spans="2:11" x14ac:dyDescent="0.25">
      <c r="B320" s="2">
        <v>11</v>
      </c>
      <c r="C320" s="4">
        <v>1112642.392</v>
      </c>
      <c r="D320" s="4">
        <v>82243.955000000002</v>
      </c>
      <c r="E320" s="79">
        <v>159318.18</v>
      </c>
      <c r="F320" s="79">
        <f>SUM(BASE_DATOS[[#This Row],[Capital($)]:[Interés
Resarcitorio($)]])</f>
        <v>1354204.527</v>
      </c>
      <c r="G320" s="8">
        <v>46048</v>
      </c>
      <c r="H320" s="80" t="s">
        <v>84</v>
      </c>
      <c r="I320" s="79" t="s">
        <v>7</v>
      </c>
      <c r="J320" s="81">
        <v>12</v>
      </c>
      <c r="K320" t="s">
        <v>47</v>
      </c>
    </row>
    <row r="321" spans="2:11" x14ac:dyDescent="0.25">
      <c r="B321" s="2">
        <v>12</v>
      </c>
      <c r="C321" s="4">
        <v>1153031.3050000002</v>
      </c>
      <c r="D321" s="4">
        <v>41855.042000000001</v>
      </c>
      <c r="E321" s="79">
        <v>0</v>
      </c>
      <c r="F321" s="79">
        <f>SUM(BASE_DATOS[[#This Row],[Capital($)]:[Interés
Resarcitorio($)]])</f>
        <v>1194886.3470000001</v>
      </c>
      <c r="G321" s="8">
        <v>46069</v>
      </c>
      <c r="H321" s="80" t="s">
        <v>84</v>
      </c>
      <c r="I321" s="79" t="s">
        <v>6</v>
      </c>
      <c r="J321" s="81">
        <v>12</v>
      </c>
      <c r="K321" t="s">
        <v>47</v>
      </c>
    </row>
    <row r="322" spans="2:11" x14ac:dyDescent="0.25">
      <c r="B322" s="2">
        <v>12</v>
      </c>
      <c r="C322" s="4">
        <v>1153031.3050000002</v>
      </c>
      <c r="D322" s="4">
        <v>41855.042000000001</v>
      </c>
      <c r="E322" s="79">
        <v>159318.18</v>
      </c>
      <c r="F322" s="79">
        <f>SUM(BASE_DATOS[[#This Row],[Capital($)]:[Interés
Resarcitorio($)]])</f>
        <v>1354204.527</v>
      </c>
      <c r="G322" s="8">
        <v>46079</v>
      </c>
      <c r="H322" s="80" t="s">
        <v>84</v>
      </c>
      <c r="I322" s="79" t="s">
        <v>7</v>
      </c>
      <c r="J322" s="81">
        <v>12</v>
      </c>
      <c r="K322" t="s">
        <v>47</v>
      </c>
    </row>
    <row r="323" spans="2:11" x14ac:dyDescent="0.25">
      <c r="B323" s="2">
        <v>1</v>
      </c>
      <c r="C323" s="4">
        <v>216617.12999999998</v>
      </c>
      <c r="D323" s="4">
        <v>130193.875</v>
      </c>
      <c r="E323" s="79">
        <v>0</v>
      </c>
      <c r="F323" s="79">
        <f>SUM(BASE_DATOS[[#This Row],[Capital($)]:[Interés
Resarcitorio($)]])</f>
        <v>346811.005</v>
      </c>
      <c r="G323" s="8">
        <v>45824</v>
      </c>
      <c r="H323" s="80" t="s">
        <v>90</v>
      </c>
      <c r="I323" s="79" t="s">
        <v>9</v>
      </c>
      <c r="J323" s="81">
        <v>12</v>
      </c>
      <c r="K323" t="s">
        <v>47</v>
      </c>
    </row>
    <row r="324" spans="2:11" x14ac:dyDescent="0.25">
      <c r="B324" s="2">
        <v>1</v>
      </c>
      <c r="C324" s="4">
        <v>216617.12999999998</v>
      </c>
      <c r="D324" s="4">
        <v>130193.875</v>
      </c>
      <c r="E324" s="79">
        <v>46241.46</v>
      </c>
      <c r="F324" s="79">
        <f>SUM(BASE_DATOS[[#This Row],[Capital($)]:[Interés
Resarcitorio($)]])</f>
        <v>393052.46500000003</v>
      </c>
      <c r="G324" s="8">
        <v>45834</v>
      </c>
      <c r="H324" s="80" t="s">
        <v>90</v>
      </c>
      <c r="I324" s="79" t="s">
        <v>7</v>
      </c>
      <c r="J324" s="81">
        <v>12</v>
      </c>
      <c r="K324" t="s">
        <v>47</v>
      </c>
    </row>
    <row r="325" spans="2:11" x14ac:dyDescent="0.25">
      <c r="B325" s="2">
        <v>2</v>
      </c>
      <c r="C325" s="4">
        <v>225281.81699999998</v>
      </c>
      <c r="D325" s="4">
        <v>121529.18799999999</v>
      </c>
      <c r="E325" s="79">
        <v>0</v>
      </c>
      <c r="F325" s="79">
        <f>SUM(BASE_DATOS[[#This Row],[Capital($)]:[Interés
Resarcitorio($)]])</f>
        <v>346811.005</v>
      </c>
      <c r="G325" s="8">
        <v>45854</v>
      </c>
      <c r="H325" s="80" t="s">
        <v>90</v>
      </c>
      <c r="I325" s="79" t="s">
        <v>6</v>
      </c>
      <c r="J325" s="81">
        <v>12</v>
      </c>
      <c r="K325" t="s">
        <v>47</v>
      </c>
    </row>
    <row r="326" spans="2:11" x14ac:dyDescent="0.25">
      <c r="B326" s="2">
        <v>2</v>
      </c>
      <c r="C326" s="4">
        <v>225281.81699999998</v>
      </c>
      <c r="D326" s="4">
        <v>121529.18799999999</v>
      </c>
      <c r="E326" s="79">
        <v>46241.46</v>
      </c>
      <c r="F326" s="79">
        <f>SUM(BASE_DATOS[[#This Row],[Capital($)]:[Interés
Resarcitorio($)]])</f>
        <v>393052.46500000003</v>
      </c>
      <c r="G326" s="8">
        <v>45864</v>
      </c>
      <c r="H326" s="80" t="s">
        <v>90</v>
      </c>
      <c r="I326" s="79" t="s">
        <v>7</v>
      </c>
      <c r="J326" s="81">
        <v>12</v>
      </c>
      <c r="K326" t="s">
        <v>47</v>
      </c>
    </row>
    <row r="327" spans="2:11" x14ac:dyDescent="0.25">
      <c r="B327" s="2">
        <v>3</v>
      </c>
      <c r="C327" s="4">
        <v>234293.087</v>
      </c>
      <c r="D327" s="4">
        <v>112517.91799999999</v>
      </c>
      <c r="E327" s="79">
        <v>0</v>
      </c>
      <c r="F327" s="79">
        <f>SUM(BASE_DATOS[[#This Row],[Capital($)]:[Interés
Resarcitorio($)]])</f>
        <v>346811.005</v>
      </c>
      <c r="G327" s="8">
        <v>45885</v>
      </c>
      <c r="H327" s="80" t="s">
        <v>90</v>
      </c>
      <c r="I327" s="79" t="s">
        <v>6</v>
      </c>
      <c r="J327" s="81">
        <v>12</v>
      </c>
      <c r="K327" t="s">
        <v>47</v>
      </c>
    </row>
    <row r="328" spans="2:11" x14ac:dyDescent="0.25">
      <c r="B328" s="2">
        <v>3</v>
      </c>
      <c r="C328" s="4">
        <v>234293.087</v>
      </c>
      <c r="D328" s="4">
        <v>112517.91799999999</v>
      </c>
      <c r="E328" s="79">
        <v>46241.46</v>
      </c>
      <c r="F328" s="79">
        <f>SUM(BASE_DATOS[[#This Row],[Capital($)]:[Interés
Resarcitorio($)]])</f>
        <v>393052.46500000003</v>
      </c>
      <c r="G328" s="8">
        <v>45895</v>
      </c>
      <c r="H328" s="80" t="s">
        <v>90</v>
      </c>
      <c r="I328" s="79" t="s">
        <v>7</v>
      </c>
      <c r="J328" s="81">
        <v>12</v>
      </c>
      <c r="K328" t="s">
        <v>47</v>
      </c>
    </row>
    <row r="329" spans="2:11" x14ac:dyDescent="0.25">
      <c r="B329" s="2">
        <v>4</v>
      </c>
      <c r="C329" s="4">
        <v>243664.81099999999</v>
      </c>
      <c r="D329" s="4">
        <v>103146.19399999999</v>
      </c>
      <c r="E329" s="79">
        <v>0</v>
      </c>
      <c r="F329" s="79">
        <f>SUM(BASE_DATOS[[#This Row],[Capital($)]:[Interés
Resarcitorio($)]])</f>
        <v>346811.005</v>
      </c>
      <c r="G329" s="8">
        <v>45916</v>
      </c>
      <c r="H329" s="80" t="s">
        <v>90</v>
      </c>
      <c r="I329" s="79" t="s">
        <v>6</v>
      </c>
      <c r="J329" s="81">
        <v>12</v>
      </c>
      <c r="K329" t="s">
        <v>47</v>
      </c>
    </row>
    <row r="330" spans="2:11" x14ac:dyDescent="0.25">
      <c r="B330" s="2">
        <v>4</v>
      </c>
      <c r="C330" s="4">
        <v>243664.81099999999</v>
      </c>
      <c r="D330" s="4">
        <v>103146.19399999999</v>
      </c>
      <c r="E330" s="79">
        <v>46241.46</v>
      </c>
      <c r="F330" s="79">
        <f>SUM(BASE_DATOS[[#This Row],[Capital($)]:[Interés
Resarcitorio($)]])</f>
        <v>393052.46500000003</v>
      </c>
      <c r="G330" s="8">
        <v>45926</v>
      </c>
      <c r="H330" s="80" t="s">
        <v>90</v>
      </c>
      <c r="I330" s="79" t="s">
        <v>7</v>
      </c>
      <c r="J330" s="81">
        <v>12</v>
      </c>
      <c r="K330" t="s">
        <v>47</v>
      </c>
    </row>
    <row r="331" spans="2:11" x14ac:dyDescent="0.25">
      <c r="B331" s="2">
        <v>5</v>
      </c>
      <c r="C331" s="4">
        <v>253411.40400000001</v>
      </c>
      <c r="D331" s="4">
        <v>93399.600999999995</v>
      </c>
      <c r="E331" s="79">
        <v>0</v>
      </c>
      <c r="F331" s="79">
        <f>SUM(BASE_DATOS[[#This Row],[Capital($)]:[Interés
Resarcitorio($)]])</f>
        <v>346811.005</v>
      </c>
      <c r="G331" s="8">
        <v>45946</v>
      </c>
      <c r="H331" s="80" t="s">
        <v>90</v>
      </c>
      <c r="I331" s="79" t="s">
        <v>6</v>
      </c>
      <c r="J331" s="81">
        <v>12</v>
      </c>
      <c r="K331" t="s">
        <v>47</v>
      </c>
    </row>
    <row r="332" spans="2:11" x14ac:dyDescent="0.25">
      <c r="B332" s="2">
        <v>5</v>
      </c>
      <c r="C332" s="4">
        <v>253411.40400000001</v>
      </c>
      <c r="D332" s="4">
        <v>93399.600999999995</v>
      </c>
      <c r="E332" s="79">
        <v>46241.46</v>
      </c>
      <c r="F332" s="79">
        <f>SUM(BASE_DATOS[[#This Row],[Capital($)]:[Interés
Resarcitorio($)]])</f>
        <v>393052.46500000003</v>
      </c>
      <c r="G332" s="8">
        <v>45956</v>
      </c>
      <c r="H332" s="80" t="s">
        <v>90</v>
      </c>
      <c r="I332" s="79" t="s">
        <v>7</v>
      </c>
      <c r="J332" s="81">
        <v>12</v>
      </c>
      <c r="K332" t="s">
        <v>47</v>
      </c>
    </row>
    <row r="333" spans="2:11" x14ac:dyDescent="0.25">
      <c r="B333" s="2">
        <v>6</v>
      </c>
      <c r="C333" s="4">
        <v>263547.86200000002</v>
      </c>
      <c r="D333" s="4">
        <v>83263.143000000011</v>
      </c>
      <c r="E333" s="79">
        <v>0</v>
      </c>
      <c r="F333" s="79">
        <f>SUM(BASE_DATOS[[#This Row],[Capital($)]:[Interés
Resarcitorio($)]])</f>
        <v>346811.005</v>
      </c>
      <c r="G333" s="8">
        <v>45977</v>
      </c>
      <c r="H333" s="80" t="s">
        <v>90</v>
      </c>
      <c r="I333" s="79" t="s">
        <v>6</v>
      </c>
      <c r="J333" s="81">
        <v>12</v>
      </c>
      <c r="K333" t="s">
        <v>47</v>
      </c>
    </row>
    <row r="334" spans="2:11" x14ac:dyDescent="0.25">
      <c r="B334" s="2">
        <v>6</v>
      </c>
      <c r="C334" s="4">
        <v>263547.86200000002</v>
      </c>
      <c r="D334" s="4">
        <v>83263.143000000011</v>
      </c>
      <c r="E334" s="79">
        <v>46241.46</v>
      </c>
      <c r="F334" s="79">
        <f>SUM(BASE_DATOS[[#This Row],[Capital($)]:[Interés
Resarcitorio($)]])</f>
        <v>393052.46500000003</v>
      </c>
      <c r="G334" s="8">
        <v>45987</v>
      </c>
      <c r="H334" s="80" t="s">
        <v>90</v>
      </c>
      <c r="I334" s="79" t="s">
        <v>7</v>
      </c>
      <c r="J334" s="81">
        <v>12</v>
      </c>
      <c r="K334" t="s">
        <v>47</v>
      </c>
    </row>
    <row r="335" spans="2:11" x14ac:dyDescent="0.25">
      <c r="B335" s="2">
        <v>7</v>
      </c>
      <c r="C335" s="4">
        <v>274089.77500000002</v>
      </c>
      <c r="D335" s="4">
        <v>72721.23000000001</v>
      </c>
      <c r="E335" s="79">
        <v>0</v>
      </c>
      <c r="F335" s="79">
        <f>SUM(BASE_DATOS[[#This Row],[Capital($)]:[Interés
Resarcitorio($)]])</f>
        <v>346811.005</v>
      </c>
      <c r="G335" s="8">
        <v>46007</v>
      </c>
      <c r="H335" s="80" t="s">
        <v>90</v>
      </c>
      <c r="I335" s="79" t="s">
        <v>6</v>
      </c>
      <c r="J335" s="81">
        <v>12</v>
      </c>
      <c r="K335" t="s">
        <v>47</v>
      </c>
    </row>
    <row r="336" spans="2:11" x14ac:dyDescent="0.25">
      <c r="B336" s="2">
        <v>7</v>
      </c>
      <c r="C336" s="4">
        <v>274089.77500000002</v>
      </c>
      <c r="D336" s="4">
        <v>72721.23000000001</v>
      </c>
      <c r="E336" s="79">
        <v>46241.46</v>
      </c>
      <c r="F336" s="79">
        <f>SUM(BASE_DATOS[[#This Row],[Capital($)]:[Interés
Resarcitorio($)]])</f>
        <v>393052.46500000003</v>
      </c>
      <c r="G336" s="8">
        <v>46017</v>
      </c>
      <c r="H336" s="80" t="s">
        <v>90</v>
      </c>
      <c r="I336" s="79" t="s">
        <v>7</v>
      </c>
      <c r="J336" s="81">
        <v>12</v>
      </c>
      <c r="K336" t="s">
        <v>47</v>
      </c>
    </row>
    <row r="337" spans="2:11" x14ac:dyDescent="0.25">
      <c r="B337" s="2">
        <v>8</v>
      </c>
      <c r="C337" s="4">
        <v>285053.36600000004</v>
      </c>
      <c r="D337" s="4">
        <v>61757.639000000003</v>
      </c>
      <c r="E337" s="79">
        <v>0</v>
      </c>
      <c r="F337" s="79">
        <f>SUM(BASE_DATOS[[#This Row],[Capital($)]:[Interés
Resarcitorio($)]])</f>
        <v>346811.00500000006</v>
      </c>
      <c r="G337" s="8">
        <v>46038</v>
      </c>
      <c r="H337" s="80" t="s">
        <v>90</v>
      </c>
      <c r="I337" s="79" t="s">
        <v>6</v>
      </c>
      <c r="J337" s="81">
        <v>12</v>
      </c>
      <c r="K337" t="s">
        <v>47</v>
      </c>
    </row>
    <row r="338" spans="2:11" x14ac:dyDescent="0.25">
      <c r="B338" s="2">
        <v>8</v>
      </c>
      <c r="C338" s="4">
        <v>285053.36600000004</v>
      </c>
      <c r="D338" s="4">
        <v>61757.639000000003</v>
      </c>
      <c r="E338" s="79">
        <v>46241.46</v>
      </c>
      <c r="F338" s="79">
        <f>SUM(BASE_DATOS[[#This Row],[Capital($)]:[Interés
Resarcitorio($)]])</f>
        <v>393052.46500000008</v>
      </c>
      <c r="G338" s="8">
        <v>46048</v>
      </c>
      <c r="H338" s="80" t="s">
        <v>90</v>
      </c>
      <c r="I338" s="79" t="s">
        <v>7</v>
      </c>
      <c r="J338" s="81">
        <v>12</v>
      </c>
      <c r="K338" t="s">
        <v>47</v>
      </c>
    </row>
    <row r="339" spans="2:11" x14ac:dyDescent="0.25">
      <c r="B339" s="2">
        <v>9</v>
      </c>
      <c r="C339" s="4">
        <v>296455.50099999999</v>
      </c>
      <c r="D339" s="4">
        <v>50355.504000000001</v>
      </c>
      <c r="E339" s="79">
        <v>0</v>
      </c>
      <c r="F339" s="79">
        <f>SUM(BASE_DATOS[[#This Row],[Capital($)]:[Interés
Resarcitorio($)]])</f>
        <v>346811.005</v>
      </c>
      <c r="G339" s="8">
        <v>46069</v>
      </c>
      <c r="H339" s="80" t="s">
        <v>90</v>
      </c>
      <c r="I339" s="79" t="s">
        <v>6</v>
      </c>
      <c r="J339" s="81">
        <v>12</v>
      </c>
      <c r="K339" t="s">
        <v>47</v>
      </c>
    </row>
    <row r="340" spans="2:11" x14ac:dyDescent="0.25">
      <c r="B340" s="2">
        <v>9</v>
      </c>
      <c r="C340" s="4">
        <v>296455.50099999999</v>
      </c>
      <c r="D340" s="4">
        <v>50355.504000000001</v>
      </c>
      <c r="E340" s="79">
        <v>46241.46</v>
      </c>
      <c r="F340" s="79">
        <f>SUM(BASE_DATOS[[#This Row],[Capital($)]:[Interés
Resarcitorio($)]])</f>
        <v>393052.46500000003</v>
      </c>
      <c r="G340" s="8">
        <v>46079</v>
      </c>
      <c r="H340" s="80" t="s">
        <v>90</v>
      </c>
      <c r="I340" s="79" t="s">
        <v>7</v>
      </c>
      <c r="J340" s="81">
        <v>12</v>
      </c>
      <c r="K340" t="s">
        <v>47</v>
      </c>
    </row>
    <row r="341" spans="2:11" x14ac:dyDescent="0.25">
      <c r="B341" s="2">
        <v>10</v>
      </c>
      <c r="C341" s="4">
        <v>308313.72100000002</v>
      </c>
      <c r="D341" s="4">
        <v>38497.284</v>
      </c>
      <c r="E341" s="79">
        <v>0</v>
      </c>
      <c r="F341" s="79">
        <f>SUM(BASE_DATOS[[#This Row],[Capital($)]:[Interés
Resarcitorio($)]])</f>
        <v>346811.005</v>
      </c>
      <c r="G341" s="8">
        <v>46097</v>
      </c>
      <c r="H341" s="80" t="s">
        <v>90</v>
      </c>
      <c r="I341" s="79" t="s">
        <v>6</v>
      </c>
      <c r="J341" s="81">
        <v>12</v>
      </c>
      <c r="K341" t="s">
        <v>47</v>
      </c>
    </row>
    <row r="342" spans="2:11" x14ac:dyDescent="0.25">
      <c r="B342" s="2">
        <v>10</v>
      </c>
      <c r="C342" s="4">
        <v>308313.72100000002</v>
      </c>
      <c r="D342" s="4">
        <v>38497.284</v>
      </c>
      <c r="E342" s="79">
        <v>46241.46</v>
      </c>
      <c r="F342" s="79">
        <f>SUM(BASE_DATOS[[#This Row],[Capital($)]:[Interés
Resarcitorio($)]])</f>
        <v>393052.46500000003</v>
      </c>
      <c r="G342" s="8">
        <v>46107</v>
      </c>
      <c r="H342" s="80" t="s">
        <v>90</v>
      </c>
      <c r="I342" s="79" t="s">
        <v>7</v>
      </c>
      <c r="J342" s="81">
        <v>12</v>
      </c>
      <c r="K342" t="s">
        <v>47</v>
      </c>
    </row>
    <row r="343" spans="2:11" x14ac:dyDescent="0.25">
      <c r="B343" s="2">
        <v>11</v>
      </c>
      <c r="C343" s="4">
        <v>320646.27</v>
      </c>
      <c r="D343" s="4">
        <v>26164.735000000001</v>
      </c>
      <c r="E343" s="79">
        <v>0</v>
      </c>
      <c r="F343" s="79">
        <f>SUM(BASE_DATOS[[#This Row],[Capital($)]:[Interés
Resarcitorio($)]])</f>
        <v>346811.005</v>
      </c>
      <c r="G343" s="8">
        <v>46128</v>
      </c>
      <c r="H343" s="80" t="s">
        <v>90</v>
      </c>
      <c r="I343" s="79" t="s">
        <v>6</v>
      </c>
      <c r="J343" s="81">
        <v>12</v>
      </c>
      <c r="K343" t="s">
        <v>47</v>
      </c>
    </row>
    <row r="344" spans="2:11" x14ac:dyDescent="0.25">
      <c r="B344" s="2">
        <v>11</v>
      </c>
      <c r="C344" s="4">
        <v>320646.27</v>
      </c>
      <c r="D344" s="4">
        <v>26164.735000000001</v>
      </c>
      <c r="E344" s="79">
        <v>46241.46</v>
      </c>
      <c r="F344" s="79">
        <f>SUM(BASE_DATOS[[#This Row],[Capital($)]:[Interés
Resarcitorio($)]])</f>
        <v>393052.46500000003</v>
      </c>
      <c r="G344" s="8">
        <v>46138</v>
      </c>
      <c r="H344" s="80" t="s">
        <v>90</v>
      </c>
      <c r="I344" s="79" t="s">
        <v>7</v>
      </c>
      <c r="J344" s="81">
        <v>12</v>
      </c>
      <c r="K344" t="s">
        <v>47</v>
      </c>
    </row>
    <row r="345" spans="2:11" x14ac:dyDescent="0.25">
      <c r="B345" s="2">
        <v>12</v>
      </c>
      <c r="C345" s="4">
        <v>333472.11900000001</v>
      </c>
      <c r="D345" s="4">
        <v>13338.885999999999</v>
      </c>
      <c r="E345" s="79">
        <v>0</v>
      </c>
      <c r="F345" s="79">
        <f>SUM(BASE_DATOS[[#This Row],[Capital($)]:[Interés
Resarcitorio($)]])</f>
        <v>346811.005</v>
      </c>
      <c r="G345" s="8">
        <v>46158</v>
      </c>
      <c r="H345" s="80" t="s">
        <v>90</v>
      </c>
      <c r="I345" s="79" t="s">
        <v>6</v>
      </c>
      <c r="J345" s="81">
        <v>12</v>
      </c>
      <c r="K345" t="s">
        <v>47</v>
      </c>
    </row>
    <row r="346" spans="2:11" x14ac:dyDescent="0.25">
      <c r="B346" s="2">
        <v>12</v>
      </c>
      <c r="C346" s="4">
        <v>333472.11900000001</v>
      </c>
      <c r="D346" s="4">
        <v>13338.885999999999</v>
      </c>
      <c r="E346" s="79">
        <v>46241.46</v>
      </c>
      <c r="F346" s="79">
        <f>SUM(BASE_DATOS[[#This Row],[Capital($)]:[Interés
Resarcitorio($)]])</f>
        <v>393052.46500000003</v>
      </c>
      <c r="G346" s="8">
        <v>46168</v>
      </c>
      <c r="H346" s="80" t="s">
        <v>90</v>
      </c>
      <c r="I346" s="79" t="s">
        <v>7</v>
      </c>
      <c r="J346" s="81">
        <v>12</v>
      </c>
      <c r="K346" t="s">
        <v>47</v>
      </c>
    </row>
    <row r="347" spans="2:11" x14ac:dyDescent="0.25">
      <c r="B347" s="2">
        <v>1</v>
      </c>
      <c r="C347" s="4">
        <v>87188.077000000005</v>
      </c>
      <c r="D347" s="4">
        <v>88848.225000000006</v>
      </c>
      <c r="E347" s="79">
        <v>0</v>
      </c>
      <c r="F347" s="79">
        <f>SUM(BASE_DATOS[[#This Row],[Capital($)]:[Interés
Resarcitorio($)]])</f>
        <v>176036.30200000003</v>
      </c>
      <c r="G347" s="8">
        <v>45428</v>
      </c>
      <c r="H347" s="80" t="s">
        <v>62</v>
      </c>
      <c r="I347" s="79" t="s">
        <v>9</v>
      </c>
      <c r="J347" s="81">
        <v>12</v>
      </c>
      <c r="K347" t="s">
        <v>46</v>
      </c>
    </row>
    <row r="348" spans="2:11" x14ac:dyDescent="0.25">
      <c r="B348" s="2">
        <f>+B347</f>
        <v>1</v>
      </c>
      <c r="C348" s="4">
        <v>87188.077000000005</v>
      </c>
      <c r="D348" s="4">
        <v>88848.225000000006</v>
      </c>
      <c r="E348" s="79">
        <v>70825</v>
      </c>
      <c r="F348" s="79">
        <f>SUM(BASE_DATOS[[#This Row],[Capital($)]:[Interés
Resarcitorio($)]])</f>
        <v>246861.30200000003</v>
      </c>
      <c r="G348" s="8">
        <v>45438</v>
      </c>
      <c r="H348" s="80" t="s">
        <v>62</v>
      </c>
      <c r="I348" s="79" t="s">
        <v>7</v>
      </c>
      <c r="J348" s="81">
        <v>12</v>
      </c>
      <c r="K348" t="s">
        <v>46</v>
      </c>
    </row>
    <row r="349" spans="2:11" x14ac:dyDescent="0.25">
      <c r="B349" s="2">
        <v>2</v>
      </c>
      <c r="C349" s="4">
        <v>92445.518000000011</v>
      </c>
      <c r="D349" s="4">
        <v>83590.784</v>
      </c>
      <c r="E349" s="79">
        <v>0</v>
      </c>
      <c r="F349" s="79">
        <f>SUM(BASE_DATOS[[#This Row],[Capital($)]:[Interés
Resarcitorio($)]])</f>
        <v>176036.30200000003</v>
      </c>
      <c r="G349" s="8">
        <v>45459</v>
      </c>
      <c r="H349" s="80" t="s">
        <v>62</v>
      </c>
      <c r="I349" s="79" t="s">
        <v>9</v>
      </c>
      <c r="J349" s="81">
        <v>12</v>
      </c>
      <c r="K349" t="s">
        <v>46</v>
      </c>
    </row>
    <row r="350" spans="2:11" x14ac:dyDescent="0.25">
      <c r="B350" s="2">
        <f>+B349</f>
        <v>2</v>
      </c>
      <c r="C350" s="4">
        <v>92445.518000000011</v>
      </c>
      <c r="D350" s="4">
        <v>83590.784</v>
      </c>
      <c r="E350" s="79">
        <v>37613</v>
      </c>
      <c r="F350" s="79">
        <f>SUM(BASE_DATOS[[#This Row],[Capital($)]:[Interés
Resarcitorio($)]])</f>
        <v>213649.30200000003</v>
      </c>
      <c r="G350" s="8">
        <v>45469</v>
      </c>
      <c r="H350" s="80" t="s">
        <v>62</v>
      </c>
      <c r="I350" s="79" t="s">
        <v>7</v>
      </c>
      <c r="J350" s="81">
        <v>12</v>
      </c>
      <c r="K350" t="s">
        <v>46</v>
      </c>
    </row>
    <row r="351" spans="2:11" x14ac:dyDescent="0.25">
      <c r="B351" s="2">
        <v>3</v>
      </c>
      <c r="C351" s="4">
        <v>98019.982999999993</v>
      </c>
      <c r="D351" s="4">
        <v>78016.318999999989</v>
      </c>
      <c r="E351" s="79">
        <v>0</v>
      </c>
      <c r="F351" s="79">
        <f>SUM(BASE_DATOS[[#This Row],[Capital($)]:[Interés
Resarcitorio($)]])</f>
        <v>176036.30199999997</v>
      </c>
      <c r="G351" s="8">
        <v>45489</v>
      </c>
      <c r="H351" s="80" t="s">
        <v>62</v>
      </c>
      <c r="I351" s="79" t="s">
        <v>9</v>
      </c>
      <c r="J351" s="81">
        <v>12</v>
      </c>
      <c r="K351" t="s">
        <v>46</v>
      </c>
    </row>
    <row r="352" spans="2:11" x14ac:dyDescent="0.25">
      <c r="B352" s="2">
        <f>+B351</f>
        <v>3</v>
      </c>
      <c r="C352" s="4">
        <v>98019.982999999993</v>
      </c>
      <c r="D352" s="4">
        <v>78016.318999999989</v>
      </c>
      <c r="E352" s="79">
        <v>37613</v>
      </c>
      <c r="F352" s="79">
        <f>SUM(BASE_DATOS[[#This Row],[Capital($)]:[Interés
Resarcitorio($)]])</f>
        <v>213649.30199999997</v>
      </c>
      <c r="G352" s="8">
        <v>45499</v>
      </c>
      <c r="H352" s="80" t="s">
        <v>62</v>
      </c>
      <c r="I352" s="79" t="s">
        <v>7</v>
      </c>
      <c r="J352" s="81">
        <v>12</v>
      </c>
      <c r="K352" t="s">
        <v>46</v>
      </c>
    </row>
    <row r="353" spans="2:11" x14ac:dyDescent="0.25">
      <c r="B353" s="2">
        <v>4</v>
      </c>
      <c r="C353" s="4">
        <v>103930.588</v>
      </c>
      <c r="D353" s="4">
        <v>72105.714000000007</v>
      </c>
      <c r="E353" s="79">
        <v>0</v>
      </c>
      <c r="F353" s="79">
        <f>SUM(BASE_DATOS[[#This Row],[Capital($)]:[Interés
Resarcitorio($)]])</f>
        <v>176036.30200000003</v>
      </c>
      <c r="G353" s="8">
        <v>45520</v>
      </c>
      <c r="H353" s="80" t="s">
        <v>62</v>
      </c>
      <c r="I353" s="79" t="s">
        <v>9</v>
      </c>
      <c r="J353" s="81">
        <v>12</v>
      </c>
      <c r="K353" t="s">
        <v>46</v>
      </c>
    </row>
    <row r="354" spans="2:11" x14ac:dyDescent="0.25">
      <c r="B354" s="2">
        <f>+B353</f>
        <v>4</v>
      </c>
      <c r="C354" s="4">
        <v>103930.588</v>
      </c>
      <c r="D354" s="4">
        <v>72105.714000000007</v>
      </c>
      <c r="E354" s="79">
        <v>37613</v>
      </c>
      <c r="F354" s="79">
        <f>SUM(BASE_DATOS[[#This Row],[Capital($)]:[Interés
Resarcitorio($)]])</f>
        <v>213649.30200000003</v>
      </c>
      <c r="G354" s="8">
        <v>45530</v>
      </c>
      <c r="H354" s="80" t="s">
        <v>62</v>
      </c>
      <c r="I354" s="79" t="s">
        <v>7</v>
      </c>
      <c r="J354" s="81">
        <v>12</v>
      </c>
      <c r="K354" t="s">
        <v>46</v>
      </c>
    </row>
    <row r="355" spans="2:11" x14ac:dyDescent="0.25">
      <c r="B355" s="2">
        <v>5</v>
      </c>
      <c r="C355" s="4">
        <v>110197.602</v>
      </c>
      <c r="D355" s="4">
        <v>65838.7</v>
      </c>
      <c r="E355" s="79">
        <v>0</v>
      </c>
      <c r="F355" s="79">
        <f>SUM(BASE_DATOS[[#This Row],[Capital($)]:[Interés
Resarcitorio($)]])</f>
        <v>176036.302</v>
      </c>
      <c r="G355" s="8">
        <v>45551</v>
      </c>
      <c r="H355" s="80" t="s">
        <v>62</v>
      </c>
      <c r="I355" s="79" t="s">
        <v>9</v>
      </c>
      <c r="J355" s="81">
        <v>12</v>
      </c>
      <c r="K355" t="s">
        <v>46</v>
      </c>
    </row>
    <row r="356" spans="2:11" x14ac:dyDescent="0.25">
      <c r="B356" s="2">
        <f>+B355</f>
        <v>5</v>
      </c>
      <c r="C356" s="4">
        <v>110197.602</v>
      </c>
      <c r="D356" s="4">
        <v>65838.7</v>
      </c>
      <c r="E356" s="79">
        <v>37613</v>
      </c>
      <c r="F356" s="79">
        <f>SUM(BASE_DATOS[[#This Row],[Capital($)]:[Interés
Resarcitorio($)]])</f>
        <v>213649.302</v>
      </c>
      <c r="G356" s="8">
        <v>45561</v>
      </c>
      <c r="H356" s="80" t="s">
        <v>62</v>
      </c>
      <c r="I356" s="79" t="s">
        <v>7</v>
      </c>
      <c r="J356" s="81">
        <v>12</v>
      </c>
      <c r="K356" t="s">
        <v>46</v>
      </c>
    </row>
    <row r="357" spans="2:11" x14ac:dyDescent="0.25">
      <c r="B357" s="2">
        <v>6</v>
      </c>
      <c r="C357" s="4">
        <v>116842.518</v>
      </c>
      <c r="D357" s="4">
        <v>59193.784</v>
      </c>
      <c r="E357" s="79">
        <v>0</v>
      </c>
      <c r="F357" s="79">
        <f>SUM(BASE_DATOS[[#This Row],[Capital($)]:[Interés
Resarcitorio($)]])</f>
        <v>176036.302</v>
      </c>
      <c r="G357" s="8">
        <v>45581</v>
      </c>
      <c r="H357" s="80" t="s">
        <v>62</v>
      </c>
      <c r="I357" s="79" t="s">
        <v>9</v>
      </c>
      <c r="J357" s="81">
        <v>12</v>
      </c>
      <c r="K357" t="s">
        <v>46</v>
      </c>
    </row>
    <row r="358" spans="2:11" x14ac:dyDescent="0.25">
      <c r="B358" s="2">
        <f>+B357</f>
        <v>6</v>
      </c>
      <c r="C358" s="4">
        <v>116842.518</v>
      </c>
      <c r="D358" s="4">
        <v>59193.784</v>
      </c>
      <c r="E358" s="79">
        <v>37613</v>
      </c>
      <c r="F358" s="79">
        <f>SUM(BASE_DATOS[[#This Row],[Capital($)]:[Interés
Resarcitorio($)]])</f>
        <v>213649.302</v>
      </c>
      <c r="G358" s="8">
        <v>45591</v>
      </c>
      <c r="H358" s="80" t="s">
        <v>62</v>
      </c>
      <c r="I358" s="79" t="s">
        <v>7</v>
      </c>
      <c r="J358" s="81">
        <v>12</v>
      </c>
      <c r="K358" t="s">
        <v>46</v>
      </c>
    </row>
    <row r="359" spans="2:11" x14ac:dyDescent="0.25">
      <c r="B359" s="2">
        <v>7</v>
      </c>
      <c r="C359" s="4">
        <v>123888.122</v>
      </c>
      <c r="D359" s="4">
        <v>52148.18</v>
      </c>
      <c r="E359" s="79">
        <v>0</v>
      </c>
      <c r="F359" s="79">
        <f>SUM(BASE_DATOS[[#This Row],[Capital($)]:[Interés
Resarcitorio($)]])</f>
        <v>176036.302</v>
      </c>
      <c r="G359" s="8">
        <v>45612</v>
      </c>
      <c r="H359" s="80" t="s">
        <v>62</v>
      </c>
      <c r="I359" s="79" t="s">
        <v>9</v>
      </c>
      <c r="J359" s="81">
        <v>12</v>
      </c>
      <c r="K359" t="s">
        <v>46</v>
      </c>
    </row>
    <row r="360" spans="2:11" x14ac:dyDescent="0.25">
      <c r="B360" s="2">
        <f>+B359</f>
        <v>7</v>
      </c>
      <c r="C360" s="4">
        <v>123888.122</v>
      </c>
      <c r="D360" s="4">
        <v>52148.18</v>
      </c>
      <c r="E360" s="79">
        <v>37613</v>
      </c>
      <c r="F360" s="79">
        <f>SUM(BASE_DATOS[[#This Row],[Capital($)]:[Interés
Resarcitorio($)]])</f>
        <v>213649.302</v>
      </c>
      <c r="G360" s="8">
        <v>45622</v>
      </c>
      <c r="H360" s="80" t="s">
        <v>62</v>
      </c>
      <c r="I360" s="79" t="s">
        <v>7</v>
      </c>
      <c r="J360" s="81">
        <v>12</v>
      </c>
      <c r="K360" t="s">
        <v>46</v>
      </c>
    </row>
    <row r="361" spans="2:11" x14ac:dyDescent="0.25">
      <c r="B361" s="2">
        <v>8</v>
      </c>
      <c r="C361" s="4">
        <v>131358.57500000001</v>
      </c>
      <c r="D361" s="4">
        <v>44677.726999999999</v>
      </c>
      <c r="E361" s="79">
        <v>0</v>
      </c>
      <c r="F361" s="79">
        <f>SUM(BASE_DATOS[[#This Row],[Capital($)]:[Interés
Resarcitorio($)]])</f>
        <v>176036.30200000003</v>
      </c>
      <c r="G361" s="8">
        <v>45642</v>
      </c>
      <c r="H361" s="80" t="s">
        <v>62</v>
      </c>
      <c r="I361" s="79" t="s">
        <v>9</v>
      </c>
      <c r="J361" s="81">
        <v>12</v>
      </c>
      <c r="K361" t="s">
        <v>46</v>
      </c>
    </row>
    <row r="362" spans="2:11" x14ac:dyDescent="0.25">
      <c r="B362" s="2">
        <f>+B361</f>
        <v>8</v>
      </c>
      <c r="C362" s="4">
        <v>131358.57500000001</v>
      </c>
      <c r="D362" s="4">
        <v>44677.726999999999</v>
      </c>
      <c r="E362" s="79">
        <v>43833</v>
      </c>
      <c r="F362" s="79">
        <f>SUM(BASE_DATOS[[#This Row],[Capital($)]:[Interés
Resarcitorio($)]])</f>
        <v>219869.30200000003</v>
      </c>
      <c r="G362" s="8">
        <v>45652</v>
      </c>
      <c r="H362" s="80" t="s">
        <v>62</v>
      </c>
      <c r="I362" s="79" t="s">
        <v>7</v>
      </c>
      <c r="J362" s="81">
        <v>12</v>
      </c>
      <c r="K362" t="s">
        <v>46</v>
      </c>
    </row>
    <row r="363" spans="2:11" x14ac:dyDescent="0.25">
      <c r="B363" s="2">
        <v>9</v>
      </c>
      <c r="C363" s="4">
        <v>139279.49799999999</v>
      </c>
      <c r="D363" s="4">
        <v>36756.803999999996</v>
      </c>
      <c r="E363" s="79">
        <v>0</v>
      </c>
      <c r="F363" s="79">
        <f>SUM(BASE_DATOS[[#This Row],[Capital($)]:[Interés
Resarcitorio($)]])</f>
        <v>176036.302</v>
      </c>
      <c r="G363" s="8">
        <v>45673</v>
      </c>
      <c r="H363" s="80" t="s">
        <v>62</v>
      </c>
      <c r="I363" s="79" t="s">
        <v>9</v>
      </c>
      <c r="J363" s="81">
        <v>12</v>
      </c>
      <c r="K363" t="s">
        <v>46</v>
      </c>
    </row>
    <row r="364" spans="2:11" x14ac:dyDescent="0.25">
      <c r="B364" s="2">
        <f>+B363</f>
        <v>9</v>
      </c>
      <c r="C364" s="4">
        <v>139279.49799999999</v>
      </c>
      <c r="D364" s="4">
        <v>36756.803999999996</v>
      </c>
      <c r="E364" s="79">
        <v>43833</v>
      </c>
      <c r="F364" s="79">
        <f>SUM(BASE_DATOS[[#This Row],[Capital($)]:[Interés
Resarcitorio($)]])</f>
        <v>219869.302</v>
      </c>
      <c r="G364" s="8">
        <v>45683</v>
      </c>
      <c r="H364" s="80" t="s">
        <v>62</v>
      </c>
      <c r="I364" s="79" t="s">
        <v>7</v>
      </c>
      <c r="J364" s="81">
        <v>12</v>
      </c>
      <c r="K364" t="s">
        <v>46</v>
      </c>
    </row>
    <row r="365" spans="2:11" x14ac:dyDescent="0.25">
      <c r="B365" s="2">
        <v>10</v>
      </c>
      <c r="C365" s="4">
        <v>147678.05100000001</v>
      </c>
      <c r="D365" s="4">
        <v>28358.251</v>
      </c>
      <c r="E365" s="79">
        <v>0</v>
      </c>
      <c r="F365" s="79">
        <f>SUM(BASE_DATOS[[#This Row],[Capital($)]:[Interés
Resarcitorio($)]])</f>
        <v>176036.302</v>
      </c>
      <c r="G365" s="8">
        <v>45704</v>
      </c>
      <c r="H365" s="80" t="s">
        <v>62</v>
      </c>
      <c r="I365" s="79" t="s">
        <v>9</v>
      </c>
      <c r="J365" s="81">
        <v>12</v>
      </c>
      <c r="K365" t="s">
        <v>46</v>
      </c>
    </row>
    <row r="366" spans="2:11" x14ac:dyDescent="0.25">
      <c r="B366" s="2">
        <f>+B365</f>
        <v>10</v>
      </c>
      <c r="C366" s="4">
        <v>147678.05100000001</v>
      </c>
      <c r="D366" s="4">
        <v>28358.251</v>
      </c>
      <c r="E366" s="79">
        <v>42601</v>
      </c>
      <c r="F366" s="79">
        <f>SUM(BASE_DATOS[[#This Row],[Capital($)]:[Interés
Resarcitorio($)]])</f>
        <v>218637.302</v>
      </c>
      <c r="G366" s="8">
        <v>45714</v>
      </c>
      <c r="H366" s="80" t="s">
        <v>62</v>
      </c>
      <c r="I366" s="79" t="s">
        <v>7</v>
      </c>
      <c r="J366" s="81">
        <v>12</v>
      </c>
      <c r="K366" t="s">
        <v>46</v>
      </c>
    </row>
    <row r="367" spans="2:11" x14ac:dyDescent="0.25">
      <c r="B367" s="2">
        <v>11</v>
      </c>
      <c r="C367" s="4">
        <v>156583.038</v>
      </c>
      <c r="D367" s="4">
        <v>19453.264000000003</v>
      </c>
      <c r="E367" s="79">
        <v>0</v>
      </c>
      <c r="F367" s="79">
        <f>SUM(BASE_DATOS[[#This Row],[Capital($)]:[Interés
Resarcitorio($)]])</f>
        <v>176036.302</v>
      </c>
      <c r="G367" s="8">
        <v>45732</v>
      </c>
      <c r="H367" s="80" t="s">
        <v>62</v>
      </c>
      <c r="I367" s="79" t="s">
        <v>9</v>
      </c>
      <c r="J367" s="81">
        <v>12</v>
      </c>
      <c r="K367" t="s">
        <v>46</v>
      </c>
    </row>
    <row r="368" spans="2:11" x14ac:dyDescent="0.25">
      <c r="B368" s="2">
        <f>+B367</f>
        <v>11</v>
      </c>
      <c r="C368" s="4">
        <v>156583.038</v>
      </c>
      <c r="D368" s="4">
        <v>19453.264000000003</v>
      </c>
      <c r="E368" s="79">
        <v>23472</v>
      </c>
      <c r="F368" s="79">
        <f>SUM(BASE_DATOS[[#This Row],[Capital($)]:[Interés
Resarcitorio($)]])</f>
        <v>199508.302</v>
      </c>
      <c r="G368" s="8">
        <v>45742</v>
      </c>
      <c r="H368" s="80" t="s">
        <v>62</v>
      </c>
      <c r="I368" s="79" t="s">
        <v>7</v>
      </c>
      <c r="J368" s="81">
        <v>12</v>
      </c>
      <c r="K368" t="s">
        <v>46</v>
      </c>
    </row>
    <row r="369" spans="2:11" x14ac:dyDescent="0.25">
      <c r="B369" s="2">
        <v>12</v>
      </c>
      <c r="C369" s="4">
        <v>166024.99400000001</v>
      </c>
      <c r="D369" s="4">
        <v>10011.308000000001</v>
      </c>
      <c r="E369" s="79">
        <v>0</v>
      </c>
      <c r="F369" s="79">
        <f>SUM(BASE_DATOS[[#This Row],[Capital($)]:[Interés
Resarcitorio($)]])</f>
        <v>176036.302</v>
      </c>
      <c r="G369" s="8">
        <v>45763</v>
      </c>
      <c r="H369" s="80" t="s">
        <v>62</v>
      </c>
      <c r="I369" s="79" t="s">
        <v>9</v>
      </c>
      <c r="J369" s="81">
        <v>12</v>
      </c>
      <c r="K369" t="s">
        <v>46</v>
      </c>
    </row>
    <row r="370" spans="2:11" x14ac:dyDescent="0.25">
      <c r="B370" s="2">
        <f>+B369</f>
        <v>12</v>
      </c>
      <c r="C370" s="4">
        <v>166024.99400000001</v>
      </c>
      <c r="D370" s="4">
        <v>10011.308000000001</v>
      </c>
      <c r="E370" s="79">
        <v>23472</v>
      </c>
      <c r="F370" s="79">
        <f>SUM(BASE_DATOS[[#This Row],[Capital($)]:[Interés
Resarcitorio($)]])</f>
        <v>199508.302</v>
      </c>
      <c r="G370" s="8">
        <v>45773</v>
      </c>
      <c r="H370" s="80" t="s">
        <v>62</v>
      </c>
      <c r="I370" s="79" t="s">
        <v>7</v>
      </c>
      <c r="J370" s="81">
        <v>12</v>
      </c>
      <c r="K370" t="s">
        <v>46</v>
      </c>
    </row>
    <row r="371" spans="2:11" x14ac:dyDescent="0.25">
      <c r="B371" s="2">
        <v>1</v>
      </c>
      <c r="C371" s="4">
        <v>106056.88400000001</v>
      </c>
      <c r="D371" s="4">
        <v>108076.31200000001</v>
      </c>
      <c r="E371" s="79">
        <v>0</v>
      </c>
      <c r="F371" s="79">
        <f>SUM(BASE_DATOS[[#This Row],[Capital($)]:[Interés
Resarcitorio($)]])</f>
        <v>214133.196</v>
      </c>
      <c r="G371" s="8">
        <v>45459</v>
      </c>
      <c r="H371" s="80" t="s">
        <v>64</v>
      </c>
      <c r="I371" s="79" t="s">
        <v>9</v>
      </c>
      <c r="J371" s="81">
        <v>12</v>
      </c>
      <c r="K371" t="s">
        <v>46</v>
      </c>
    </row>
    <row r="372" spans="2:11" x14ac:dyDescent="0.25">
      <c r="B372" s="2">
        <f>+B371</f>
        <v>1</v>
      </c>
      <c r="C372" s="4">
        <v>106056.88400000001</v>
      </c>
      <c r="D372" s="4">
        <v>108076.31200000001</v>
      </c>
      <c r="E372" s="79">
        <v>45753.13</v>
      </c>
      <c r="F372" s="79">
        <f>SUM(BASE_DATOS[[#This Row],[Capital($)]:[Interés
Resarcitorio($)]])</f>
        <v>259886.326</v>
      </c>
      <c r="G372" s="8">
        <v>45469</v>
      </c>
      <c r="H372" s="80" t="s">
        <v>64</v>
      </c>
      <c r="I372" s="79" t="s">
        <v>7</v>
      </c>
      <c r="J372" s="81">
        <v>12</v>
      </c>
      <c r="K372" t="s">
        <v>46</v>
      </c>
    </row>
    <row r="373" spans="2:11" x14ac:dyDescent="0.25">
      <c r="B373" s="2">
        <v>2</v>
      </c>
      <c r="C373" s="4">
        <v>112452.11399999999</v>
      </c>
      <c r="D373" s="4">
        <v>101681.08199999999</v>
      </c>
      <c r="E373" s="79">
        <v>0</v>
      </c>
      <c r="F373" s="79">
        <f>SUM(BASE_DATOS[[#This Row],[Capital($)]:[Interés
Resarcitorio($)]])</f>
        <v>214133.196</v>
      </c>
      <c r="G373" s="8">
        <v>45489</v>
      </c>
      <c r="H373" s="80" t="s">
        <v>64</v>
      </c>
      <c r="I373" s="79" t="s">
        <v>9</v>
      </c>
      <c r="J373" s="81">
        <v>12</v>
      </c>
      <c r="K373" t="s">
        <v>46</v>
      </c>
    </row>
    <row r="374" spans="2:11" x14ac:dyDescent="0.25">
      <c r="B374" s="2">
        <f>+B373</f>
        <v>2</v>
      </c>
      <c r="C374" s="4">
        <v>112452.11399999999</v>
      </c>
      <c r="D374" s="4">
        <v>101681.08199999999</v>
      </c>
      <c r="E374" s="79">
        <v>45753.13</v>
      </c>
      <c r="F374" s="79">
        <f>SUM(BASE_DATOS[[#This Row],[Capital($)]:[Interés
Resarcitorio($)]])</f>
        <v>259886.326</v>
      </c>
      <c r="G374" s="8">
        <v>45499</v>
      </c>
      <c r="H374" s="80" t="s">
        <v>64</v>
      </c>
      <c r="I374" s="79" t="s">
        <v>7</v>
      </c>
      <c r="J374" s="81">
        <v>12</v>
      </c>
      <c r="K374" t="s">
        <v>46</v>
      </c>
    </row>
    <row r="375" spans="2:11" x14ac:dyDescent="0.25">
      <c r="B375" s="2">
        <v>3</v>
      </c>
      <c r="C375" s="4">
        <v>119232.977</v>
      </c>
      <c r="D375" s="4">
        <v>94900.218999999997</v>
      </c>
      <c r="E375" s="79">
        <v>0</v>
      </c>
      <c r="F375" s="79">
        <f>SUM(BASE_DATOS[[#This Row],[Capital($)]:[Interés
Resarcitorio($)]])</f>
        <v>214133.196</v>
      </c>
      <c r="G375" s="8">
        <v>45520</v>
      </c>
      <c r="H375" s="80" t="s">
        <v>64</v>
      </c>
      <c r="I375" s="79" t="s">
        <v>9</v>
      </c>
      <c r="J375" s="81">
        <v>12</v>
      </c>
      <c r="K375" t="s">
        <v>46</v>
      </c>
    </row>
    <row r="376" spans="2:11" x14ac:dyDescent="0.25">
      <c r="B376" s="2">
        <f>+B375</f>
        <v>3</v>
      </c>
      <c r="C376" s="4">
        <v>119232.977</v>
      </c>
      <c r="D376" s="4">
        <v>94900.218999999997</v>
      </c>
      <c r="E376" s="79">
        <v>45753.13</v>
      </c>
      <c r="F376" s="79">
        <f>SUM(BASE_DATOS[[#This Row],[Capital($)]:[Interés
Resarcitorio($)]])</f>
        <v>259886.326</v>
      </c>
      <c r="G376" s="8">
        <v>45530</v>
      </c>
      <c r="H376" s="80" t="s">
        <v>64</v>
      </c>
      <c r="I376" s="79" t="s">
        <v>7</v>
      </c>
      <c r="J376" s="81">
        <v>12</v>
      </c>
      <c r="K376" t="s">
        <v>46</v>
      </c>
    </row>
    <row r="377" spans="2:11" x14ac:dyDescent="0.25">
      <c r="B377" s="2">
        <v>4</v>
      </c>
      <c r="C377" s="4">
        <v>126422.72500000001</v>
      </c>
      <c r="D377" s="4">
        <v>87710.47099999999</v>
      </c>
      <c r="E377" s="79">
        <v>0</v>
      </c>
      <c r="F377" s="79">
        <f>SUM(BASE_DATOS[[#This Row],[Capital($)]:[Interés
Resarcitorio($)]])</f>
        <v>214133.196</v>
      </c>
      <c r="G377" s="8">
        <v>45551</v>
      </c>
      <c r="H377" s="80" t="s">
        <v>64</v>
      </c>
      <c r="I377" s="79" t="s">
        <v>9</v>
      </c>
      <c r="J377" s="81">
        <v>12</v>
      </c>
      <c r="K377" t="s">
        <v>46</v>
      </c>
    </row>
    <row r="378" spans="2:11" x14ac:dyDescent="0.25">
      <c r="B378" s="2">
        <f>+B377</f>
        <v>4</v>
      </c>
      <c r="C378" s="4">
        <v>126422.72500000001</v>
      </c>
      <c r="D378" s="4">
        <v>87710.47099999999</v>
      </c>
      <c r="E378" s="79">
        <v>45753.13</v>
      </c>
      <c r="F378" s="79">
        <f>SUM(BASE_DATOS[[#This Row],[Capital($)]:[Interés
Resarcitorio($)]])</f>
        <v>259886.326</v>
      </c>
      <c r="G378" s="8">
        <v>45561</v>
      </c>
      <c r="H378" s="80" t="s">
        <v>64</v>
      </c>
      <c r="I378" s="79" t="s">
        <v>7</v>
      </c>
      <c r="J378" s="81">
        <v>12</v>
      </c>
      <c r="K378" t="s">
        <v>46</v>
      </c>
    </row>
    <row r="379" spans="2:11" x14ac:dyDescent="0.25">
      <c r="B379" s="2">
        <v>5</v>
      </c>
      <c r="C379" s="4">
        <v>134046.014</v>
      </c>
      <c r="D379" s="4">
        <v>80087.182000000001</v>
      </c>
      <c r="E379" s="79">
        <v>0</v>
      </c>
      <c r="F379" s="79">
        <f>SUM(BASE_DATOS[[#This Row],[Capital($)]:[Interés
Resarcitorio($)]])</f>
        <v>214133.196</v>
      </c>
      <c r="G379" s="8">
        <v>45581</v>
      </c>
      <c r="H379" s="80" t="s">
        <v>64</v>
      </c>
      <c r="I379" s="79" t="s">
        <v>9</v>
      </c>
      <c r="J379" s="81">
        <v>12</v>
      </c>
      <c r="K379" t="s">
        <v>46</v>
      </c>
    </row>
    <row r="380" spans="2:11" x14ac:dyDescent="0.25">
      <c r="B380" s="2">
        <f>+B379</f>
        <v>5</v>
      </c>
      <c r="C380" s="4">
        <v>134046.014</v>
      </c>
      <c r="D380" s="4">
        <v>80087.182000000001</v>
      </c>
      <c r="E380" s="79">
        <v>45753.13</v>
      </c>
      <c r="F380" s="79">
        <f>SUM(BASE_DATOS[[#This Row],[Capital($)]:[Interés
Resarcitorio($)]])</f>
        <v>259886.326</v>
      </c>
      <c r="G380" s="8">
        <v>45591</v>
      </c>
      <c r="H380" s="80" t="s">
        <v>64</v>
      </c>
      <c r="I380" s="79" t="s">
        <v>7</v>
      </c>
      <c r="J380" s="81">
        <v>12</v>
      </c>
      <c r="K380" t="s">
        <v>46</v>
      </c>
    </row>
    <row r="381" spans="2:11" x14ac:dyDescent="0.25">
      <c r="B381" s="2">
        <v>6</v>
      </c>
      <c r="C381" s="4">
        <v>142128.99099999998</v>
      </c>
      <c r="D381" s="4">
        <v>72004.205000000002</v>
      </c>
      <c r="E381" s="79">
        <v>0</v>
      </c>
      <c r="F381" s="79">
        <f>SUM(BASE_DATOS[[#This Row],[Capital($)]:[Interés
Resarcitorio($)]])</f>
        <v>214133.196</v>
      </c>
      <c r="G381" s="8">
        <v>45612</v>
      </c>
      <c r="H381" s="80" t="s">
        <v>64</v>
      </c>
      <c r="I381" s="79" t="s">
        <v>9</v>
      </c>
      <c r="J381" s="81">
        <v>12</v>
      </c>
      <c r="K381" t="s">
        <v>46</v>
      </c>
    </row>
    <row r="382" spans="2:11" x14ac:dyDescent="0.25">
      <c r="B382" s="2">
        <f>+B381</f>
        <v>6</v>
      </c>
      <c r="C382" s="4">
        <v>142128.99099999998</v>
      </c>
      <c r="D382" s="4">
        <v>72004.205000000002</v>
      </c>
      <c r="E382" s="79">
        <v>45753.13</v>
      </c>
      <c r="F382" s="79">
        <f>SUM(BASE_DATOS[[#This Row],[Capital($)]:[Interés
Resarcitorio($)]])</f>
        <v>259886.326</v>
      </c>
      <c r="G382" s="8">
        <v>45622</v>
      </c>
      <c r="H382" s="80" t="s">
        <v>64</v>
      </c>
      <c r="I382" s="79" t="s">
        <v>7</v>
      </c>
      <c r="J382" s="81">
        <v>12</v>
      </c>
      <c r="K382" t="s">
        <v>46</v>
      </c>
    </row>
    <row r="383" spans="2:11" x14ac:dyDescent="0.25">
      <c r="B383" s="2">
        <v>7</v>
      </c>
      <c r="C383" s="4">
        <v>150699.367</v>
      </c>
      <c r="D383" s="4">
        <v>63433.829000000005</v>
      </c>
      <c r="E383" s="79">
        <v>0</v>
      </c>
      <c r="F383" s="79">
        <f>SUM(BASE_DATOS[[#This Row],[Capital($)]:[Interés
Resarcitorio($)]])</f>
        <v>214133.196</v>
      </c>
      <c r="G383" s="8">
        <v>45642</v>
      </c>
      <c r="H383" s="80" t="s">
        <v>64</v>
      </c>
      <c r="I383" s="79" t="s">
        <v>9</v>
      </c>
      <c r="J383" s="81">
        <v>12</v>
      </c>
      <c r="K383" t="s">
        <v>46</v>
      </c>
    </row>
    <row r="384" spans="2:11" x14ac:dyDescent="0.25">
      <c r="B384" s="2">
        <f>+B383</f>
        <v>7</v>
      </c>
      <c r="C384" s="4">
        <v>150699.367</v>
      </c>
      <c r="D384" s="4">
        <v>63433.829000000005</v>
      </c>
      <c r="E384" s="79">
        <v>53319.17</v>
      </c>
      <c r="F384" s="79">
        <f>SUM(BASE_DATOS[[#This Row],[Capital($)]:[Interés
Resarcitorio($)]])</f>
        <v>267452.36599999998</v>
      </c>
      <c r="G384" s="8">
        <v>45652</v>
      </c>
      <c r="H384" s="80" t="s">
        <v>64</v>
      </c>
      <c r="I384" s="79" t="s">
        <v>7</v>
      </c>
      <c r="J384" s="81">
        <v>12</v>
      </c>
      <c r="K384" t="s">
        <v>46</v>
      </c>
    </row>
    <row r="385" spans="2:11" x14ac:dyDescent="0.25">
      <c r="B385" s="2">
        <v>8</v>
      </c>
      <c r="C385" s="4">
        <v>159786.53999999998</v>
      </c>
      <c r="D385" s="4">
        <v>54346.656000000003</v>
      </c>
      <c r="E385" s="79">
        <v>0</v>
      </c>
      <c r="F385" s="79">
        <f>SUM(BASE_DATOS[[#This Row],[Capital($)]:[Interés
Resarcitorio($)]])</f>
        <v>214133.196</v>
      </c>
      <c r="G385" s="8">
        <v>45673</v>
      </c>
      <c r="H385" s="80" t="s">
        <v>64</v>
      </c>
      <c r="I385" s="79" t="s">
        <v>9</v>
      </c>
      <c r="J385" s="81">
        <v>12</v>
      </c>
      <c r="K385" t="s">
        <v>46</v>
      </c>
    </row>
    <row r="386" spans="2:11" x14ac:dyDescent="0.25">
      <c r="B386" s="2">
        <f>+B385</f>
        <v>8</v>
      </c>
      <c r="C386" s="4">
        <v>159786.53999999998</v>
      </c>
      <c r="D386" s="4">
        <v>54346.656000000003</v>
      </c>
      <c r="E386" s="79">
        <v>53319.17</v>
      </c>
      <c r="F386" s="79">
        <f>SUM(BASE_DATOS[[#This Row],[Capital($)]:[Interés
Resarcitorio($)]])</f>
        <v>267452.36599999998</v>
      </c>
      <c r="G386" s="8">
        <v>45683</v>
      </c>
      <c r="H386" s="80" t="s">
        <v>64</v>
      </c>
      <c r="I386" s="79" t="s">
        <v>7</v>
      </c>
      <c r="J386" s="81">
        <v>12</v>
      </c>
      <c r="K386" t="s">
        <v>46</v>
      </c>
    </row>
    <row r="387" spans="2:11" x14ac:dyDescent="0.25">
      <c r="B387" s="2">
        <v>9</v>
      </c>
      <c r="C387" s="4">
        <v>169421.66699999999</v>
      </c>
      <c r="D387" s="4">
        <v>44711.528999999995</v>
      </c>
      <c r="E387" s="79">
        <v>0</v>
      </c>
      <c r="F387" s="79">
        <f>SUM(BASE_DATOS[[#This Row],[Capital($)]:[Interés
Resarcitorio($)]])</f>
        <v>214133.196</v>
      </c>
      <c r="G387" s="8">
        <v>45704</v>
      </c>
      <c r="H387" s="80" t="s">
        <v>64</v>
      </c>
      <c r="I387" s="79" t="s">
        <v>9</v>
      </c>
      <c r="J387" s="81">
        <v>12</v>
      </c>
      <c r="K387" t="s">
        <v>46</v>
      </c>
    </row>
    <row r="388" spans="2:11" x14ac:dyDescent="0.25">
      <c r="B388" s="2">
        <f>+B387</f>
        <v>9</v>
      </c>
      <c r="C388" s="4">
        <v>169421.66699999999</v>
      </c>
      <c r="D388" s="4">
        <v>44711.528999999995</v>
      </c>
      <c r="E388" s="79">
        <v>51820.23</v>
      </c>
      <c r="F388" s="79">
        <f>SUM(BASE_DATOS[[#This Row],[Capital($)]:[Interés
Resarcitorio($)]])</f>
        <v>265953.42599999998</v>
      </c>
      <c r="G388" s="8">
        <v>45714</v>
      </c>
      <c r="H388" s="80" t="s">
        <v>64</v>
      </c>
      <c r="I388" s="79" t="s">
        <v>7</v>
      </c>
      <c r="J388" s="81">
        <v>12</v>
      </c>
      <c r="K388" t="s">
        <v>46</v>
      </c>
    </row>
    <row r="389" spans="2:11" x14ac:dyDescent="0.25">
      <c r="B389" s="2">
        <v>10</v>
      </c>
      <c r="C389" s="4">
        <v>179637.79399999999</v>
      </c>
      <c r="D389" s="4">
        <v>34495.402000000002</v>
      </c>
      <c r="E389" s="79">
        <v>0</v>
      </c>
      <c r="F389" s="79">
        <f>SUM(BASE_DATOS[[#This Row],[Capital($)]:[Interés
Resarcitorio($)]])</f>
        <v>214133.196</v>
      </c>
      <c r="G389" s="8">
        <v>45732</v>
      </c>
      <c r="H389" s="80" t="s">
        <v>64</v>
      </c>
      <c r="I389" s="79" t="s">
        <v>9</v>
      </c>
      <c r="J389" s="81">
        <v>12</v>
      </c>
      <c r="K389" t="s">
        <v>46</v>
      </c>
    </row>
    <row r="390" spans="2:11" x14ac:dyDescent="0.25">
      <c r="B390" s="2">
        <f>+B389</f>
        <v>10</v>
      </c>
      <c r="C390" s="4">
        <v>179637.79399999999</v>
      </c>
      <c r="D390" s="4">
        <v>34495.402000000002</v>
      </c>
      <c r="E390" s="79">
        <v>28551.09</v>
      </c>
      <c r="F390" s="79">
        <f>SUM(BASE_DATOS[[#This Row],[Capital($)]:[Interés
Resarcitorio($)]])</f>
        <v>242684.28599999999</v>
      </c>
      <c r="G390" s="8">
        <v>45742</v>
      </c>
      <c r="H390" s="80" t="s">
        <v>64</v>
      </c>
      <c r="I390" s="79" t="s">
        <v>7</v>
      </c>
      <c r="J390" s="81">
        <v>12</v>
      </c>
      <c r="K390" t="s">
        <v>46</v>
      </c>
    </row>
    <row r="391" spans="2:11" x14ac:dyDescent="0.25">
      <c r="B391" s="2">
        <v>11</v>
      </c>
      <c r="C391" s="4">
        <v>190469.954</v>
      </c>
      <c r="D391" s="4">
        <v>23663.242000000002</v>
      </c>
      <c r="E391" s="79">
        <v>0</v>
      </c>
      <c r="F391" s="79">
        <f>SUM(BASE_DATOS[[#This Row],[Capital($)]:[Interés
Resarcitorio($)]])</f>
        <v>214133.196</v>
      </c>
      <c r="G391" s="8">
        <v>45763</v>
      </c>
      <c r="H391" s="80" t="s">
        <v>64</v>
      </c>
      <c r="I391" s="79" t="s">
        <v>9</v>
      </c>
      <c r="J391" s="81">
        <v>12</v>
      </c>
      <c r="K391" t="s">
        <v>46</v>
      </c>
    </row>
    <row r="392" spans="2:11" x14ac:dyDescent="0.25">
      <c r="B392" s="2">
        <f>+B391</f>
        <v>11</v>
      </c>
      <c r="C392" s="4">
        <v>190469.954</v>
      </c>
      <c r="D392" s="4">
        <v>23663.242000000002</v>
      </c>
      <c r="E392" s="79">
        <v>28551.09</v>
      </c>
      <c r="F392" s="79">
        <f>SUM(BASE_DATOS[[#This Row],[Capital($)]:[Interés
Resarcitorio($)]])</f>
        <v>242684.28599999999</v>
      </c>
      <c r="G392" s="8">
        <v>45773</v>
      </c>
      <c r="H392" s="80" t="s">
        <v>64</v>
      </c>
      <c r="I392" s="79" t="s">
        <v>7</v>
      </c>
      <c r="J392" s="81">
        <v>12</v>
      </c>
      <c r="K392" t="s">
        <v>46</v>
      </c>
    </row>
    <row r="393" spans="2:11" x14ac:dyDescent="0.25">
      <c r="B393" s="2">
        <v>12</v>
      </c>
      <c r="C393" s="4">
        <v>201955.29300000001</v>
      </c>
      <c r="D393" s="4">
        <v>12177.903</v>
      </c>
      <c r="E393" s="79">
        <v>0</v>
      </c>
      <c r="F393" s="79">
        <f>SUM(BASE_DATOS[[#This Row],[Capital($)]:[Interés
Resarcitorio($)]])</f>
        <v>214133.196</v>
      </c>
      <c r="G393" s="8">
        <v>45793</v>
      </c>
      <c r="H393" s="80" t="s">
        <v>64</v>
      </c>
      <c r="I393" s="79" t="s">
        <v>9</v>
      </c>
      <c r="J393" s="81">
        <v>12</v>
      </c>
      <c r="K393" t="s">
        <v>46</v>
      </c>
    </row>
    <row r="394" spans="2:11" x14ac:dyDescent="0.25">
      <c r="B394" s="2">
        <f>+B393</f>
        <v>12</v>
      </c>
      <c r="C394" s="4">
        <v>201955.29300000001</v>
      </c>
      <c r="D394" s="4">
        <v>12177.903</v>
      </c>
      <c r="E394" s="79">
        <v>28551.09</v>
      </c>
      <c r="F394" s="79">
        <f>SUM(BASE_DATOS[[#This Row],[Capital($)]:[Interés
Resarcitorio($)]])</f>
        <v>242684.28599999999</v>
      </c>
      <c r="G394" s="8">
        <v>45803</v>
      </c>
      <c r="H394" s="80" t="s">
        <v>64</v>
      </c>
      <c r="I394" s="79" t="s">
        <v>7</v>
      </c>
      <c r="J394" s="81">
        <v>12</v>
      </c>
      <c r="K394" t="s">
        <v>46</v>
      </c>
    </row>
    <row r="395" spans="2:11" x14ac:dyDescent="0.25">
      <c r="B395" s="2">
        <v>1</v>
      </c>
      <c r="C395" s="4">
        <v>134733.647</v>
      </c>
      <c r="D395" s="4">
        <v>61888.498999999996</v>
      </c>
      <c r="E395" s="79">
        <v>0</v>
      </c>
      <c r="F395" s="79">
        <f>SUM(BASE_DATOS[[#This Row],[Capital($)]:[Interés
Resarcitorio($)]])</f>
        <v>196622.14600000001</v>
      </c>
      <c r="G395" s="8">
        <v>45489</v>
      </c>
      <c r="H395" s="80" t="s">
        <v>65</v>
      </c>
      <c r="I395" s="79" t="s">
        <v>9</v>
      </c>
      <c r="J395" s="81">
        <v>12</v>
      </c>
      <c r="K395" t="s">
        <v>46</v>
      </c>
    </row>
    <row r="396" spans="2:11" x14ac:dyDescent="0.25">
      <c r="B396" s="2">
        <f>+B395</f>
        <v>1</v>
      </c>
      <c r="C396" s="4">
        <v>134733.647</v>
      </c>
      <c r="D396" s="4">
        <v>61888.498999999996</v>
      </c>
      <c r="E396" s="79">
        <v>42011.59</v>
      </c>
      <c r="F396" s="79">
        <f>SUM(BASE_DATOS[[#This Row],[Capital($)]:[Interés
Resarcitorio($)]])</f>
        <v>238633.736</v>
      </c>
      <c r="G396" s="8">
        <v>45499</v>
      </c>
      <c r="H396" s="80" t="s">
        <v>65</v>
      </c>
      <c r="I396" s="79" t="s">
        <v>7</v>
      </c>
      <c r="J396" s="81">
        <v>12</v>
      </c>
      <c r="K396" t="s">
        <v>46</v>
      </c>
    </row>
    <row r="397" spans="2:11" x14ac:dyDescent="0.25">
      <c r="B397" s="2">
        <v>2</v>
      </c>
      <c r="C397" s="4">
        <v>139045.122</v>
      </c>
      <c r="D397" s="4">
        <v>57577.023999999998</v>
      </c>
      <c r="E397" s="79">
        <v>0</v>
      </c>
      <c r="F397" s="79">
        <f>SUM(BASE_DATOS[[#This Row],[Capital($)]:[Interés
Resarcitorio($)]])</f>
        <v>196622.14600000001</v>
      </c>
      <c r="G397" s="8">
        <v>45520</v>
      </c>
      <c r="H397" s="80" t="s">
        <v>65</v>
      </c>
      <c r="I397" s="79" t="s">
        <v>9</v>
      </c>
      <c r="J397" s="81">
        <v>12</v>
      </c>
      <c r="K397" t="s">
        <v>46</v>
      </c>
    </row>
    <row r="398" spans="2:11" x14ac:dyDescent="0.25">
      <c r="B398" s="2">
        <f>+B397</f>
        <v>2</v>
      </c>
      <c r="C398" s="4">
        <v>139045.122</v>
      </c>
      <c r="D398" s="4">
        <v>57577.023999999998</v>
      </c>
      <c r="E398" s="79">
        <v>42011.6</v>
      </c>
      <c r="F398" s="79">
        <f>SUM(BASE_DATOS[[#This Row],[Capital($)]:[Interés
Resarcitorio($)]])</f>
        <v>238633.74600000001</v>
      </c>
      <c r="G398" s="8">
        <v>45530</v>
      </c>
      <c r="H398" s="80" t="s">
        <v>65</v>
      </c>
      <c r="I398" s="79" t="s">
        <v>7</v>
      </c>
      <c r="J398" s="81">
        <v>12</v>
      </c>
      <c r="K398" t="s">
        <v>46</v>
      </c>
    </row>
    <row r="399" spans="2:11" x14ac:dyDescent="0.25">
      <c r="B399" s="2">
        <v>3</v>
      </c>
      <c r="C399" s="4">
        <v>143494.56699999998</v>
      </c>
      <c r="D399" s="4">
        <v>53127.579000000005</v>
      </c>
      <c r="E399" s="79">
        <v>0</v>
      </c>
      <c r="F399" s="79">
        <f>SUM(BASE_DATOS[[#This Row],[Capital($)]:[Interés
Resarcitorio($)]])</f>
        <v>196622.14599999998</v>
      </c>
      <c r="G399" s="8">
        <v>45551</v>
      </c>
      <c r="H399" s="80" t="s">
        <v>65</v>
      </c>
      <c r="I399" s="79" t="s">
        <v>9</v>
      </c>
      <c r="J399" s="81">
        <v>12</v>
      </c>
      <c r="K399" t="s">
        <v>46</v>
      </c>
    </row>
    <row r="400" spans="2:11" x14ac:dyDescent="0.25">
      <c r="B400" s="2">
        <f>+B399</f>
        <v>3</v>
      </c>
      <c r="C400" s="4">
        <v>143494.56699999998</v>
      </c>
      <c r="D400" s="4">
        <v>53127.579000000005</v>
      </c>
      <c r="E400" s="79">
        <v>42011.6</v>
      </c>
      <c r="F400" s="79">
        <f>SUM(BASE_DATOS[[#This Row],[Capital($)]:[Interés
Resarcitorio($)]])</f>
        <v>238633.74599999998</v>
      </c>
      <c r="G400" s="8">
        <v>45561</v>
      </c>
      <c r="H400" s="80" t="s">
        <v>65</v>
      </c>
      <c r="I400" s="79" t="s">
        <v>7</v>
      </c>
      <c r="J400" s="81">
        <v>12</v>
      </c>
      <c r="K400" t="s">
        <v>46</v>
      </c>
    </row>
    <row r="401" spans="2:11" x14ac:dyDescent="0.25">
      <c r="B401" s="2">
        <v>4</v>
      </c>
      <c r="C401" s="4">
        <v>148086.39299999998</v>
      </c>
      <c r="D401" s="4">
        <v>48535.753000000004</v>
      </c>
      <c r="E401" s="79">
        <v>0</v>
      </c>
      <c r="F401" s="79">
        <f>SUM(BASE_DATOS[[#This Row],[Capital($)]:[Interés
Resarcitorio($)]])</f>
        <v>196622.14599999998</v>
      </c>
      <c r="G401" s="8">
        <v>45581</v>
      </c>
      <c r="H401" s="80" t="s">
        <v>65</v>
      </c>
      <c r="I401" s="79" t="s">
        <v>9</v>
      </c>
      <c r="J401" s="81">
        <v>12</v>
      </c>
      <c r="K401" t="s">
        <v>46</v>
      </c>
    </row>
    <row r="402" spans="2:11" x14ac:dyDescent="0.25">
      <c r="B402" s="2">
        <f>+B401</f>
        <v>4</v>
      </c>
      <c r="C402" s="4">
        <v>148086.39299999998</v>
      </c>
      <c r="D402" s="4">
        <v>48535.753000000004</v>
      </c>
      <c r="E402" s="79">
        <v>42011.6</v>
      </c>
      <c r="F402" s="79">
        <f>SUM(BASE_DATOS[[#This Row],[Capital($)]:[Interés
Resarcitorio($)]])</f>
        <v>238633.74599999998</v>
      </c>
      <c r="G402" s="8">
        <v>45591</v>
      </c>
      <c r="H402" s="80" t="s">
        <v>65</v>
      </c>
      <c r="I402" s="79" t="s">
        <v>7</v>
      </c>
      <c r="J402" s="81">
        <v>12</v>
      </c>
      <c r="K402" t="s">
        <v>46</v>
      </c>
    </row>
    <row r="403" spans="2:11" x14ac:dyDescent="0.25">
      <c r="B403" s="2">
        <v>5</v>
      </c>
      <c r="C403" s="4">
        <v>152825.158</v>
      </c>
      <c r="D403" s="4">
        <v>43796.987999999998</v>
      </c>
      <c r="E403" s="79">
        <v>0</v>
      </c>
      <c r="F403" s="79">
        <f>SUM(BASE_DATOS[[#This Row],[Capital($)]:[Interés
Resarcitorio($)]])</f>
        <v>196622.14600000001</v>
      </c>
      <c r="G403" s="8">
        <v>45612</v>
      </c>
      <c r="H403" s="80" t="s">
        <v>65</v>
      </c>
      <c r="I403" s="79" t="s">
        <v>9</v>
      </c>
      <c r="J403" s="81">
        <v>12</v>
      </c>
      <c r="K403" t="s">
        <v>46</v>
      </c>
    </row>
    <row r="404" spans="2:11" x14ac:dyDescent="0.25">
      <c r="B404" s="2">
        <f>+B403</f>
        <v>5</v>
      </c>
      <c r="C404" s="4">
        <v>152825.158</v>
      </c>
      <c r="D404" s="4">
        <v>43796.987999999998</v>
      </c>
      <c r="E404" s="79">
        <v>42011.59</v>
      </c>
      <c r="F404" s="79">
        <f>SUM(BASE_DATOS[[#This Row],[Capital($)]:[Interés
Resarcitorio($)]])</f>
        <v>238633.736</v>
      </c>
      <c r="G404" s="8">
        <v>45622</v>
      </c>
      <c r="H404" s="80" t="s">
        <v>65</v>
      </c>
      <c r="I404" s="79" t="s">
        <v>7</v>
      </c>
      <c r="J404" s="81">
        <v>12</v>
      </c>
      <c r="K404" t="s">
        <v>46</v>
      </c>
    </row>
    <row r="405" spans="2:11" x14ac:dyDescent="0.25">
      <c r="B405" s="2">
        <v>6</v>
      </c>
      <c r="C405" s="4">
        <v>157715.56399999998</v>
      </c>
      <c r="D405" s="4">
        <v>38906.582000000002</v>
      </c>
      <c r="E405" s="79">
        <v>0</v>
      </c>
      <c r="F405" s="79">
        <f>SUM(BASE_DATOS[[#This Row],[Capital($)]:[Interés
Resarcitorio($)]])</f>
        <v>196622.14599999998</v>
      </c>
      <c r="G405" s="8">
        <v>45642</v>
      </c>
      <c r="H405" s="80" t="s">
        <v>65</v>
      </c>
      <c r="I405" s="79" t="s">
        <v>9</v>
      </c>
      <c r="J405" s="81">
        <v>12</v>
      </c>
      <c r="K405" t="s">
        <v>46</v>
      </c>
    </row>
    <row r="406" spans="2:11" x14ac:dyDescent="0.25">
      <c r="B406" s="2">
        <f>+B405</f>
        <v>6</v>
      </c>
      <c r="C406" s="4">
        <v>157715.56399999998</v>
      </c>
      <c r="D406" s="4">
        <v>38906.582000000002</v>
      </c>
      <c r="E406" s="79">
        <v>48958.91</v>
      </c>
      <c r="F406" s="79">
        <f>SUM(BASE_DATOS[[#This Row],[Capital($)]:[Interés
Resarcitorio($)]])</f>
        <v>245581.05599999998</v>
      </c>
      <c r="G406" s="8">
        <v>45652</v>
      </c>
      <c r="H406" s="80" t="s">
        <v>65</v>
      </c>
      <c r="I406" s="79" t="s">
        <v>7</v>
      </c>
      <c r="J406" s="81">
        <v>12</v>
      </c>
      <c r="K406" t="s">
        <v>46</v>
      </c>
    </row>
    <row r="407" spans="2:11" x14ac:dyDescent="0.25">
      <c r="B407" s="2">
        <v>7</v>
      </c>
      <c r="C407" s="4">
        <v>162762.46100000001</v>
      </c>
      <c r="D407" s="4">
        <v>33859.684999999998</v>
      </c>
      <c r="E407" s="79">
        <v>0</v>
      </c>
      <c r="F407" s="79">
        <f>SUM(BASE_DATOS[[#This Row],[Capital($)]:[Interés
Resarcitorio($)]])</f>
        <v>196622.14600000001</v>
      </c>
      <c r="G407" s="8">
        <v>45673</v>
      </c>
      <c r="H407" s="80" t="s">
        <v>65</v>
      </c>
      <c r="I407" s="79" t="s">
        <v>9</v>
      </c>
      <c r="J407" s="81">
        <v>12</v>
      </c>
      <c r="K407" t="s">
        <v>46</v>
      </c>
    </row>
    <row r="408" spans="2:11" x14ac:dyDescent="0.25">
      <c r="B408" s="2">
        <f>+B407</f>
        <v>7</v>
      </c>
      <c r="C408" s="4">
        <v>162762.46100000001</v>
      </c>
      <c r="D408" s="4">
        <v>33859.684999999998</v>
      </c>
      <c r="E408" s="79">
        <v>48958.91</v>
      </c>
      <c r="F408" s="79">
        <f>SUM(BASE_DATOS[[#This Row],[Capital($)]:[Interés
Resarcitorio($)]])</f>
        <v>245581.05600000001</v>
      </c>
      <c r="G408" s="8">
        <v>45683</v>
      </c>
      <c r="H408" s="80" t="s">
        <v>65</v>
      </c>
      <c r="I408" s="79" t="s">
        <v>7</v>
      </c>
      <c r="J408" s="81">
        <v>12</v>
      </c>
      <c r="K408" t="s">
        <v>46</v>
      </c>
    </row>
    <row r="409" spans="2:11" x14ac:dyDescent="0.25">
      <c r="B409" s="2">
        <v>8</v>
      </c>
      <c r="C409" s="4">
        <v>167970.86000000002</v>
      </c>
      <c r="D409" s="4">
        <v>28651.286</v>
      </c>
      <c r="E409" s="79">
        <v>0</v>
      </c>
      <c r="F409" s="79">
        <f>SUM(BASE_DATOS[[#This Row],[Capital($)]:[Interés
Resarcitorio($)]])</f>
        <v>196622.14600000001</v>
      </c>
      <c r="G409" s="8">
        <v>45704</v>
      </c>
      <c r="H409" s="80" t="s">
        <v>65</v>
      </c>
      <c r="I409" s="79" t="s">
        <v>9</v>
      </c>
      <c r="J409" s="81">
        <v>12</v>
      </c>
      <c r="K409" t="s">
        <v>46</v>
      </c>
    </row>
    <row r="410" spans="2:11" x14ac:dyDescent="0.25">
      <c r="B410" s="2">
        <f>+B409</f>
        <v>8</v>
      </c>
      <c r="C410" s="4">
        <v>167970.86000000002</v>
      </c>
      <c r="D410" s="4">
        <v>28651.286</v>
      </c>
      <c r="E410" s="79">
        <v>47582.55</v>
      </c>
      <c r="F410" s="79">
        <f>SUM(BASE_DATOS[[#This Row],[Capital($)]:[Interés
Resarcitorio($)]])</f>
        <v>244204.696</v>
      </c>
      <c r="G410" s="8">
        <v>45714</v>
      </c>
      <c r="H410" s="80" t="s">
        <v>65</v>
      </c>
      <c r="I410" s="79" t="s">
        <v>7</v>
      </c>
      <c r="J410" s="81">
        <v>12</v>
      </c>
      <c r="K410" t="s">
        <v>46</v>
      </c>
    </row>
    <row r="411" spans="2:11" x14ac:dyDescent="0.25">
      <c r="B411" s="2">
        <v>9</v>
      </c>
      <c r="C411" s="4">
        <v>173345.92600000001</v>
      </c>
      <c r="D411" s="4">
        <v>23276.22</v>
      </c>
      <c r="E411" s="79">
        <v>0</v>
      </c>
      <c r="F411" s="79">
        <f>SUM(BASE_DATOS[[#This Row],[Capital($)]:[Interés
Resarcitorio($)]])</f>
        <v>196622.14600000001</v>
      </c>
      <c r="G411" s="8">
        <v>45732</v>
      </c>
      <c r="H411" s="80" t="s">
        <v>65</v>
      </c>
      <c r="I411" s="79" t="s">
        <v>9</v>
      </c>
      <c r="J411" s="81">
        <v>12</v>
      </c>
      <c r="K411" t="s">
        <v>46</v>
      </c>
    </row>
    <row r="412" spans="2:11" x14ac:dyDescent="0.25">
      <c r="B412" s="2">
        <f>+B411</f>
        <v>9</v>
      </c>
      <c r="C412" s="4">
        <v>173345.92600000001</v>
      </c>
      <c r="D412" s="4">
        <v>23276.22</v>
      </c>
      <c r="E412" s="79">
        <v>26216.29</v>
      </c>
      <c r="F412" s="79">
        <f>SUM(BASE_DATOS[[#This Row],[Capital($)]:[Interés
Resarcitorio($)]])</f>
        <v>222838.43600000002</v>
      </c>
      <c r="G412" s="8">
        <v>45742</v>
      </c>
      <c r="H412" s="80" t="s">
        <v>65</v>
      </c>
      <c r="I412" s="79" t="s">
        <v>7</v>
      </c>
      <c r="J412" s="81">
        <v>12</v>
      </c>
      <c r="K412" t="s">
        <v>46</v>
      </c>
    </row>
    <row r="413" spans="2:11" x14ac:dyDescent="0.25">
      <c r="B413" s="2">
        <v>10</v>
      </c>
      <c r="C413" s="4">
        <v>178892.997</v>
      </c>
      <c r="D413" s="4">
        <v>17729.148999999998</v>
      </c>
      <c r="E413" s="79">
        <v>0</v>
      </c>
      <c r="F413" s="79">
        <f>SUM(BASE_DATOS[[#This Row],[Capital($)]:[Interés
Resarcitorio($)]])</f>
        <v>196622.14600000001</v>
      </c>
      <c r="G413" s="8">
        <v>45763</v>
      </c>
      <c r="H413" s="80" t="s">
        <v>65</v>
      </c>
      <c r="I413" s="79" t="s">
        <v>9</v>
      </c>
      <c r="J413" s="81">
        <v>12</v>
      </c>
      <c r="K413" t="s">
        <v>46</v>
      </c>
    </row>
    <row r="414" spans="2:11" x14ac:dyDescent="0.25">
      <c r="B414" s="2">
        <f>+B413</f>
        <v>10</v>
      </c>
      <c r="C414" s="4">
        <v>178892.997</v>
      </c>
      <c r="D414" s="4">
        <v>17729.148999999998</v>
      </c>
      <c r="E414" s="79">
        <v>26216.29</v>
      </c>
      <c r="F414" s="79">
        <f>SUM(BASE_DATOS[[#This Row],[Capital($)]:[Interés
Resarcitorio($)]])</f>
        <v>222838.43600000002</v>
      </c>
      <c r="G414" s="8">
        <v>45773</v>
      </c>
      <c r="H414" s="80" t="s">
        <v>65</v>
      </c>
      <c r="I414" s="79" t="s">
        <v>7</v>
      </c>
      <c r="J414" s="81">
        <v>12</v>
      </c>
      <c r="K414" t="s">
        <v>46</v>
      </c>
    </row>
    <row r="415" spans="2:11" x14ac:dyDescent="0.25">
      <c r="B415" s="2">
        <v>11</v>
      </c>
      <c r="C415" s="4">
        <v>184617.57399999999</v>
      </c>
      <c r="D415" s="4">
        <v>12004.572</v>
      </c>
      <c r="E415" s="79">
        <v>0</v>
      </c>
      <c r="F415" s="79">
        <f>SUM(BASE_DATOS[[#This Row],[Capital($)]:[Interés
Resarcitorio($)]])</f>
        <v>196622.14600000001</v>
      </c>
      <c r="G415" s="8">
        <v>45793</v>
      </c>
      <c r="H415" s="80" t="s">
        <v>65</v>
      </c>
      <c r="I415" s="79" t="s">
        <v>9</v>
      </c>
      <c r="J415" s="81">
        <v>12</v>
      </c>
      <c r="K415" t="s">
        <v>46</v>
      </c>
    </row>
    <row r="416" spans="2:11" x14ac:dyDescent="0.25">
      <c r="B416" s="2">
        <f>+B415</f>
        <v>11</v>
      </c>
      <c r="C416" s="4">
        <v>184617.57399999999</v>
      </c>
      <c r="D416" s="4">
        <v>12004.572</v>
      </c>
      <c r="E416" s="79">
        <v>26216.29</v>
      </c>
      <c r="F416" s="79">
        <f>SUM(BASE_DATOS[[#This Row],[Capital($)]:[Interés
Resarcitorio($)]])</f>
        <v>222838.43600000002</v>
      </c>
      <c r="G416" s="8">
        <v>45803</v>
      </c>
      <c r="H416" s="80" t="s">
        <v>65</v>
      </c>
      <c r="I416" s="79" t="s">
        <v>7</v>
      </c>
      <c r="J416" s="81">
        <v>12</v>
      </c>
      <c r="K416" t="s">
        <v>46</v>
      </c>
    </row>
    <row r="417" spans="2:11" x14ac:dyDescent="0.25">
      <c r="B417" s="2">
        <v>12</v>
      </c>
      <c r="C417" s="4">
        <v>190525.337</v>
      </c>
      <c r="D417" s="4">
        <v>6096.8089999999993</v>
      </c>
      <c r="E417" s="79">
        <v>0</v>
      </c>
      <c r="F417" s="79">
        <f>SUM(BASE_DATOS[[#This Row],[Capital($)]:[Interés
Resarcitorio($)]])</f>
        <v>196622.14600000001</v>
      </c>
      <c r="G417" s="8">
        <v>45824</v>
      </c>
      <c r="H417" s="80" t="s">
        <v>65</v>
      </c>
      <c r="I417" s="79" t="s">
        <v>9</v>
      </c>
      <c r="J417" s="81">
        <v>12</v>
      </c>
      <c r="K417" t="s">
        <v>46</v>
      </c>
    </row>
    <row r="418" spans="2:11" x14ac:dyDescent="0.25">
      <c r="B418" s="2">
        <f>+B417</f>
        <v>12</v>
      </c>
      <c r="C418" s="4">
        <v>190525.337</v>
      </c>
      <c r="D418" s="4">
        <v>6096.8089999999993</v>
      </c>
      <c r="E418" s="79">
        <v>26216.29</v>
      </c>
      <c r="F418" s="79">
        <f>SUM(BASE_DATOS[[#This Row],[Capital($)]:[Interés
Resarcitorio($)]])</f>
        <v>222838.43600000002</v>
      </c>
      <c r="G418" s="8">
        <v>45834</v>
      </c>
      <c r="H418" s="80" t="s">
        <v>65</v>
      </c>
      <c r="I418" s="79" t="s">
        <v>7</v>
      </c>
      <c r="J418" s="81">
        <v>12</v>
      </c>
      <c r="K418" t="s">
        <v>46</v>
      </c>
    </row>
    <row r="419" spans="2:11" x14ac:dyDescent="0.25">
      <c r="B419" s="2">
        <v>1</v>
      </c>
      <c r="C419" s="4">
        <v>172619.56100000002</v>
      </c>
      <c r="D419" s="4">
        <v>79291</v>
      </c>
      <c r="E419" s="79">
        <v>0</v>
      </c>
      <c r="F419" s="79">
        <f>SUM(BASE_DATOS[[#This Row],[Capital($)]:[Interés
Resarcitorio($)]])</f>
        <v>251910.56100000002</v>
      </c>
      <c r="G419" s="8">
        <v>45520</v>
      </c>
      <c r="H419" s="80" t="s">
        <v>66</v>
      </c>
      <c r="I419" s="79" t="s">
        <v>9</v>
      </c>
      <c r="J419" s="81">
        <v>12</v>
      </c>
      <c r="K419" t="s">
        <v>46</v>
      </c>
    </row>
    <row r="420" spans="2:11" x14ac:dyDescent="0.25">
      <c r="B420" s="2">
        <f>+B419</f>
        <v>1</v>
      </c>
      <c r="C420" s="4">
        <v>172619.56100000002</v>
      </c>
      <c r="D420" s="4">
        <v>79291</v>
      </c>
      <c r="E420" s="79">
        <v>53824.89</v>
      </c>
      <c r="F420" s="79">
        <f>SUM(BASE_DATOS[[#This Row],[Capital($)]:[Interés
Resarcitorio($)]])</f>
        <v>305735.451</v>
      </c>
      <c r="G420" s="8">
        <v>45530</v>
      </c>
      <c r="H420" s="80" t="s">
        <v>66</v>
      </c>
      <c r="I420" s="79" t="s">
        <v>7</v>
      </c>
      <c r="J420" s="81">
        <v>12</v>
      </c>
      <c r="K420" t="s">
        <v>46</v>
      </c>
    </row>
    <row r="421" spans="2:11" x14ac:dyDescent="0.25">
      <c r="B421" s="2">
        <v>2</v>
      </c>
      <c r="C421" s="4">
        <v>178143.38700000002</v>
      </c>
      <c r="D421" s="4">
        <v>73767.173999999999</v>
      </c>
      <c r="E421" s="79">
        <v>0</v>
      </c>
      <c r="F421" s="79">
        <f>SUM(BASE_DATOS[[#This Row],[Capital($)]:[Interés
Resarcitorio($)]])</f>
        <v>251910.56100000002</v>
      </c>
      <c r="G421" s="8">
        <v>45551</v>
      </c>
      <c r="H421" s="80" t="s">
        <v>66</v>
      </c>
      <c r="I421" s="79" t="s">
        <v>9</v>
      </c>
      <c r="J421" s="81">
        <v>12</v>
      </c>
      <c r="K421" t="s">
        <v>46</v>
      </c>
    </row>
    <row r="422" spans="2:11" x14ac:dyDescent="0.25">
      <c r="B422" s="2">
        <f>+B421</f>
        <v>2</v>
      </c>
      <c r="C422" s="4">
        <v>178143.38700000002</v>
      </c>
      <c r="D422" s="4">
        <v>73767.173999999999</v>
      </c>
      <c r="E422" s="79">
        <v>53824.89</v>
      </c>
      <c r="F422" s="79">
        <f>SUM(BASE_DATOS[[#This Row],[Capital($)]:[Interés
Resarcitorio($)]])</f>
        <v>305735.451</v>
      </c>
      <c r="G422" s="8">
        <v>45561</v>
      </c>
      <c r="H422" s="80" t="s">
        <v>66</v>
      </c>
      <c r="I422" s="79" t="s">
        <v>7</v>
      </c>
      <c r="J422" s="81">
        <v>12</v>
      </c>
      <c r="K422" t="s">
        <v>46</v>
      </c>
    </row>
    <row r="423" spans="2:11" x14ac:dyDescent="0.25">
      <c r="B423" s="2">
        <v>3</v>
      </c>
      <c r="C423" s="4">
        <v>183843.97399999999</v>
      </c>
      <c r="D423" s="4">
        <v>68066.587</v>
      </c>
      <c r="E423" s="79">
        <v>0</v>
      </c>
      <c r="F423" s="79">
        <f>SUM(BASE_DATOS[[#This Row],[Capital($)]:[Interés
Resarcitorio($)]])</f>
        <v>251910.56099999999</v>
      </c>
      <c r="G423" s="8">
        <v>45581</v>
      </c>
      <c r="H423" s="80" t="s">
        <v>66</v>
      </c>
      <c r="I423" s="79" t="s">
        <v>9</v>
      </c>
      <c r="J423" s="81">
        <v>12</v>
      </c>
      <c r="K423" t="s">
        <v>46</v>
      </c>
    </row>
    <row r="424" spans="2:11" x14ac:dyDescent="0.25">
      <c r="B424" s="2">
        <f>+B423</f>
        <v>3</v>
      </c>
      <c r="C424" s="4">
        <v>183843.97399999999</v>
      </c>
      <c r="D424" s="4">
        <v>68066.587</v>
      </c>
      <c r="E424" s="79">
        <v>53824.89</v>
      </c>
      <c r="F424" s="79">
        <f>SUM(BASE_DATOS[[#This Row],[Capital($)]:[Interés
Resarcitorio($)]])</f>
        <v>305735.451</v>
      </c>
      <c r="G424" s="8">
        <v>45591</v>
      </c>
      <c r="H424" s="80" t="s">
        <v>66</v>
      </c>
      <c r="I424" s="79" t="s">
        <v>7</v>
      </c>
      <c r="J424" s="81">
        <v>12</v>
      </c>
      <c r="K424" t="s">
        <v>46</v>
      </c>
    </row>
    <row r="425" spans="2:11" x14ac:dyDescent="0.25">
      <c r="B425" s="2">
        <v>4</v>
      </c>
      <c r="C425" s="4">
        <v>189726.98300000001</v>
      </c>
      <c r="D425" s="4">
        <v>62183.578000000001</v>
      </c>
      <c r="E425" s="79">
        <v>0</v>
      </c>
      <c r="F425" s="79">
        <f>SUM(BASE_DATOS[[#This Row],[Capital($)]:[Interés
Resarcitorio($)]])</f>
        <v>251910.56100000002</v>
      </c>
      <c r="G425" s="8">
        <v>45612</v>
      </c>
      <c r="H425" s="80" t="s">
        <v>66</v>
      </c>
      <c r="I425" s="79" t="s">
        <v>9</v>
      </c>
      <c r="J425" s="81">
        <v>12</v>
      </c>
      <c r="K425" t="s">
        <v>46</v>
      </c>
    </row>
    <row r="426" spans="2:11" x14ac:dyDescent="0.25">
      <c r="B426" s="2">
        <f>+B425</f>
        <v>4</v>
      </c>
      <c r="C426" s="4">
        <v>189726.98300000001</v>
      </c>
      <c r="D426" s="4">
        <v>62183.578000000001</v>
      </c>
      <c r="E426" s="79">
        <v>53824.89</v>
      </c>
      <c r="F426" s="79">
        <f>SUM(BASE_DATOS[[#This Row],[Capital($)]:[Interés
Resarcitorio($)]])</f>
        <v>305735.451</v>
      </c>
      <c r="G426" s="8">
        <v>45622</v>
      </c>
      <c r="H426" s="80" t="s">
        <v>66</v>
      </c>
      <c r="I426" s="79" t="s">
        <v>7</v>
      </c>
      <c r="J426" s="81">
        <v>12</v>
      </c>
      <c r="K426" t="s">
        <v>46</v>
      </c>
    </row>
    <row r="427" spans="2:11" x14ac:dyDescent="0.25">
      <c r="B427" s="2">
        <v>5</v>
      </c>
      <c r="C427" s="4">
        <v>195798.24599999998</v>
      </c>
      <c r="D427" s="4">
        <v>56112.315000000002</v>
      </c>
      <c r="E427" s="79">
        <v>0</v>
      </c>
      <c r="F427" s="79">
        <f>SUM(BASE_DATOS[[#This Row],[Capital($)]:[Interés
Resarcitorio($)]])</f>
        <v>251910.56099999999</v>
      </c>
      <c r="G427" s="8">
        <v>45642</v>
      </c>
      <c r="H427" s="80" t="s">
        <v>66</v>
      </c>
      <c r="I427" s="79" t="s">
        <v>9</v>
      </c>
      <c r="J427" s="81">
        <v>12</v>
      </c>
      <c r="K427" t="s">
        <v>46</v>
      </c>
    </row>
    <row r="428" spans="2:11" x14ac:dyDescent="0.25">
      <c r="B428" s="2">
        <f>+B427</f>
        <v>5</v>
      </c>
      <c r="C428" s="4">
        <v>195798.24599999998</v>
      </c>
      <c r="D428" s="4">
        <v>56112.315000000002</v>
      </c>
      <c r="E428" s="79">
        <v>62725.73</v>
      </c>
      <c r="F428" s="79">
        <f>SUM(BASE_DATOS[[#This Row],[Capital($)]:[Interés
Resarcitorio($)]])</f>
        <v>314636.29099999997</v>
      </c>
      <c r="G428" s="8">
        <v>45652</v>
      </c>
      <c r="H428" s="80" t="s">
        <v>66</v>
      </c>
      <c r="I428" s="79" t="s">
        <v>7</v>
      </c>
      <c r="J428" s="81">
        <v>12</v>
      </c>
      <c r="K428" t="s">
        <v>46</v>
      </c>
    </row>
    <row r="429" spans="2:11" x14ac:dyDescent="0.25">
      <c r="B429" s="2">
        <v>6</v>
      </c>
      <c r="C429" s="4">
        <v>202063.78999999998</v>
      </c>
      <c r="D429" s="4">
        <v>49846.771000000001</v>
      </c>
      <c r="E429" s="79">
        <v>0</v>
      </c>
      <c r="F429" s="79">
        <f>SUM(BASE_DATOS[[#This Row],[Capital($)]:[Interés
Resarcitorio($)]])</f>
        <v>251910.56099999999</v>
      </c>
      <c r="G429" s="8">
        <v>45673</v>
      </c>
      <c r="H429" s="80" t="s">
        <v>66</v>
      </c>
      <c r="I429" s="79" t="s">
        <v>9</v>
      </c>
      <c r="J429" s="81">
        <v>12</v>
      </c>
      <c r="K429" t="s">
        <v>46</v>
      </c>
    </row>
    <row r="430" spans="2:11" x14ac:dyDescent="0.25">
      <c r="B430" s="2">
        <f>+B429</f>
        <v>6</v>
      </c>
      <c r="C430" s="4">
        <v>202063.78999999998</v>
      </c>
      <c r="D430" s="4">
        <v>49846.771000000001</v>
      </c>
      <c r="E430" s="79">
        <v>62725.73</v>
      </c>
      <c r="F430" s="79">
        <f>SUM(BASE_DATOS[[#This Row],[Capital($)]:[Interés
Resarcitorio($)]])</f>
        <v>314636.29099999997</v>
      </c>
      <c r="G430" s="8">
        <v>45683</v>
      </c>
      <c r="H430" s="80" t="s">
        <v>66</v>
      </c>
      <c r="I430" s="79" t="s">
        <v>7</v>
      </c>
      <c r="J430" s="81">
        <v>12</v>
      </c>
      <c r="K430" t="s">
        <v>46</v>
      </c>
    </row>
    <row r="431" spans="2:11" x14ac:dyDescent="0.25">
      <c r="B431" s="2">
        <v>7</v>
      </c>
      <c r="C431" s="4">
        <v>208529.83100000001</v>
      </c>
      <c r="D431" s="4">
        <v>43380.729999999996</v>
      </c>
      <c r="E431" s="79">
        <v>0</v>
      </c>
      <c r="F431" s="79">
        <f>SUM(BASE_DATOS[[#This Row],[Capital($)]:[Interés
Resarcitorio($)]])</f>
        <v>251910.56099999999</v>
      </c>
      <c r="G431" s="8">
        <v>45704</v>
      </c>
      <c r="H431" s="80" t="s">
        <v>66</v>
      </c>
      <c r="I431" s="79" t="s">
        <v>9</v>
      </c>
      <c r="J431" s="81">
        <v>12</v>
      </c>
      <c r="K431" t="s">
        <v>46</v>
      </c>
    </row>
    <row r="432" spans="2:11" x14ac:dyDescent="0.25">
      <c r="B432" s="2">
        <f>+B431</f>
        <v>7</v>
      </c>
      <c r="C432" s="4">
        <v>208529.83100000001</v>
      </c>
      <c r="D432" s="4">
        <v>43380.729999999996</v>
      </c>
      <c r="E432" s="79">
        <v>60962.36</v>
      </c>
      <c r="F432" s="79">
        <f>SUM(BASE_DATOS[[#This Row],[Capital($)]:[Interés
Resarcitorio($)]])</f>
        <v>312872.92099999997</v>
      </c>
      <c r="G432" s="8">
        <v>45714</v>
      </c>
      <c r="H432" s="80" t="s">
        <v>66</v>
      </c>
      <c r="I432" s="79" t="s">
        <v>7</v>
      </c>
      <c r="J432" s="81">
        <v>12</v>
      </c>
      <c r="K432" t="s">
        <v>46</v>
      </c>
    </row>
    <row r="433" spans="2:11" x14ac:dyDescent="0.25">
      <c r="B433" s="2">
        <v>8</v>
      </c>
      <c r="C433" s="4">
        <v>215202.78599999999</v>
      </c>
      <c r="D433" s="4">
        <v>36707.775000000001</v>
      </c>
      <c r="E433" s="79">
        <v>0</v>
      </c>
      <c r="F433" s="79">
        <f>SUM(BASE_DATOS[[#This Row],[Capital($)]:[Interés
Resarcitorio($)]])</f>
        <v>251910.56099999999</v>
      </c>
      <c r="G433" s="8">
        <v>45732</v>
      </c>
      <c r="H433" s="80" t="s">
        <v>66</v>
      </c>
      <c r="I433" s="79" t="s">
        <v>9</v>
      </c>
      <c r="J433" s="81">
        <v>12</v>
      </c>
      <c r="K433" t="s">
        <v>46</v>
      </c>
    </row>
    <row r="434" spans="2:11" x14ac:dyDescent="0.25">
      <c r="B434" s="2">
        <f>+B433</f>
        <v>8</v>
      </c>
      <c r="C434" s="4">
        <v>215202.78599999999</v>
      </c>
      <c r="D434" s="4">
        <v>36707.775000000001</v>
      </c>
      <c r="E434" s="79">
        <v>33588.080000000002</v>
      </c>
      <c r="F434" s="79">
        <f>SUM(BASE_DATOS[[#This Row],[Capital($)]:[Interés
Resarcitorio($)]])</f>
        <v>285498.641</v>
      </c>
      <c r="G434" s="8">
        <v>45742</v>
      </c>
      <c r="H434" s="80" t="s">
        <v>66</v>
      </c>
      <c r="I434" s="79" t="s">
        <v>7</v>
      </c>
      <c r="J434" s="81">
        <v>12</v>
      </c>
      <c r="K434" t="s">
        <v>46</v>
      </c>
    </row>
    <row r="435" spans="2:11" x14ac:dyDescent="0.25">
      <c r="B435" s="2">
        <v>9</v>
      </c>
      <c r="C435" s="4">
        <v>222089.27499999999</v>
      </c>
      <c r="D435" s="4">
        <v>29821.286</v>
      </c>
      <c r="E435" s="79">
        <v>0</v>
      </c>
      <c r="F435" s="79">
        <f>SUM(BASE_DATOS[[#This Row],[Capital($)]:[Interés
Resarcitorio($)]])</f>
        <v>251910.56099999999</v>
      </c>
      <c r="G435" s="8">
        <v>45763</v>
      </c>
      <c r="H435" s="80" t="s">
        <v>66</v>
      </c>
      <c r="I435" s="79" t="s">
        <v>6</v>
      </c>
      <c r="J435" s="81">
        <v>12</v>
      </c>
      <c r="K435" t="s">
        <v>46</v>
      </c>
    </row>
    <row r="436" spans="2:11" x14ac:dyDescent="0.25">
      <c r="B436" s="2">
        <f>+B435</f>
        <v>9</v>
      </c>
      <c r="C436" s="4">
        <v>222089.27499999999</v>
      </c>
      <c r="D436" s="4">
        <v>29821.286</v>
      </c>
      <c r="E436" s="79">
        <v>33588.080000000002</v>
      </c>
      <c r="F436" s="79">
        <f>SUM(BASE_DATOS[[#This Row],[Capital($)]:[Interés
Resarcitorio($)]])</f>
        <v>285498.641</v>
      </c>
      <c r="G436" s="8">
        <v>45773</v>
      </c>
      <c r="H436" s="80" t="s">
        <v>66</v>
      </c>
      <c r="I436" s="79" t="s">
        <v>7</v>
      </c>
      <c r="J436" s="81">
        <v>12</v>
      </c>
      <c r="K436" t="s">
        <v>46</v>
      </c>
    </row>
    <row r="437" spans="2:11" x14ac:dyDescent="0.25">
      <c r="B437" s="2">
        <v>10</v>
      </c>
      <c r="C437" s="4">
        <v>229196.13199999998</v>
      </c>
      <c r="D437" s="4">
        <v>22714.429</v>
      </c>
      <c r="E437" s="79">
        <v>0</v>
      </c>
      <c r="F437" s="79">
        <f>SUM(BASE_DATOS[[#This Row],[Capital($)]:[Interés
Resarcitorio($)]])</f>
        <v>251910.56099999999</v>
      </c>
      <c r="G437" s="8">
        <v>45793</v>
      </c>
      <c r="H437" s="80" t="s">
        <v>66</v>
      </c>
      <c r="I437" s="79" t="s">
        <v>9</v>
      </c>
      <c r="J437" s="81">
        <v>12</v>
      </c>
      <c r="K437" t="s">
        <v>46</v>
      </c>
    </row>
    <row r="438" spans="2:11" x14ac:dyDescent="0.25">
      <c r="B438" s="2">
        <f>+B437</f>
        <v>10</v>
      </c>
      <c r="C438" s="4">
        <v>229196.13199999998</v>
      </c>
      <c r="D438" s="4">
        <v>22714.429</v>
      </c>
      <c r="E438" s="79">
        <v>33588.080000000002</v>
      </c>
      <c r="F438" s="79">
        <f>SUM(BASE_DATOS[[#This Row],[Capital($)]:[Interés
Resarcitorio($)]])</f>
        <v>285498.641</v>
      </c>
      <c r="G438" s="8">
        <v>45803</v>
      </c>
      <c r="H438" s="80" t="s">
        <v>66</v>
      </c>
      <c r="I438" s="79" t="s">
        <v>7</v>
      </c>
      <c r="J438" s="81">
        <v>12</v>
      </c>
      <c r="K438" t="s">
        <v>46</v>
      </c>
    </row>
    <row r="439" spans="2:11" x14ac:dyDescent="0.25">
      <c r="B439" s="2">
        <v>11</v>
      </c>
      <c r="C439" s="4">
        <v>236530.40699999998</v>
      </c>
      <c r="D439" s="4">
        <v>15380.154</v>
      </c>
      <c r="E439" s="79">
        <v>0</v>
      </c>
      <c r="F439" s="79">
        <f>SUM(BASE_DATOS[[#This Row],[Capital($)]:[Interés
Resarcitorio($)]])</f>
        <v>251910.56099999999</v>
      </c>
      <c r="G439" s="8">
        <v>45824</v>
      </c>
      <c r="H439" s="80" t="s">
        <v>66</v>
      </c>
      <c r="I439" s="79" t="s">
        <v>9</v>
      </c>
      <c r="J439" s="81">
        <v>12</v>
      </c>
      <c r="K439" t="s">
        <v>46</v>
      </c>
    </row>
    <row r="440" spans="2:11" x14ac:dyDescent="0.25">
      <c r="B440" s="2">
        <f>+B439</f>
        <v>11</v>
      </c>
      <c r="C440" s="4">
        <v>236530.40699999998</v>
      </c>
      <c r="D440" s="4">
        <v>15380.154</v>
      </c>
      <c r="E440" s="79">
        <v>33588.080000000002</v>
      </c>
      <c r="F440" s="79">
        <f>SUM(BASE_DATOS[[#This Row],[Capital($)]:[Interés
Resarcitorio($)]])</f>
        <v>285498.641</v>
      </c>
      <c r="G440" s="8">
        <v>45834</v>
      </c>
      <c r="H440" s="80" t="s">
        <v>66</v>
      </c>
      <c r="I440" s="79" t="s">
        <v>7</v>
      </c>
      <c r="J440" s="81">
        <v>12</v>
      </c>
      <c r="K440" t="s">
        <v>46</v>
      </c>
    </row>
    <row r="441" spans="2:11" x14ac:dyDescent="0.25">
      <c r="B441" s="2">
        <v>12</v>
      </c>
      <c r="C441" s="4">
        <v>244099.37799999997</v>
      </c>
      <c r="D441" s="4">
        <v>7811.183</v>
      </c>
      <c r="E441" s="79">
        <v>0</v>
      </c>
      <c r="F441" s="79">
        <f>SUM(BASE_DATOS[[#This Row],[Capital($)]:[Interés
Resarcitorio($)]])</f>
        <v>251910.56099999996</v>
      </c>
      <c r="G441" s="8">
        <v>45854</v>
      </c>
      <c r="H441" s="80" t="s">
        <v>66</v>
      </c>
      <c r="I441" s="79" t="s">
        <v>6</v>
      </c>
      <c r="J441" s="81">
        <v>12</v>
      </c>
      <c r="K441" t="s">
        <v>46</v>
      </c>
    </row>
    <row r="442" spans="2:11" x14ac:dyDescent="0.25">
      <c r="B442" s="2">
        <f>+B441</f>
        <v>12</v>
      </c>
      <c r="C442" s="4">
        <v>244099.37799999997</v>
      </c>
      <c r="D442" s="4">
        <v>7811.183</v>
      </c>
      <c r="E442" s="79">
        <v>33588.080000000002</v>
      </c>
      <c r="F442" s="79">
        <f>SUM(BASE_DATOS[[#This Row],[Capital($)]:[Interés
Resarcitorio($)]])</f>
        <v>285498.64099999995</v>
      </c>
      <c r="G442" s="8">
        <v>45864</v>
      </c>
      <c r="H442" s="80" t="s">
        <v>66</v>
      </c>
      <c r="I442" s="79" t="s">
        <v>7</v>
      </c>
      <c r="J442" s="81">
        <v>12</v>
      </c>
      <c r="K442" t="s">
        <v>46</v>
      </c>
    </row>
    <row r="443" spans="2:11" x14ac:dyDescent="0.25">
      <c r="B443" s="2">
        <v>1</v>
      </c>
      <c r="C443" s="4">
        <v>34697.145000000004</v>
      </c>
      <c r="D443" s="4">
        <v>7218.0919999999996</v>
      </c>
      <c r="E443" s="79">
        <v>0</v>
      </c>
      <c r="F443" s="79">
        <f>SUM(BASE_DATOS[[#This Row],[Capital($)]:[Interés
Resarcitorio($)]])</f>
        <v>41915.237000000001</v>
      </c>
      <c r="G443" s="8">
        <v>45551</v>
      </c>
      <c r="H443" s="80" t="s">
        <v>67</v>
      </c>
      <c r="I443" s="79" t="s">
        <v>9</v>
      </c>
      <c r="J443" s="81">
        <v>12</v>
      </c>
      <c r="K443" t="s">
        <v>46</v>
      </c>
    </row>
    <row r="444" spans="2:11" x14ac:dyDescent="0.25">
      <c r="B444" s="2">
        <f>+B443</f>
        <v>1</v>
      </c>
      <c r="C444" s="4">
        <v>34697.145000000004</v>
      </c>
      <c r="D444" s="4">
        <v>7218.0919999999996</v>
      </c>
      <c r="E444" s="79">
        <v>8955.89</v>
      </c>
      <c r="F444" s="79">
        <f>SUM(BASE_DATOS[[#This Row],[Capital($)]:[Interés
Resarcitorio($)]])</f>
        <v>50871.127</v>
      </c>
      <c r="G444" s="8">
        <v>45561</v>
      </c>
      <c r="H444" s="80" t="s">
        <v>67</v>
      </c>
      <c r="I444" s="79" t="s">
        <v>7</v>
      </c>
      <c r="J444" s="81">
        <v>12</v>
      </c>
      <c r="K444" t="s">
        <v>46</v>
      </c>
    </row>
    <row r="445" spans="2:11" x14ac:dyDescent="0.25">
      <c r="B445" s="2">
        <v>2</v>
      </c>
      <c r="C445" s="4">
        <v>35807.453999999998</v>
      </c>
      <c r="D445" s="4">
        <v>6107.7830000000004</v>
      </c>
      <c r="E445" s="79">
        <v>0</v>
      </c>
      <c r="F445" s="79">
        <f>SUM(BASE_DATOS[[#This Row],[Capital($)]:[Interés
Resarcitorio($)]])</f>
        <v>41915.237000000001</v>
      </c>
      <c r="G445" s="8">
        <v>45581</v>
      </c>
      <c r="H445" s="80" t="s">
        <v>67</v>
      </c>
      <c r="I445" s="79" t="s">
        <v>9</v>
      </c>
      <c r="J445" s="81">
        <v>12</v>
      </c>
      <c r="K445" t="s">
        <v>46</v>
      </c>
    </row>
    <row r="446" spans="2:11" x14ac:dyDescent="0.25">
      <c r="B446" s="2">
        <f>+B445</f>
        <v>2</v>
      </c>
      <c r="C446" s="4">
        <v>35807.453999999998</v>
      </c>
      <c r="D446" s="4">
        <v>6107.7830000000004</v>
      </c>
      <c r="E446" s="79">
        <v>8955.89</v>
      </c>
      <c r="F446" s="79">
        <f>SUM(BASE_DATOS[[#This Row],[Capital($)]:[Interés
Resarcitorio($)]])</f>
        <v>50871.127</v>
      </c>
      <c r="G446" s="8">
        <v>45591</v>
      </c>
      <c r="H446" s="80" t="s">
        <v>67</v>
      </c>
      <c r="I446" s="79" t="s">
        <v>7</v>
      </c>
      <c r="J446" s="81">
        <v>12</v>
      </c>
      <c r="K446" t="s">
        <v>46</v>
      </c>
    </row>
    <row r="447" spans="2:11" x14ac:dyDescent="0.25">
      <c r="B447" s="2">
        <v>3</v>
      </c>
      <c r="C447" s="4">
        <v>36953.292000000001</v>
      </c>
      <c r="D447" s="4">
        <v>4961.9449999999997</v>
      </c>
      <c r="E447" s="79">
        <v>0</v>
      </c>
      <c r="F447" s="79">
        <f>SUM(BASE_DATOS[[#This Row],[Capital($)]:[Interés
Resarcitorio($)]])</f>
        <v>41915.237000000001</v>
      </c>
      <c r="G447" s="8">
        <v>45612</v>
      </c>
      <c r="H447" s="80" t="s">
        <v>67</v>
      </c>
      <c r="I447" s="79" t="s">
        <v>9</v>
      </c>
      <c r="J447" s="81">
        <v>12</v>
      </c>
      <c r="K447" t="s">
        <v>46</v>
      </c>
    </row>
    <row r="448" spans="2:11" x14ac:dyDescent="0.25">
      <c r="B448" s="2">
        <f>+B447</f>
        <v>3</v>
      </c>
      <c r="C448" s="4">
        <v>36953.292000000001</v>
      </c>
      <c r="D448" s="4">
        <v>4961.9449999999997</v>
      </c>
      <c r="E448" s="79">
        <v>8955.89</v>
      </c>
      <c r="F448" s="79">
        <f>SUM(BASE_DATOS[[#This Row],[Capital($)]:[Interés
Resarcitorio($)]])</f>
        <v>50871.127</v>
      </c>
      <c r="G448" s="8">
        <v>45622</v>
      </c>
      <c r="H448" s="80" t="s">
        <v>67</v>
      </c>
      <c r="I448" s="79" t="s">
        <v>7</v>
      </c>
      <c r="J448" s="81">
        <v>12</v>
      </c>
      <c r="K448" t="s">
        <v>46</v>
      </c>
    </row>
    <row r="449" spans="2:11" x14ac:dyDescent="0.25">
      <c r="B449" s="2">
        <v>4</v>
      </c>
      <c r="C449" s="4">
        <v>38135.797999999995</v>
      </c>
      <c r="D449" s="4">
        <v>3779.4389999999999</v>
      </c>
      <c r="E449" s="79">
        <v>0</v>
      </c>
      <c r="F449" s="79">
        <f>SUM(BASE_DATOS[[#This Row],[Capital($)]:[Interés
Resarcitorio($)]])</f>
        <v>41915.236999999994</v>
      </c>
      <c r="G449" s="8">
        <v>45642</v>
      </c>
      <c r="H449" s="80" t="s">
        <v>67</v>
      </c>
      <c r="I449" s="79" t="s">
        <v>9</v>
      </c>
      <c r="J449" s="81">
        <v>12</v>
      </c>
      <c r="K449" t="s">
        <v>46</v>
      </c>
    </row>
    <row r="450" spans="2:11" x14ac:dyDescent="0.25">
      <c r="B450" s="2">
        <f>+B449</f>
        <v>4</v>
      </c>
      <c r="C450" s="4">
        <v>38135.797999999995</v>
      </c>
      <c r="D450" s="4">
        <v>3779.4389999999999</v>
      </c>
      <c r="E450" s="79">
        <v>10436.89</v>
      </c>
      <c r="F450" s="79">
        <f>SUM(BASE_DATOS[[#This Row],[Capital($)]:[Interés
Resarcitorio($)]])</f>
        <v>52352.126999999993</v>
      </c>
      <c r="G450" s="8">
        <v>45652</v>
      </c>
      <c r="H450" s="80" t="s">
        <v>67</v>
      </c>
      <c r="I450" s="79" t="s">
        <v>7</v>
      </c>
      <c r="J450" s="81">
        <v>12</v>
      </c>
      <c r="K450" t="s">
        <v>46</v>
      </c>
    </row>
    <row r="451" spans="2:11" x14ac:dyDescent="0.25">
      <c r="B451" s="2">
        <v>5</v>
      </c>
      <c r="C451" s="4">
        <v>39356.142999999996</v>
      </c>
      <c r="D451" s="4">
        <v>2559.0940000000001</v>
      </c>
      <c r="E451" s="79">
        <v>0</v>
      </c>
      <c r="F451" s="79">
        <f>SUM(BASE_DATOS[[#This Row],[Capital($)]:[Interés
Resarcitorio($)]])</f>
        <v>41915.236999999994</v>
      </c>
      <c r="G451" s="8">
        <v>45673</v>
      </c>
      <c r="H451" s="80" t="s">
        <v>67</v>
      </c>
      <c r="I451" s="79" t="s">
        <v>9</v>
      </c>
      <c r="J451" s="81">
        <v>12</v>
      </c>
      <c r="K451" t="s">
        <v>46</v>
      </c>
    </row>
    <row r="452" spans="2:11" x14ac:dyDescent="0.25">
      <c r="B452" s="2">
        <f>+B451</f>
        <v>5</v>
      </c>
      <c r="C452" s="4">
        <v>39356.142999999996</v>
      </c>
      <c r="D452" s="4">
        <v>2559.0940000000001</v>
      </c>
      <c r="E452" s="79">
        <v>10436.89</v>
      </c>
      <c r="F452" s="79">
        <f>SUM(BASE_DATOS[[#This Row],[Capital($)]:[Interés
Resarcitorio($)]])</f>
        <v>52352.126999999993</v>
      </c>
      <c r="G452" s="8">
        <v>45683</v>
      </c>
      <c r="H452" s="80" t="s">
        <v>67</v>
      </c>
      <c r="I452" s="79" t="s">
        <v>7</v>
      </c>
      <c r="J452" s="81">
        <v>12</v>
      </c>
      <c r="K452" t="s">
        <v>46</v>
      </c>
    </row>
    <row r="453" spans="2:11" x14ac:dyDescent="0.25">
      <c r="B453" s="2">
        <v>6</v>
      </c>
      <c r="C453" s="4">
        <v>40615.540999999997</v>
      </c>
      <c r="D453" s="4">
        <v>1299.6959999999999</v>
      </c>
      <c r="E453" s="79">
        <v>0</v>
      </c>
      <c r="F453" s="79">
        <f>SUM(BASE_DATOS[[#This Row],[Capital($)]:[Interés
Resarcitorio($)]])</f>
        <v>41915.236999999994</v>
      </c>
      <c r="G453" s="8">
        <v>45704</v>
      </c>
      <c r="H453" s="80" t="s">
        <v>67</v>
      </c>
      <c r="I453" s="79" t="s">
        <v>9</v>
      </c>
      <c r="J453" s="81">
        <v>12</v>
      </c>
      <c r="K453" t="s">
        <v>46</v>
      </c>
    </row>
    <row r="454" spans="2:11" x14ac:dyDescent="0.25">
      <c r="B454" s="2">
        <f>+B453</f>
        <v>6</v>
      </c>
      <c r="C454" s="4">
        <v>40615.540999999997</v>
      </c>
      <c r="D454" s="4">
        <v>1299.6959999999999</v>
      </c>
      <c r="E454" s="79">
        <v>10436.89</v>
      </c>
      <c r="F454" s="79">
        <f>SUM(BASE_DATOS[[#This Row],[Capital($)]:[Interés
Resarcitorio($)]])</f>
        <v>52352.126999999993</v>
      </c>
      <c r="G454" s="8">
        <v>45714</v>
      </c>
      <c r="H454" s="80" t="s">
        <v>67</v>
      </c>
      <c r="I454" s="79" t="s">
        <v>7</v>
      </c>
      <c r="J454" s="81">
        <v>12</v>
      </c>
      <c r="K454" t="s">
        <v>46</v>
      </c>
    </row>
    <row r="455" spans="2:11" x14ac:dyDescent="0.25">
      <c r="B455" s="2">
        <v>1</v>
      </c>
      <c r="C455" s="4">
        <v>124692.33200000001</v>
      </c>
      <c r="D455" s="4">
        <v>57276.126000000004</v>
      </c>
      <c r="E455" s="79">
        <v>0</v>
      </c>
      <c r="F455" s="79">
        <f>SUM(BASE_DATOS[[#This Row],[Capital($)]:[Interés
Resarcitorio($)]])</f>
        <v>181968.45800000001</v>
      </c>
      <c r="G455" s="8">
        <v>45551</v>
      </c>
      <c r="H455" s="80" t="s">
        <v>68</v>
      </c>
      <c r="I455" s="79" t="s">
        <v>9</v>
      </c>
      <c r="J455" s="81">
        <v>12</v>
      </c>
      <c r="K455" t="s">
        <v>46</v>
      </c>
    </row>
    <row r="456" spans="2:11" x14ac:dyDescent="0.25">
      <c r="B456" s="2">
        <f>+B455</f>
        <v>1</v>
      </c>
      <c r="C456" s="4">
        <v>124692.33200000001</v>
      </c>
      <c r="D456" s="4">
        <v>57276.126000000004</v>
      </c>
      <c r="E456" s="79">
        <v>38880.589999999997</v>
      </c>
      <c r="F456" s="79">
        <f>SUM(BASE_DATOS[[#This Row],[Capital($)]:[Interés
Resarcitorio($)]])</f>
        <v>220849.04800000001</v>
      </c>
      <c r="G456" s="8">
        <v>45561</v>
      </c>
      <c r="H456" s="80" t="s">
        <v>68</v>
      </c>
      <c r="I456" s="79" t="s">
        <v>7</v>
      </c>
      <c r="J456" s="81">
        <v>12</v>
      </c>
      <c r="K456" t="s">
        <v>46</v>
      </c>
    </row>
    <row r="457" spans="2:11" x14ac:dyDescent="0.25">
      <c r="B457" s="2">
        <v>2</v>
      </c>
      <c r="C457" s="4">
        <v>128682.48700000001</v>
      </c>
      <c r="D457" s="4">
        <v>53285.970999999998</v>
      </c>
      <c r="E457" s="79">
        <v>0</v>
      </c>
      <c r="F457" s="79">
        <f>SUM(BASE_DATOS[[#This Row],[Capital($)]:[Interés
Resarcitorio($)]])</f>
        <v>181968.45800000001</v>
      </c>
      <c r="G457" s="8">
        <v>45581</v>
      </c>
      <c r="H457" s="80" t="s">
        <v>68</v>
      </c>
      <c r="I457" s="79" t="s">
        <v>9</v>
      </c>
      <c r="J457" s="81">
        <v>12</v>
      </c>
      <c r="K457" t="s">
        <v>46</v>
      </c>
    </row>
    <row r="458" spans="2:11" x14ac:dyDescent="0.25">
      <c r="B458" s="2">
        <f>+B457</f>
        <v>2</v>
      </c>
      <c r="C458" s="4">
        <v>128682.48700000001</v>
      </c>
      <c r="D458" s="4">
        <v>53285.970999999998</v>
      </c>
      <c r="E458" s="79">
        <v>38880.589999999997</v>
      </c>
      <c r="F458" s="79">
        <f>SUM(BASE_DATOS[[#This Row],[Capital($)]:[Interés
Resarcitorio($)]])</f>
        <v>220849.04800000001</v>
      </c>
      <c r="G458" s="8">
        <v>45591</v>
      </c>
      <c r="H458" s="80" t="s">
        <v>68</v>
      </c>
      <c r="I458" s="79" t="s">
        <v>7</v>
      </c>
      <c r="J458" s="81">
        <v>12</v>
      </c>
      <c r="K458" t="s">
        <v>46</v>
      </c>
    </row>
    <row r="459" spans="2:11" x14ac:dyDescent="0.25">
      <c r="B459" s="2">
        <v>3</v>
      </c>
      <c r="C459" s="4">
        <v>132800.326</v>
      </c>
      <c r="D459" s="4">
        <v>49168.131999999998</v>
      </c>
      <c r="E459" s="79">
        <v>0</v>
      </c>
      <c r="F459" s="79">
        <f>SUM(BASE_DATOS[[#This Row],[Capital($)]:[Interés
Resarcitorio($)]])</f>
        <v>181968.45799999998</v>
      </c>
      <c r="G459" s="8">
        <v>45612</v>
      </c>
      <c r="H459" s="80" t="s">
        <v>68</v>
      </c>
      <c r="I459" s="79" t="s">
        <v>9</v>
      </c>
      <c r="J459" s="81">
        <v>12</v>
      </c>
      <c r="K459" t="s">
        <v>46</v>
      </c>
    </row>
    <row r="460" spans="2:11" x14ac:dyDescent="0.25">
      <c r="B460" s="2">
        <f>+B459</f>
        <v>3</v>
      </c>
      <c r="C460" s="4">
        <v>132800.326</v>
      </c>
      <c r="D460" s="4">
        <v>49168.131999999998</v>
      </c>
      <c r="E460" s="79">
        <v>38880.589999999997</v>
      </c>
      <c r="F460" s="79">
        <f>SUM(BASE_DATOS[[#This Row],[Capital($)]:[Interés
Resarcitorio($)]])</f>
        <v>220849.04799999998</v>
      </c>
      <c r="G460" s="8">
        <v>45622</v>
      </c>
      <c r="H460" s="80" t="s">
        <v>68</v>
      </c>
      <c r="I460" s="79" t="s">
        <v>7</v>
      </c>
      <c r="J460" s="81">
        <v>12</v>
      </c>
      <c r="K460" t="s">
        <v>46</v>
      </c>
    </row>
    <row r="461" spans="2:11" x14ac:dyDescent="0.25">
      <c r="B461" s="2">
        <v>4</v>
      </c>
      <c r="C461" s="4">
        <v>137049.93700000001</v>
      </c>
      <c r="D461" s="4">
        <v>44918.521000000001</v>
      </c>
      <c r="E461" s="79">
        <v>0</v>
      </c>
      <c r="F461" s="79">
        <f>SUM(BASE_DATOS[[#This Row],[Capital($)]:[Interés
Resarcitorio($)]])</f>
        <v>181968.45800000001</v>
      </c>
      <c r="G461" s="8">
        <v>45642</v>
      </c>
      <c r="H461" s="80" t="s">
        <v>68</v>
      </c>
      <c r="I461" s="79" t="s">
        <v>9</v>
      </c>
      <c r="J461" s="81">
        <v>12</v>
      </c>
      <c r="K461" t="s">
        <v>46</v>
      </c>
    </row>
    <row r="462" spans="2:11" x14ac:dyDescent="0.25">
      <c r="B462" s="2">
        <f>+B461</f>
        <v>4</v>
      </c>
      <c r="C462" s="4">
        <v>137049.93700000001</v>
      </c>
      <c r="D462" s="4">
        <v>44918.521000000001</v>
      </c>
      <c r="E462" s="79">
        <v>45310.15</v>
      </c>
      <c r="F462" s="79">
        <f>SUM(BASE_DATOS[[#This Row],[Capital($)]:[Interés
Resarcitorio($)]])</f>
        <v>227278.60800000001</v>
      </c>
      <c r="G462" s="8">
        <v>45652</v>
      </c>
      <c r="H462" s="80" t="s">
        <v>68</v>
      </c>
      <c r="I462" s="79" t="s">
        <v>7</v>
      </c>
      <c r="J462" s="81">
        <v>12</v>
      </c>
      <c r="K462" t="s">
        <v>46</v>
      </c>
    </row>
    <row r="463" spans="2:11" x14ac:dyDescent="0.25">
      <c r="B463" s="2">
        <v>5</v>
      </c>
      <c r="C463" s="4">
        <v>141435.535</v>
      </c>
      <c r="D463" s="4">
        <v>40532.922999999995</v>
      </c>
      <c r="E463" s="79">
        <v>0</v>
      </c>
      <c r="F463" s="79">
        <f>SUM(BASE_DATOS[[#This Row],[Capital($)]:[Interés
Resarcitorio($)]])</f>
        <v>181968.45799999998</v>
      </c>
      <c r="G463" s="8">
        <v>45673</v>
      </c>
      <c r="H463" s="80" t="s">
        <v>68</v>
      </c>
      <c r="I463" s="79" t="s">
        <v>9</v>
      </c>
      <c r="J463" s="81">
        <v>12</v>
      </c>
      <c r="K463" t="s">
        <v>46</v>
      </c>
    </row>
    <row r="464" spans="2:11" x14ac:dyDescent="0.25">
      <c r="B464" s="2">
        <f>+B463</f>
        <v>5</v>
      </c>
      <c r="C464" s="4">
        <v>141435.535</v>
      </c>
      <c r="D464" s="4">
        <v>40532.922999999995</v>
      </c>
      <c r="E464" s="79">
        <v>45310.15</v>
      </c>
      <c r="F464" s="79">
        <f>SUM(BASE_DATOS[[#This Row],[Capital($)]:[Interés
Resarcitorio($)]])</f>
        <v>227278.60799999998</v>
      </c>
      <c r="G464" s="8">
        <v>45683</v>
      </c>
      <c r="H464" s="80" t="s">
        <v>68</v>
      </c>
      <c r="I464" s="79" t="s">
        <v>7</v>
      </c>
      <c r="J464" s="81">
        <v>12</v>
      </c>
      <c r="K464" t="s">
        <v>46</v>
      </c>
    </row>
    <row r="465" spans="2:11" x14ac:dyDescent="0.25">
      <c r="B465" s="2">
        <v>6</v>
      </c>
      <c r="C465" s="4">
        <v>145961.47200000001</v>
      </c>
      <c r="D465" s="4">
        <v>36006.985999999997</v>
      </c>
      <c r="E465" s="79">
        <v>0</v>
      </c>
      <c r="F465" s="79">
        <f>SUM(BASE_DATOS[[#This Row],[Capital($)]:[Interés
Resarcitorio($)]])</f>
        <v>181968.45800000001</v>
      </c>
      <c r="G465" s="8">
        <v>45704</v>
      </c>
      <c r="H465" s="80" t="s">
        <v>68</v>
      </c>
      <c r="I465" s="79" t="s">
        <v>9</v>
      </c>
      <c r="J465" s="81">
        <v>12</v>
      </c>
      <c r="K465" t="s">
        <v>46</v>
      </c>
    </row>
    <row r="466" spans="2:11" x14ac:dyDescent="0.25">
      <c r="B466" s="2">
        <f>+B465</f>
        <v>6</v>
      </c>
      <c r="C466" s="4">
        <v>145961.47200000001</v>
      </c>
      <c r="D466" s="4">
        <v>36006.985999999997</v>
      </c>
      <c r="E466" s="79">
        <v>44036.37</v>
      </c>
      <c r="F466" s="79">
        <f>SUM(BASE_DATOS[[#This Row],[Capital($)]:[Interés
Resarcitorio($)]])</f>
        <v>226004.82800000001</v>
      </c>
      <c r="G466" s="8">
        <v>45714</v>
      </c>
      <c r="H466" s="80" t="s">
        <v>68</v>
      </c>
      <c r="I466" s="79" t="s">
        <v>7</v>
      </c>
      <c r="J466" s="81">
        <v>12</v>
      </c>
      <c r="K466" t="s">
        <v>46</v>
      </c>
    </row>
    <row r="467" spans="2:11" x14ac:dyDescent="0.25">
      <c r="B467" s="2">
        <v>7</v>
      </c>
      <c r="C467" s="4">
        <v>150632.239</v>
      </c>
      <c r="D467" s="4">
        <v>31336.219000000001</v>
      </c>
      <c r="E467" s="79">
        <v>0</v>
      </c>
      <c r="F467" s="79">
        <f>SUM(BASE_DATOS[[#This Row],[Capital($)]:[Interés
Resarcitorio($)]])</f>
        <v>181968.45800000001</v>
      </c>
      <c r="G467" s="8">
        <v>45732</v>
      </c>
      <c r="H467" s="80" t="s">
        <v>68</v>
      </c>
      <c r="I467" s="79" t="s">
        <v>9</v>
      </c>
      <c r="J467" s="81">
        <v>12</v>
      </c>
      <c r="K467" t="s">
        <v>46</v>
      </c>
    </row>
    <row r="468" spans="2:11" x14ac:dyDescent="0.25">
      <c r="B468" s="2">
        <f>+B467</f>
        <v>7</v>
      </c>
      <c r="C468" s="4">
        <v>150632.239</v>
      </c>
      <c r="D468" s="4">
        <v>31336.219000000001</v>
      </c>
      <c r="E468" s="79">
        <v>24262.46</v>
      </c>
      <c r="F468" s="79">
        <f>SUM(BASE_DATOS[[#This Row],[Capital($)]:[Interés
Resarcitorio($)]])</f>
        <v>206230.91800000001</v>
      </c>
      <c r="G468" s="8">
        <v>45742</v>
      </c>
      <c r="H468" s="80" t="s">
        <v>68</v>
      </c>
      <c r="I468" s="79" t="s">
        <v>7</v>
      </c>
      <c r="J468" s="81">
        <v>12</v>
      </c>
      <c r="K468" t="s">
        <v>46</v>
      </c>
    </row>
    <row r="469" spans="2:11" x14ac:dyDescent="0.25">
      <c r="B469" s="2">
        <v>8</v>
      </c>
      <c r="C469" s="4">
        <v>155452.47099999999</v>
      </c>
      <c r="D469" s="4">
        <v>26515.987000000001</v>
      </c>
      <c r="E469" s="79">
        <v>0</v>
      </c>
      <c r="F469" s="79">
        <f>SUM(BASE_DATOS[[#This Row],[Capital($)]:[Interés
Resarcitorio($)]])</f>
        <v>181968.45799999998</v>
      </c>
      <c r="G469" s="8">
        <v>45763</v>
      </c>
      <c r="H469" s="80" t="s">
        <v>68</v>
      </c>
      <c r="I469" s="79" t="s">
        <v>6</v>
      </c>
      <c r="J469" s="81">
        <v>12</v>
      </c>
      <c r="K469" t="s">
        <v>46</v>
      </c>
    </row>
    <row r="470" spans="2:11" x14ac:dyDescent="0.25">
      <c r="B470" s="2">
        <f>+B469</f>
        <v>8</v>
      </c>
      <c r="C470" s="4">
        <v>155452.47099999999</v>
      </c>
      <c r="D470" s="4">
        <v>26515.987000000001</v>
      </c>
      <c r="E470" s="79">
        <v>24262.46</v>
      </c>
      <c r="F470" s="79">
        <f>SUM(BASE_DATOS[[#This Row],[Capital($)]:[Interés
Resarcitorio($)]])</f>
        <v>206230.91799999998</v>
      </c>
      <c r="G470" s="8">
        <v>45773</v>
      </c>
      <c r="H470" s="80" t="s">
        <v>68</v>
      </c>
      <c r="I470" s="79" t="s">
        <v>7</v>
      </c>
      <c r="J470" s="81">
        <v>12</v>
      </c>
      <c r="K470" t="s">
        <v>46</v>
      </c>
    </row>
    <row r="471" spans="2:11" x14ac:dyDescent="0.25">
      <c r="B471" s="2">
        <v>9</v>
      </c>
      <c r="C471" s="4">
        <v>160426.95000000001</v>
      </c>
      <c r="D471" s="4">
        <v>21541.507999999998</v>
      </c>
      <c r="E471" s="79">
        <v>0</v>
      </c>
      <c r="F471" s="79">
        <f>SUM(BASE_DATOS[[#This Row],[Capital($)]:[Interés
Resarcitorio($)]])</f>
        <v>181968.45800000001</v>
      </c>
      <c r="G471" s="8">
        <v>45793</v>
      </c>
      <c r="H471" s="80" t="s">
        <v>68</v>
      </c>
      <c r="I471" s="79" t="s">
        <v>9</v>
      </c>
      <c r="J471" s="81">
        <v>12</v>
      </c>
      <c r="K471" t="s">
        <v>46</v>
      </c>
    </row>
    <row r="472" spans="2:11" x14ac:dyDescent="0.25">
      <c r="B472" s="2">
        <f>+B471</f>
        <v>9</v>
      </c>
      <c r="C472" s="4">
        <v>160426.95000000001</v>
      </c>
      <c r="D472" s="4">
        <v>21541.507999999998</v>
      </c>
      <c r="E472" s="79">
        <v>24262.46</v>
      </c>
      <c r="F472" s="79">
        <f>SUM(BASE_DATOS[[#This Row],[Capital($)]:[Interés
Resarcitorio($)]])</f>
        <v>206230.91800000001</v>
      </c>
      <c r="G472" s="8">
        <v>45803</v>
      </c>
      <c r="H472" s="80" t="s">
        <v>68</v>
      </c>
      <c r="I472" s="79" t="s">
        <v>7</v>
      </c>
      <c r="J472" s="81">
        <v>12</v>
      </c>
      <c r="K472" t="s">
        <v>46</v>
      </c>
    </row>
    <row r="473" spans="2:11" x14ac:dyDescent="0.25">
      <c r="B473" s="2">
        <v>10</v>
      </c>
      <c r="C473" s="4">
        <v>165560.61200000002</v>
      </c>
      <c r="D473" s="4">
        <v>16407.845999999998</v>
      </c>
      <c r="E473" s="79">
        <v>0</v>
      </c>
      <c r="F473" s="79">
        <f>SUM(BASE_DATOS[[#This Row],[Capital($)]:[Interés
Resarcitorio($)]])</f>
        <v>181968.45800000001</v>
      </c>
      <c r="G473" s="8">
        <v>45824</v>
      </c>
      <c r="H473" s="80" t="s">
        <v>68</v>
      </c>
      <c r="I473" s="79" t="s">
        <v>9</v>
      </c>
      <c r="J473" s="81">
        <v>12</v>
      </c>
      <c r="K473" t="s">
        <v>46</v>
      </c>
    </row>
    <row r="474" spans="2:11" x14ac:dyDescent="0.25">
      <c r="B474" s="2">
        <f>+B473</f>
        <v>10</v>
      </c>
      <c r="C474" s="4">
        <v>165560.61200000002</v>
      </c>
      <c r="D474" s="4">
        <v>16407.845999999998</v>
      </c>
      <c r="E474" s="79">
        <v>24262.46</v>
      </c>
      <c r="F474" s="79">
        <f>SUM(BASE_DATOS[[#This Row],[Capital($)]:[Interés
Resarcitorio($)]])</f>
        <v>206230.91800000001</v>
      </c>
      <c r="G474" s="8">
        <v>45834</v>
      </c>
      <c r="H474" s="80" t="s">
        <v>68</v>
      </c>
      <c r="I474" s="79" t="s">
        <v>7</v>
      </c>
      <c r="J474" s="81">
        <v>12</v>
      </c>
      <c r="K474" t="s">
        <v>46</v>
      </c>
    </row>
    <row r="475" spans="2:11" x14ac:dyDescent="0.25">
      <c r="B475" s="2">
        <v>11</v>
      </c>
      <c r="C475" s="4">
        <v>170858.552</v>
      </c>
      <c r="D475" s="4">
        <v>11109.905999999999</v>
      </c>
      <c r="E475" s="79">
        <v>0</v>
      </c>
      <c r="F475" s="79">
        <f>SUM(BASE_DATOS[[#This Row],[Capital($)]:[Interés
Resarcitorio($)]])</f>
        <v>181968.45799999998</v>
      </c>
      <c r="G475" s="8">
        <v>45854</v>
      </c>
      <c r="H475" s="80" t="s">
        <v>68</v>
      </c>
      <c r="I475" s="79" t="s">
        <v>6</v>
      </c>
      <c r="J475" s="81">
        <v>12</v>
      </c>
      <c r="K475" t="s">
        <v>46</v>
      </c>
    </row>
    <row r="476" spans="2:11" x14ac:dyDescent="0.25">
      <c r="B476" s="2">
        <f>+B475</f>
        <v>11</v>
      </c>
      <c r="C476" s="4">
        <v>170858.552</v>
      </c>
      <c r="D476" s="4">
        <v>11109.905999999999</v>
      </c>
      <c r="E476" s="79">
        <v>24262.46</v>
      </c>
      <c r="F476" s="79">
        <f>SUM(BASE_DATOS[[#This Row],[Capital($)]:[Interés
Resarcitorio($)]])</f>
        <v>206230.91799999998</v>
      </c>
      <c r="G476" s="8">
        <v>45864</v>
      </c>
      <c r="H476" s="80" t="s">
        <v>68</v>
      </c>
      <c r="I476" s="79" t="s">
        <v>7</v>
      </c>
      <c r="J476" s="81">
        <v>12</v>
      </c>
      <c r="K476" t="s">
        <v>46</v>
      </c>
    </row>
    <row r="477" spans="2:11" x14ac:dyDescent="0.25">
      <c r="B477" s="2">
        <v>12</v>
      </c>
      <c r="C477" s="4">
        <v>176326.02100000001</v>
      </c>
      <c r="D477" s="4">
        <v>5642.4369999999999</v>
      </c>
      <c r="E477" s="79">
        <v>0</v>
      </c>
      <c r="F477" s="79">
        <f>SUM(BASE_DATOS[[#This Row],[Capital($)]:[Interés
Resarcitorio($)]])</f>
        <v>181968.45800000001</v>
      </c>
      <c r="G477" s="8">
        <v>45885</v>
      </c>
      <c r="H477" s="80" t="s">
        <v>68</v>
      </c>
      <c r="I477" s="79" t="s">
        <v>6</v>
      </c>
      <c r="J477" s="81">
        <v>12</v>
      </c>
      <c r="K477" t="s">
        <v>46</v>
      </c>
    </row>
    <row r="478" spans="2:11" x14ac:dyDescent="0.25">
      <c r="B478" s="2">
        <f>+B477</f>
        <v>12</v>
      </c>
      <c r="C478" s="4">
        <v>176326.02100000001</v>
      </c>
      <c r="D478" s="4">
        <v>5642.4369999999999</v>
      </c>
      <c r="E478" s="79">
        <v>24262.46</v>
      </c>
      <c r="F478" s="79">
        <f>SUM(BASE_DATOS[[#This Row],[Capital($)]:[Interés
Resarcitorio($)]])</f>
        <v>206230.91800000001</v>
      </c>
      <c r="G478" s="8">
        <v>45895</v>
      </c>
      <c r="H478" s="80" t="s">
        <v>68</v>
      </c>
      <c r="I478" s="79" t="s">
        <v>7</v>
      </c>
      <c r="J478" s="81">
        <v>12</v>
      </c>
      <c r="K478" t="s">
        <v>46</v>
      </c>
    </row>
    <row r="479" spans="2:11" x14ac:dyDescent="0.25">
      <c r="B479" s="2">
        <v>1</v>
      </c>
      <c r="C479" s="4">
        <v>123378.00700000001</v>
      </c>
      <c r="D479" s="4">
        <v>56672.404000000002</v>
      </c>
      <c r="E479" s="79">
        <v>0</v>
      </c>
      <c r="F479" s="79">
        <f>SUM(BASE_DATOS[[#This Row],[Capital($)]:[Interés
Resarcitorio($)]])</f>
        <v>180050.41100000002</v>
      </c>
      <c r="G479" s="8">
        <v>45612</v>
      </c>
      <c r="H479" s="80" t="s">
        <v>73</v>
      </c>
      <c r="I479" s="79" t="s">
        <v>9</v>
      </c>
      <c r="J479" s="81">
        <v>12</v>
      </c>
      <c r="K479" t="s">
        <v>46</v>
      </c>
    </row>
    <row r="480" spans="2:11" x14ac:dyDescent="0.25">
      <c r="B480" s="2">
        <f>+B479</f>
        <v>1</v>
      </c>
      <c r="C480" s="4">
        <v>123378.00700000001</v>
      </c>
      <c r="D480" s="4">
        <v>56672.404000000002</v>
      </c>
      <c r="E480" s="79">
        <v>38470.769999999997</v>
      </c>
      <c r="F480" s="79">
        <f>SUM(BASE_DATOS[[#This Row],[Capital($)]:[Interés
Resarcitorio($)]])</f>
        <v>218521.18100000001</v>
      </c>
      <c r="G480" s="8">
        <v>45622</v>
      </c>
      <c r="H480" s="80" t="s">
        <v>73</v>
      </c>
      <c r="I480" s="79" t="s">
        <v>7</v>
      </c>
      <c r="J480" s="81">
        <v>12</v>
      </c>
      <c r="K480" t="s">
        <v>46</v>
      </c>
    </row>
    <row r="481" spans="2:11" x14ac:dyDescent="0.25">
      <c r="B481" s="2">
        <v>2</v>
      </c>
      <c r="C481" s="4">
        <v>127326.103</v>
      </c>
      <c r="D481" s="4">
        <v>52724.307999999997</v>
      </c>
      <c r="E481" s="79">
        <v>0</v>
      </c>
      <c r="F481" s="79">
        <f>SUM(BASE_DATOS[[#This Row],[Capital($)]:[Interés
Resarcitorio($)]])</f>
        <v>180050.41099999999</v>
      </c>
      <c r="G481" s="8">
        <v>45642</v>
      </c>
      <c r="H481" s="80" t="s">
        <v>73</v>
      </c>
      <c r="I481" s="79" t="s">
        <v>9</v>
      </c>
      <c r="J481" s="81">
        <v>12</v>
      </c>
      <c r="K481" t="s">
        <v>46</v>
      </c>
    </row>
    <row r="482" spans="2:11" x14ac:dyDescent="0.25">
      <c r="B482" s="2">
        <f>+B481</f>
        <v>2</v>
      </c>
      <c r="C482" s="4">
        <v>127326.103</v>
      </c>
      <c r="D482" s="4">
        <v>52724.307999999997</v>
      </c>
      <c r="E482" s="79">
        <v>44832.55</v>
      </c>
      <c r="F482" s="79">
        <f>SUM(BASE_DATOS[[#This Row],[Capital($)]:[Interés
Resarcitorio($)]])</f>
        <v>224882.96100000001</v>
      </c>
      <c r="G482" s="8">
        <v>45652</v>
      </c>
      <c r="H482" s="80" t="s">
        <v>73</v>
      </c>
      <c r="I482" s="79" t="s">
        <v>7</v>
      </c>
      <c r="J482" s="81">
        <v>12</v>
      </c>
      <c r="K482" t="s">
        <v>46</v>
      </c>
    </row>
    <row r="483" spans="2:11" x14ac:dyDescent="0.25">
      <c r="B483" s="2">
        <v>3</v>
      </c>
      <c r="C483" s="4">
        <v>131400.538</v>
      </c>
      <c r="D483" s="4">
        <v>48649.873</v>
      </c>
      <c r="E483" s="79">
        <v>0</v>
      </c>
      <c r="F483" s="79">
        <f>SUM(BASE_DATOS[[#This Row],[Capital($)]:[Interés
Resarcitorio($)]])</f>
        <v>180050.41099999999</v>
      </c>
      <c r="G483" s="8">
        <v>45673</v>
      </c>
      <c r="H483" s="80" t="s">
        <v>73</v>
      </c>
      <c r="I483" s="79" t="s">
        <v>9</v>
      </c>
      <c r="J483" s="81">
        <v>12</v>
      </c>
      <c r="K483" t="s">
        <v>46</v>
      </c>
    </row>
    <row r="484" spans="2:11" x14ac:dyDescent="0.25">
      <c r="B484" s="2">
        <f>+B483</f>
        <v>3</v>
      </c>
      <c r="C484" s="4">
        <v>131400.538</v>
      </c>
      <c r="D484" s="4">
        <v>48649.873</v>
      </c>
      <c r="E484" s="79">
        <v>44832.55</v>
      </c>
      <c r="F484" s="79">
        <f>SUM(BASE_DATOS[[#This Row],[Capital($)]:[Interés
Resarcitorio($)]])</f>
        <v>224882.96100000001</v>
      </c>
      <c r="G484" s="8">
        <v>45683</v>
      </c>
      <c r="H484" s="80" t="s">
        <v>73</v>
      </c>
      <c r="I484" s="79" t="s">
        <v>7</v>
      </c>
      <c r="J484" s="81">
        <v>12</v>
      </c>
      <c r="K484" t="s">
        <v>46</v>
      </c>
    </row>
    <row r="485" spans="2:11" x14ac:dyDescent="0.25">
      <c r="B485" s="2">
        <v>4</v>
      </c>
      <c r="C485" s="4">
        <v>135605.35500000001</v>
      </c>
      <c r="D485" s="4">
        <v>44445.055999999997</v>
      </c>
      <c r="E485" s="79">
        <v>0</v>
      </c>
      <c r="F485" s="79">
        <f>SUM(BASE_DATOS[[#This Row],[Capital($)]:[Interés
Resarcitorio($)]])</f>
        <v>180050.41100000002</v>
      </c>
      <c r="G485" s="8">
        <v>45704</v>
      </c>
      <c r="H485" s="80" t="s">
        <v>73</v>
      </c>
      <c r="I485" s="79" t="s">
        <v>9</v>
      </c>
      <c r="J485" s="81">
        <v>12</v>
      </c>
      <c r="K485" t="s">
        <v>46</v>
      </c>
    </row>
    <row r="486" spans="2:11" x14ac:dyDescent="0.25">
      <c r="B486" s="2">
        <f>+B485</f>
        <v>4</v>
      </c>
      <c r="C486" s="4">
        <v>135605.35500000001</v>
      </c>
      <c r="D486" s="4">
        <v>44445.055999999997</v>
      </c>
      <c r="E486" s="79">
        <v>43572.2</v>
      </c>
      <c r="F486" s="79">
        <f>SUM(BASE_DATOS[[#This Row],[Capital($)]:[Interés
Resarcitorio($)]])</f>
        <v>223622.61100000003</v>
      </c>
      <c r="G486" s="8">
        <v>45714</v>
      </c>
      <c r="H486" s="80" t="s">
        <v>73</v>
      </c>
      <c r="I486" s="79" t="s">
        <v>7</v>
      </c>
      <c r="J486" s="81">
        <v>12</v>
      </c>
      <c r="K486" t="s">
        <v>46</v>
      </c>
    </row>
    <row r="487" spans="2:11" x14ac:dyDescent="0.25">
      <c r="B487" s="2">
        <v>5</v>
      </c>
      <c r="C487" s="4">
        <v>139944.72700000001</v>
      </c>
      <c r="D487" s="4">
        <v>40105.684000000001</v>
      </c>
      <c r="E487" s="79">
        <v>0</v>
      </c>
      <c r="F487" s="79">
        <f>SUM(BASE_DATOS[[#This Row],[Capital($)]:[Interés
Resarcitorio($)]])</f>
        <v>180050.41100000002</v>
      </c>
      <c r="G487" s="8">
        <v>45732</v>
      </c>
      <c r="H487" s="80" t="s">
        <v>73</v>
      </c>
      <c r="I487" s="79" t="s">
        <v>9</v>
      </c>
      <c r="J487" s="81">
        <v>12</v>
      </c>
      <c r="K487" t="s">
        <v>46</v>
      </c>
    </row>
    <row r="488" spans="2:11" x14ac:dyDescent="0.25">
      <c r="B488" s="2">
        <f>+B487</f>
        <v>5</v>
      </c>
      <c r="C488" s="4">
        <v>139944.72700000001</v>
      </c>
      <c r="D488" s="4">
        <v>40105.684000000001</v>
      </c>
      <c r="E488" s="79">
        <v>24006.73</v>
      </c>
      <c r="F488" s="79">
        <f>SUM(BASE_DATOS[[#This Row],[Capital($)]:[Interés
Resarcitorio($)]])</f>
        <v>204057.14100000003</v>
      </c>
      <c r="G488" s="8">
        <v>45742</v>
      </c>
      <c r="H488" s="80" t="s">
        <v>73</v>
      </c>
      <c r="I488" s="79" t="s">
        <v>7</v>
      </c>
      <c r="J488" s="81">
        <v>12</v>
      </c>
      <c r="K488" t="s">
        <v>46</v>
      </c>
    </row>
    <row r="489" spans="2:11" x14ac:dyDescent="0.25">
      <c r="B489" s="2">
        <v>6</v>
      </c>
      <c r="C489" s="4">
        <v>144422.95800000001</v>
      </c>
      <c r="D489" s="4">
        <v>35627.453000000001</v>
      </c>
      <c r="E489" s="79">
        <v>0</v>
      </c>
      <c r="F489" s="79">
        <f>SUM(BASE_DATOS[[#This Row],[Capital($)]:[Interés
Resarcitorio($)]])</f>
        <v>180050.41100000002</v>
      </c>
      <c r="G489" s="8">
        <v>45763</v>
      </c>
      <c r="H489" s="80" t="s">
        <v>73</v>
      </c>
      <c r="I489" s="79" t="s">
        <v>6</v>
      </c>
      <c r="J489" s="81">
        <v>12</v>
      </c>
      <c r="K489" t="s">
        <v>46</v>
      </c>
    </row>
    <row r="490" spans="2:11" x14ac:dyDescent="0.25">
      <c r="B490" s="2">
        <f>+B489</f>
        <v>6</v>
      </c>
      <c r="C490" s="4">
        <v>144422.95800000001</v>
      </c>
      <c r="D490" s="4">
        <v>35627.453000000001</v>
      </c>
      <c r="E490" s="79">
        <v>24006.73</v>
      </c>
      <c r="F490" s="79">
        <f>SUM(BASE_DATOS[[#This Row],[Capital($)]:[Interés
Resarcitorio($)]])</f>
        <v>204057.14100000003</v>
      </c>
      <c r="G490" s="8">
        <v>45773</v>
      </c>
      <c r="H490" s="80" t="s">
        <v>73</v>
      </c>
      <c r="I490" s="79" t="s">
        <v>7</v>
      </c>
      <c r="J490" s="81">
        <v>12</v>
      </c>
      <c r="K490" t="s">
        <v>46</v>
      </c>
    </row>
    <row r="491" spans="2:11" x14ac:dyDescent="0.25">
      <c r="B491" s="2">
        <v>7</v>
      </c>
      <c r="C491" s="4">
        <v>149044.49299999999</v>
      </c>
      <c r="D491" s="4">
        <v>31005.917999999998</v>
      </c>
      <c r="E491" s="79">
        <v>0</v>
      </c>
      <c r="F491" s="79">
        <f>SUM(BASE_DATOS[[#This Row],[Capital($)]:[Interés
Resarcitorio($)]])</f>
        <v>180050.41099999999</v>
      </c>
      <c r="G491" s="8">
        <v>45793</v>
      </c>
      <c r="H491" s="80" t="s">
        <v>73</v>
      </c>
      <c r="I491" s="79" t="s">
        <v>9</v>
      </c>
      <c r="J491" s="81">
        <v>12</v>
      </c>
      <c r="K491" t="s">
        <v>46</v>
      </c>
    </row>
    <row r="492" spans="2:11" x14ac:dyDescent="0.25">
      <c r="B492" s="2">
        <f>+B491</f>
        <v>7</v>
      </c>
      <c r="C492" s="4">
        <v>149044.49299999999</v>
      </c>
      <c r="D492" s="4">
        <v>31005.917999999998</v>
      </c>
      <c r="E492" s="79">
        <v>24006.73</v>
      </c>
      <c r="F492" s="79">
        <f>SUM(BASE_DATOS[[#This Row],[Capital($)]:[Interés
Resarcitorio($)]])</f>
        <v>204057.141</v>
      </c>
      <c r="G492" s="8">
        <v>45803</v>
      </c>
      <c r="H492" s="80" t="s">
        <v>73</v>
      </c>
      <c r="I492" s="79" t="s">
        <v>7</v>
      </c>
      <c r="J492" s="81">
        <v>12</v>
      </c>
      <c r="K492" t="s">
        <v>46</v>
      </c>
    </row>
    <row r="493" spans="2:11" x14ac:dyDescent="0.25">
      <c r="B493" s="2">
        <v>8</v>
      </c>
      <c r="C493" s="4">
        <v>153813.91699999999</v>
      </c>
      <c r="D493" s="4">
        <v>26236.493999999999</v>
      </c>
      <c r="E493" s="79">
        <v>0</v>
      </c>
      <c r="F493" s="79">
        <f>SUM(BASE_DATOS[[#This Row],[Capital($)]:[Interés
Resarcitorio($)]])</f>
        <v>180050.41099999999</v>
      </c>
      <c r="G493" s="8">
        <v>45824</v>
      </c>
      <c r="H493" s="80" t="s">
        <v>73</v>
      </c>
      <c r="I493" s="79" t="s">
        <v>9</v>
      </c>
      <c r="J493" s="81">
        <v>12</v>
      </c>
      <c r="K493" t="s">
        <v>46</v>
      </c>
    </row>
    <row r="494" spans="2:11" x14ac:dyDescent="0.25">
      <c r="B494" s="2">
        <f>+B493</f>
        <v>8</v>
      </c>
      <c r="C494" s="4">
        <v>153813.91699999999</v>
      </c>
      <c r="D494" s="4">
        <v>26236.493999999999</v>
      </c>
      <c r="E494" s="79">
        <v>24006.73</v>
      </c>
      <c r="F494" s="79">
        <f>SUM(BASE_DATOS[[#This Row],[Capital($)]:[Interés
Resarcitorio($)]])</f>
        <v>204057.141</v>
      </c>
      <c r="G494" s="8">
        <v>45834</v>
      </c>
      <c r="H494" s="80" t="s">
        <v>73</v>
      </c>
      <c r="I494" s="79" t="s">
        <v>7</v>
      </c>
      <c r="J494" s="81">
        <v>12</v>
      </c>
      <c r="K494" t="s">
        <v>46</v>
      </c>
    </row>
    <row r="495" spans="2:11" x14ac:dyDescent="0.25">
      <c r="B495" s="2">
        <v>9</v>
      </c>
      <c r="C495" s="4">
        <v>158735.962</v>
      </c>
      <c r="D495" s="4">
        <v>21314.449000000001</v>
      </c>
      <c r="E495" s="79">
        <v>0</v>
      </c>
      <c r="F495" s="79">
        <f>SUM(BASE_DATOS[[#This Row],[Capital($)]:[Interés
Resarcitorio($)]])</f>
        <v>180050.41099999999</v>
      </c>
      <c r="G495" s="8">
        <v>45854</v>
      </c>
      <c r="H495" s="80" t="s">
        <v>73</v>
      </c>
      <c r="I495" s="79" t="s">
        <v>6</v>
      </c>
      <c r="J495" s="81">
        <v>12</v>
      </c>
      <c r="K495" t="s">
        <v>46</v>
      </c>
    </row>
    <row r="496" spans="2:11" x14ac:dyDescent="0.25">
      <c r="B496" s="2">
        <f>+B495</f>
        <v>9</v>
      </c>
      <c r="C496" s="4">
        <v>158735.962</v>
      </c>
      <c r="D496" s="4">
        <v>21314.449000000001</v>
      </c>
      <c r="E496" s="79">
        <v>24006.73</v>
      </c>
      <c r="F496" s="79">
        <f>SUM(BASE_DATOS[[#This Row],[Capital($)]:[Interés
Resarcitorio($)]])</f>
        <v>204057.141</v>
      </c>
      <c r="G496" s="8">
        <v>45864</v>
      </c>
      <c r="H496" s="80" t="s">
        <v>73</v>
      </c>
      <c r="I496" s="79" t="s">
        <v>7</v>
      </c>
      <c r="J496" s="81">
        <v>12</v>
      </c>
      <c r="K496" t="s">
        <v>46</v>
      </c>
    </row>
    <row r="497" spans="2:11" x14ac:dyDescent="0.25">
      <c r="B497" s="2">
        <v>10</v>
      </c>
      <c r="C497" s="4">
        <v>163815.51299999998</v>
      </c>
      <c r="D497" s="4">
        <v>16234.898000000001</v>
      </c>
      <c r="E497" s="79">
        <v>0</v>
      </c>
      <c r="F497" s="79">
        <f>SUM(BASE_DATOS[[#This Row],[Capital($)]:[Interés
Resarcitorio($)]])</f>
        <v>180050.41099999996</v>
      </c>
      <c r="G497" s="8">
        <v>45885</v>
      </c>
      <c r="H497" s="80" t="s">
        <v>73</v>
      </c>
      <c r="I497" s="79" t="s">
        <v>6</v>
      </c>
      <c r="J497" s="81">
        <v>12</v>
      </c>
      <c r="K497" t="s">
        <v>46</v>
      </c>
    </row>
    <row r="498" spans="2:11" x14ac:dyDescent="0.25">
      <c r="B498" s="2">
        <f>+B497</f>
        <v>10</v>
      </c>
      <c r="C498" s="4">
        <v>163815.51299999998</v>
      </c>
      <c r="D498" s="4">
        <v>16234.898000000001</v>
      </c>
      <c r="E498" s="79">
        <v>24006.73</v>
      </c>
      <c r="F498" s="79">
        <f>SUM(BASE_DATOS[[#This Row],[Capital($)]:[Interés
Resarcitorio($)]])</f>
        <v>204057.14099999997</v>
      </c>
      <c r="G498" s="8">
        <v>45895</v>
      </c>
      <c r="H498" s="80" t="s">
        <v>73</v>
      </c>
      <c r="I498" s="79" t="s">
        <v>7</v>
      </c>
      <c r="J498" s="81">
        <v>12</v>
      </c>
      <c r="K498" t="s">
        <v>46</v>
      </c>
    </row>
    <row r="499" spans="2:11" x14ac:dyDescent="0.25">
      <c r="B499" s="2">
        <v>11</v>
      </c>
      <c r="C499" s="4">
        <v>169057.609</v>
      </c>
      <c r="D499" s="4">
        <v>10992.802</v>
      </c>
      <c r="E499" s="79">
        <v>0</v>
      </c>
      <c r="F499" s="79">
        <f>SUM(BASE_DATOS[[#This Row],[Capital($)]:[Interés
Resarcitorio($)]])</f>
        <v>180050.41099999999</v>
      </c>
      <c r="G499" s="8">
        <v>45916</v>
      </c>
      <c r="H499" s="80" t="s">
        <v>73</v>
      </c>
      <c r="I499" s="79" t="s">
        <v>6</v>
      </c>
      <c r="J499" s="81">
        <v>12</v>
      </c>
      <c r="K499" t="s">
        <v>46</v>
      </c>
    </row>
    <row r="500" spans="2:11" x14ac:dyDescent="0.25">
      <c r="B500" s="2">
        <f>+B499</f>
        <v>11</v>
      </c>
      <c r="C500" s="4">
        <v>169057.609</v>
      </c>
      <c r="D500" s="4">
        <v>10992.802</v>
      </c>
      <c r="E500" s="79">
        <v>24006.73</v>
      </c>
      <c r="F500" s="79">
        <f>SUM(BASE_DATOS[[#This Row],[Capital($)]:[Interés
Resarcitorio($)]])</f>
        <v>204057.141</v>
      </c>
      <c r="G500" s="8">
        <v>45926</v>
      </c>
      <c r="H500" s="80" t="s">
        <v>73</v>
      </c>
      <c r="I500" s="79" t="s">
        <v>7</v>
      </c>
      <c r="J500" s="81">
        <v>12</v>
      </c>
      <c r="K500" t="s">
        <v>46</v>
      </c>
    </row>
    <row r="501" spans="2:11" x14ac:dyDescent="0.25">
      <c r="B501" s="2">
        <v>12</v>
      </c>
      <c r="C501" s="4">
        <v>174467.451</v>
      </c>
      <c r="D501" s="4">
        <v>5582.96</v>
      </c>
      <c r="E501" s="79">
        <v>0</v>
      </c>
      <c r="F501" s="79">
        <f>SUM(BASE_DATOS[[#This Row],[Capital($)]:[Interés
Resarcitorio($)]])</f>
        <v>180050.41099999999</v>
      </c>
      <c r="G501" s="8">
        <v>45946</v>
      </c>
      <c r="H501" s="80" t="s">
        <v>73</v>
      </c>
      <c r="I501" s="79" t="s">
        <v>6</v>
      </c>
      <c r="J501" s="81">
        <v>12</v>
      </c>
      <c r="K501" t="s">
        <v>46</v>
      </c>
    </row>
    <row r="502" spans="2:11" x14ac:dyDescent="0.25">
      <c r="B502" s="2">
        <f>+B501</f>
        <v>12</v>
      </c>
      <c r="C502" s="4">
        <v>174467.451</v>
      </c>
      <c r="D502" s="4">
        <v>5582.96</v>
      </c>
      <c r="E502" s="79">
        <v>24006.73</v>
      </c>
      <c r="F502" s="79">
        <f>SUM(BASE_DATOS[[#This Row],[Capital($)]:[Interés
Resarcitorio($)]])</f>
        <v>204057.141</v>
      </c>
      <c r="G502" s="8">
        <v>45956</v>
      </c>
      <c r="H502" s="80" t="s">
        <v>73</v>
      </c>
      <c r="I502" s="79" t="s">
        <v>7</v>
      </c>
      <c r="J502" s="81">
        <v>12</v>
      </c>
      <c r="K502" t="s">
        <v>46</v>
      </c>
    </row>
    <row r="503" spans="2:11" x14ac:dyDescent="0.25">
      <c r="B503" s="2">
        <v>1</v>
      </c>
      <c r="C503" s="4">
        <v>104920.54699999999</v>
      </c>
      <c r="D503" s="4">
        <v>63060.630000000005</v>
      </c>
      <c r="E503" s="79">
        <v>0</v>
      </c>
      <c r="F503" s="79">
        <f>SUM(BASE_DATOS[[#This Row],[Capital($)]:[Interés
Resarcitorio($)]])</f>
        <v>167981.177</v>
      </c>
      <c r="G503" s="8">
        <v>45824</v>
      </c>
      <c r="H503" s="80" t="s">
        <v>89</v>
      </c>
      <c r="I503" s="79" t="s">
        <v>9</v>
      </c>
      <c r="J503" s="81">
        <v>12</v>
      </c>
      <c r="K503" t="s">
        <v>46</v>
      </c>
    </row>
    <row r="504" spans="2:11" x14ac:dyDescent="0.25">
      <c r="B504" s="2">
        <v>1</v>
      </c>
      <c r="C504" s="4">
        <v>104920.54699999999</v>
      </c>
      <c r="D504" s="4">
        <v>63060.630000000005</v>
      </c>
      <c r="E504" s="79">
        <v>22397.49</v>
      </c>
      <c r="F504" s="79">
        <f>SUM(BASE_DATOS[[#This Row],[Capital($)]:[Interés
Resarcitorio($)]])</f>
        <v>190378.66699999999</v>
      </c>
      <c r="G504" s="8">
        <v>45834</v>
      </c>
      <c r="H504" s="80" t="s">
        <v>89</v>
      </c>
      <c r="I504" s="79" t="s">
        <v>7</v>
      </c>
      <c r="J504" s="81">
        <v>12</v>
      </c>
      <c r="K504" t="s">
        <v>46</v>
      </c>
    </row>
    <row r="505" spans="2:11" x14ac:dyDescent="0.25">
      <c r="B505" s="2">
        <v>2</v>
      </c>
      <c r="C505" s="4">
        <v>109117.36899999999</v>
      </c>
      <c r="D505" s="4">
        <v>58863.807999999997</v>
      </c>
      <c r="E505" s="79">
        <v>0</v>
      </c>
      <c r="F505" s="79">
        <f>SUM(BASE_DATOS[[#This Row],[Capital($)]:[Interés
Resarcitorio($)]])</f>
        <v>167981.177</v>
      </c>
      <c r="G505" s="8">
        <v>45854</v>
      </c>
      <c r="H505" s="80" t="s">
        <v>89</v>
      </c>
      <c r="I505" s="79" t="s">
        <v>6</v>
      </c>
      <c r="J505" s="81">
        <v>12</v>
      </c>
      <c r="K505" t="s">
        <v>46</v>
      </c>
    </row>
    <row r="506" spans="2:11" x14ac:dyDescent="0.25">
      <c r="B506" s="2">
        <v>2</v>
      </c>
      <c r="C506" s="4">
        <v>109117.36899999999</v>
      </c>
      <c r="D506" s="4">
        <v>58863.807999999997</v>
      </c>
      <c r="E506" s="79">
        <v>22397.49</v>
      </c>
      <c r="F506" s="79">
        <f>SUM(BASE_DATOS[[#This Row],[Capital($)]:[Interés
Resarcitorio($)]])</f>
        <v>190378.66699999999</v>
      </c>
      <c r="G506" s="8">
        <v>45864</v>
      </c>
      <c r="H506" s="80" t="s">
        <v>89</v>
      </c>
      <c r="I506" s="79" t="s">
        <v>7</v>
      </c>
      <c r="J506" s="81">
        <v>12</v>
      </c>
      <c r="K506" t="s">
        <v>46</v>
      </c>
    </row>
    <row r="507" spans="2:11" x14ac:dyDescent="0.25">
      <c r="B507" s="2">
        <v>3</v>
      </c>
      <c r="C507" s="4">
        <v>113482.06399999998</v>
      </c>
      <c r="D507" s="4">
        <v>54499.112999999998</v>
      </c>
      <c r="E507" s="79">
        <v>0</v>
      </c>
      <c r="F507" s="79">
        <f>SUM(BASE_DATOS[[#This Row],[Capital($)]:[Interés
Resarcitorio($)]])</f>
        <v>167981.17699999997</v>
      </c>
      <c r="G507" s="8">
        <v>45885</v>
      </c>
      <c r="H507" s="80" t="s">
        <v>89</v>
      </c>
      <c r="I507" s="79" t="s">
        <v>6</v>
      </c>
      <c r="J507" s="81">
        <v>12</v>
      </c>
      <c r="K507" t="s">
        <v>46</v>
      </c>
    </row>
    <row r="508" spans="2:11" x14ac:dyDescent="0.25">
      <c r="B508" s="2">
        <v>3</v>
      </c>
      <c r="C508" s="4">
        <v>113482.06399999998</v>
      </c>
      <c r="D508" s="4">
        <v>54499.112999999998</v>
      </c>
      <c r="E508" s="79">
        <v>22397.49</v>
      </c>
      <c r="F508" s="79">
        <f>SUM(BASE_DATOS[[#This Row],[Capital($)]:[Interés
Resarcitorio($)]])</f>
        <v>190378.66699999996</v>
      </c>
      <c r="G508" s="8">
        <v>45895</v>
      </c>
      <c r="H508" s="80" t="s">
        <v>89</v>
      </c>
      <c r="I508" s="79" t="s">
        <v>7</v>
      </c>
      <c r="J508" s="81">
        <v>12</v>
      </c>
      <c r="K508" t="s">
        <v>46</v>
      </c>
    </row>
    <row r="509" spans="2:11" x14ac:dyDescent="0.25">
      <c r="B509" s="2">
        <v>4</v>
      </c>
      <c r="C509" s="4">
        <v>118021.34699999999</v>
      </c>
      <c r="D509" s="4">
        <v>49959.83</v>
      </c>
      <c r="E509" s="79">
        <v>0</v>
      </c>
      <c r="F509" s="79">
        <f>SUM(BASE_DATOS[[#This Row],[Capital($)]:[Interés
Resarcitorio($)]])</f>
        <v>167981.177</v>
      </c>
      <c r="G509" s="8">
        <v>45916</v>
      </c>
      <c r="H509" s="80" t="s">
        <v>89</v>
      </c>
      <c r="I509" s="79" t="s">
        <v>6</v>
      </c>
      <c r="J509" s="81">
        <v>12</v>
      </c>
      <c r="K509" t="s">
        <v>46</v>
      </c>
    </row>
    <row r="510" spans="2:11" x14ac:dyDescent="0.25">
      <c r="B510" s="2">
        <v>4</v>
      </c>
      <c r="C510" s="4">
        <v>118021.34699999999</v>
      </c>
      <c r="D510" s="4">
        <v>49959.83</v>
      </c>
      <c r="E510" s="79">
        <v>22397.49</v>
      </c>
      <c r="F510" s="79">
        <f>SUM(BASE_DATOS[[#This Row],[Capital($)]:[Interés
Resarcitorio($)]])</f>
        <v>190378.66699999999</v>
      </c>
      <c r="G510" s="8">
        <v>45926</v>
      </c>
      <c r="H510" s="80" t="s">
        <v>89</v>
      </c>
      <c r="I510" s="79" t="s">
        <v>7</v>
      </c>
      <c r="J510" s="81">
        <v>12</v>
      </c>
      <c r="K510" t="s">
        <v>46</v>
      </c>
    </row>
    <row r="511" spans="2:11" x14ac:dyDescent="0.25">
      <c r="B511" s="2">
        <v>5</v>
      </c>
      <c r="C511" s="4">
        <v>122742.201</v>
      </c>
      <c r="D511" s="4">
        <v>45238.976000000002</v>
      </c>
      <c r="E511" s="79">
        <v>0</v>
      </c>
      <c r="F511" s="79">
        <f>SUM(BASE_DATOS[[#This Row],[Capital($)]:[Interés
Resarcitorio($)]])</f>
        <v>167981.177</v>
      </c>
      <c r="G511" s="8">
        <v>45946</v>
      </c>
      <c r="H511" s="80" t="s">
        <v>89</v>
      </c>
      <c r="I511" s="79" t="s">
        <v>6</v>
      </c>
      <c r="J511" s="81">
        <v>12</v>
      </c>
      <c r="K511" t="s">
        <v>46</v>
      </c>
    </row>
    <row r="512" spans="2:11" x14ac:dyDescent="0.25">
      <c r="B512" s="2">
        <v>5</v>
      </c>
      <c r="C512" s="4">
        <v>122742.201</v>
      </c>
      <c r="D512" s="4">
        <v>45238.976000000002</v>
      </c>
      <c r="E512" s="79">
        <v>22397.49</v>
      </c>
      <c r="F512" s="79">
        <f>SUM(BASE_DATOS[[#This Row],[Capital($)]:[Interés
Resarcitorio($)]])</f>
        <v>190378.66699999999</v>
      </c>
      <c r="G512" s="8">
        <v>45956</v>
      </c>
      <c r="H512" s="80" t="s">
        <v>89</v>
      </c>
      <c r="I512" s="79" t="s">
        <v>7</v>
      </c>
      <c r="J512" s="81">
        <v>12</v>
      </c>
      <c r="K512" t="s">
        <v>46</v>
      </c>
    </row>
    <row r="513" spans="2:11" x14ac:dyDescent="0.25">
      <c r="B513" s="2">
        <v>6</v>
      </c>
      <c r="C513" s="4">
        <v>127651.889</v>
      </c>
      <c r="D513" s="4">
        <v>40329.288</v>
      </c>
      <c r="E513" s="79">
        <v>0</v>
      </c>
      <c r="F513" s="79">
        <f>SUM(BASE_DATOS[[#This Row],[Capital($)]:[Interés
Resarcitorio($)]])</f>
        <v>167981.177</v>
      </c>
      <c r="G513" s="8">
        <v>45977</v>
      </c>
      <c r="H513" s="80" t="s">
        <v>89</v>
      </c>
      <c r="I513" s="79" t="s">
        <v>6</v>
      </c>
      <c r="J513" s="81">
        <v>12</v>
      </c>
      <c r="K513" t="s">
        <v>46</v>
      </c>
    </row>
    <row r="514" spans="2:11" x14ac:dyDescent="0.25">
      <c r="B514" s="2">
        <v>6</v>
      </c>
      <c r="C514" s="4">
        <v>127651.889</v>
      </c>
      <c r="D514" s="4">
        <v>40329.288</v>
      </c>
      <c r="E514" s="79">
        <v>22397.49</v>
      </c>
      <c r="F514" s="79">
        <f>SUM(BASE_DATOS[[#This Row],[Capital($)]:[Interés
Resarcitorio($)]])</f>
        <v>190378.66699999999</v>
      </c>
      <c r="G514" s="8">
        <v>45987</v>
      </c>
      <c r="H514" s="80" t="s">
        <v>89</v>
      </c>
      <c r="I514" s="79" t="s">
        <v>7</v>
      </c>
      <c r="J514" s="81">
        <v>12</v>
      </c>
      <c r="K514" t="s">
        <v>46</v>
      </c>
    </row>
    <row r="515" spans="2:11" x14ac:dyDescent="0.25">
      <c r="B515" s="2">
        <v>7</v>
      </c>
      <c r="C515" s="4">
        <v>132757.96399999998</v>
      </c>
      <c r="D515" s="4">
        <v>35223.213000000003</v>
      </c>
      <c r="E515" s="79">
        <v>0</v>
      </c>
      <c r="F515" s="79">
        <f>SUM(BASE_DATOS[[#This Row],[Capital($)]:[Interés
Resarcitorio($)]])</f>
        <v>167981.17699999997</v>
      </c>
      <c r="G515" s="8">
        <v>46007</v>
      </c>
      <c r="H515" s="80" t="s">
        <v>89</v>
      </c>
      <c r="I515" s="79" t="s">
        <v>6</v>
      </c>
      <c r="J515" s="81">
        <v>12</v>
      </c>
      <c r="K515" t="s">
        <v>46</v>
      </c>
    </row>
    <row r="516" spans="2:11" x14ac:dyDescent="0.25">
      <c r="B516" s="2">
        <v>7</v>
      </c>
      <c r="C516" s="4">
        <v>132757.96399999998</v>
      </c>
      <c r="D516" s="4">
        <v>35223.213000000003</v>
      </c>
      <c r="E516" s="79">
        <v>22397.49</v>
      </c>
      <c r="F516" s="79">
        <f>SUM(BASE_DATOS[[#This Row],[Capital($)]:[Interés
Resarcitorio($)]])</f>
        <v>190378.66699999996</v>
      </c>
      <c r="G516" s="8">
        <v>46017</v>
      </c>
      <c r="H516" s="80" t="s">
        <v>89</v>
      </c>
      <c r="I516" s="79" t="s">
        <v>7</v>
      </c>
      <c r="J516" s="81">
        <v>12</v>
      </c>
      <c r="K516" t="s">
        <v>46</v>
      </c>
    </row>
    <row r="517" spans="2:11" x14ac:dyDescent="0.25">
      <c r="B517" s="2">
        <v>8</v>
      </c>
      <c r="C517" s="4">
        <v>138068.283</v>
      </c>
      <c r="D517" s="4">
        <v>29912.894</v>
      </c>
      <c r="E517" s="79">
        <v>0</v>
      </c>
      <c r="F517" s="79">
        <f>SUM(BASE_DATOS[[#This Row],[Capital($)]:[Interés
Resarcitorio($)]])</f>
        <v>167981.177</v>
      </c>
      <c r="G517" s="8">
        <v>46038</v>
      </c>
      <c r="H517" s="80" t="s">
        <v>89</v>
      </c>
      <c r="I517" s="79" t="s">
        <v>6</v>
      </c>
      <c r="J517" s="81">
        <v>12</v>
      </c>
      <c r="K517" t="s">
        <v>46</v>
      </c>
    </row>
    <row r="518" spans="2:11" x14ac:dyDescent="0.25">
      <c r="B518" s="2">
        <v>8</v>
      </c>
      <c r="C518" s="4">
        <v>138068.283</v>
      </c>
      <c r="D518" s="4">
        <v>29912.894</v>
      </c>
      <c r="E518" s="79">
        <v>22397.49</v>
      </c>
      <c r="F518" s="79">
        <f>SUM(BASE_DATOS[[#This Row],[Capital($)]:[Interés
Resarcitorio($)]])</f>
        <v>190378.66699999999</v>
      </c>
      <c r="G518" s="8">
        <v>46048</v>
      </c>
      <c r="H518" s="80" t="s">
        <v>89</v>
      </c>
      <c r="I518" s="79" t="s">
        <v>7</v>
      </c>
      <c r="J518" s="81">
        <v>12</v>
      </c>
      <c r="K518" t="s">
        <v>46</v>
      </c>
    </row>
    <row r="519" spans="2:11" x14ac:dyDescent="0.25">
      <c r="B519" s="2">
        <v>9</v>
      </c>
      <c r="C519" s="4">
        <v>143591.014</v>
      </c>
      <c r="D519" s="4">
        <v>24390.163</v>
      </c>
      <c r="E519" s="79">
        <v>0</v>
      </c>
      <c r="F519" s="79">
        <f>SUM(BASE_DATOS[[#This Row],[Capital($)]:[Interés
Resarcitorio($)]])</f>
        <v>167981.177</v>
      </c>
      <c r="G519" s="8">
        <v>46069</v>
      </c>
      <c r="H519" s="80" t="s">
        <v>89</v>
      </c>
      <c r="I519" s="79" t="s">
        <v>6</v>
      </c>
      <c r="J519" s="81">
        <v>12</v>
      </c>
      <c r="K519" t="s">
        <v>46</v>
      </c>
    </row>
    <row r="520" spans="2:11" x14ac:dyDescent="0.25">
      <c r="B520" s="2">
        <v>9</v>
      </c>
      <c r="C520" s="4">
        <v>143591.014</v>
      </c>
      <c r="D520" s="4">
        <v>24390.163</v>
      </c>
      <c r="E520" s="79">
        <v>22397.49</v>
      </c>
      <c r="F520" s="79">
        <f>SUM(BASE_DATOS[[#This Row],[Capital($)]:[Interés
Resarcitorio($)]])</f>
        <v>190378.66699999999</v>
      </c>
      <c r="G520" s="8">
        <v>46079</v>
      </c>
      <c r="H520" s="80" t="s">
        <v>89</v>
      </c>
      <c r="I520" s="79" t="s">
        <v>7</v>
      </c>
      <c r="J520" s="81">
        <v>12</v>
      </c>
      <c r="K520" t="s">
        <v>46</v>
      </c>
    </row>
    <row r="521" spans="2:11" x14ac:dyDescent="0.25">
      <c r="B521" s="2">
        <v>10</v>
      </c>
      <c r="C521" s="4">
        <v>149334.655</v>
      </c>
      <c r="D521" s="4">
        <v>18646.522000000001</v>
      </c>
      <c r="E521" s="79">
        <v>0</v>
      </c>
      <c r="F521" s="79">
        <f>SUM(BASE_DATOS[[#This Row],[Capital($)]:[Interés
Resarcitorio($)]])</f>
        <v>167981.177</v>
      </c>
      <c r="G521" s="8">
        <v>46097</v>
      </c>
      <c r="H521" s="80" t="s">
        <v>89</v>
      </c>
      <c r="I521" s="79" t="s">
        <v>6</v>
      </c>
      <c r="J521" s="81">
        <v>12</v>
      </c>
      <c r="K521" t="s">
        <v>46</v>
      </c>
    </row>
    <row r="522" spans="2:11" x14ac:dyDescent="0.25">
      <c r="B522" s="2">
        <v>10</v>
      </c>
      <c r="C522" s="4">
        <v>149334.655</v>
      </c>
      <c r="D522" s="4">
        <v>18646.522000000001</v>
      </c>
      <c r="E522" s="79">
        <v>22397.49</v>
      </c>
      <c r="F522" s="79">
        <f>SUM(BASE_DATOS[[#This Row],[Capital($)]:[Interés
Resarcitorio($)]])</f>
        <v>190378.66699999999</v>
      </c>
      <c r="G522" s="8">
        <v>46107</v>
      </c>
      <c r="H522" s="80" t="s">
        <v>89</v>
      </c>
      <c r="I522" s="79" t="s">
        <v>7</v>
      </c>
      <c r="J522" s="81">
        <v>12</v>
      </c>
      <c r="K522" t="s">
        <v>46</v>
      </c>
    </row>
    <row r="523" spans="2:11" x14ac:dyDescent="0.25">
      <c r="B523" s="2">
        <v>11</v>
      </c>
      <c r="C523" s="4">
        <v>155308.041</v>
      </c>
      <c r="D523" s="4">
        <v>12673.136</v>
      </c>
      <c r="E523" s="79">
        <v>0</v>
      </c>
      <c r="F523" s="79">
        <f>SUM(BASE_DATOS[[#This Row],[Capital($)]:[Interés
Resarcitorio($)]])</f>
        <v>167981.177</v>
      </c>
      <c r="G523" s="8">
        <v>46128</v>
      </c>
      <c r="H523" s="80" t="s">
        <v>89</v>
      </c>
      <c r="I523" s="79" t="s">
        <v>6</v>
      </c>
      <c r="J523" s="81">
        <v>12</v>
      </c>
      <c r="K523" t="s">
        <v>46</v>
      </c>
    </row>
    <row r="524" spans="2:11" x14ac:dyDescent="0.25">
      <c r="B524" s="2">
        <v>11</v>
      </c>
      <c r="C524" s="4">
        <v>155308.041</v>
      </c>
      <c r="D524" s="4">
        <v>12673.136</v>
      </c>
      <c r="E524" s="79">
        <v>22397.49</v>
      </c>
      <c r="F524" s="79">
        <f>SUM(BASE_DATOS[[#This Row],[Capital($)]:[Interés
Resarcitorio($)]])</f>
        <v>190378.66699999999</v>
      </c>
      <c r="G524" s="8">
        <v>46138</v>
      </c>
      <c r="H524" s="80" t="s">
        <v>89</v>
      </c>
      <c r="I524" s="79" t="s">
        <v>7</v>
      </c>
      <c r="J524" s="81">
        <v>12</v>
      </c>
      <c r="K524" t="s">
        <v>46</v>
      </c>
    </row>
    <row r="525" spans="2:11" x14ac:dyDescent="0.25">
      <c r="B525" s="2">
        <v>12</v>
      </c>
      <c r="C525" s="4">
        <v>161520.36499999999</v>
      </c>
      <c r="D525" s="4">
        <v>6460.8119999999999</v>
      </c>
      <c r="E525" s="79">
        <v>0</v>
      </c>
      <c r="F525" s="79">
        <f>SUM(BASE_DATOS[[#This Row],[Capital($)]:[Interés
Resarcitorio($)]])</f>
        <v>167981.177</v>
      </c>
      <c r="G525" s="8">
        <v>46158</v>
      </c>
      <c r="H525" s="80" t="s">
        <v>89</v>
      </c>
      <c r="I525" s="79" t="s">
        <v>6</v>
      </c>
      <c r="J525" s="81">
        <v>12</v>
      </c>
      <c r="K525" t="s">
        <v>46</v>
      </c>
    </row>
    <row r="526" spans="2:11" x14ac:dyDescent="0.25">
      <c r="B526" s="2">
        <v>12</v>
      </c>
      <c r="C526" s="4">
        <v>161520.36499999999</v>
      </c>
      <c r="D526" s="4">
        <v>6460.8119999999999</v>
      </c>
      <c r="E526" s="79">
        <v>22397.49</v>
      </c>
      <c r="F526" s="79">
        <f>SUM(BASE_DATOS[[#This Row],[Capital($)]:[Interés
Resarcitorio($)]])</f>
        <v>190378.66699999999</v>
      </c>
      <c r="G526" s="8">
        <v>46168</v>
      </c>
      <c r="H526" s="80" t="s">
        <v>89</v>
      </c>
      <c r="I526" s="79" t="s">
        <v>7</v>
      </c>
      <c r="J526" s="81">
        <v>12</v>
      </c>
      <c r="K526" t="s">
        <v>46</v>
      </c>
    </row>
    <row r="527" spans="2:11" x14ac:dyDescent="0.25">
      <c r="B527" s="2" t="s">
        <v>14</v>
      </c>
      <c r="C527" s="4">
        <v>22140.161</v>
      </c>
      <c r="D527" s="4">
        <v>10169.852999999999</v>
      </c>
      <c r="E527" s="79">
        <v>0</v>
      </c>
      <c r="F527" s="79">
        <f>SUM(BASE_DATOS[[#This Row],[Capital($)]:[Interés
Resarcitorio($)]])</f>
        <v>32310.013999999999</v>
      </c>
      <c r="G527" s="8">
        <v>45581</v>
      </c>
      <c r="H527" s="80" t="s">
        <v>69</v>
      </c>
      <c r="I527" s="79" t="s">
        <v>9</v>
      </c>
      <c r="J527" s="81">
        <v>12</v>
      </c>
      <c r="K527" t="s">
        <v>48</v>
      </c>
    </row>
    <row r="528" spans="2:11" x14ac:dyDescent="0.25">
      <c r="B528" s="2" t="s">
        <v>14</v>
      </c>
      <c r="C528" s="4">
        <v>22140.161</v>
      </c>
      <c r="D528" s="4">
        <v>10169.852999999999</v>
      </c>
      <c r="E528" s="79">
        <v>6903.57</v>
      </c>
      <c r="F528" s="79">
        <f>SUM(BASE_DATOS[[#This Row],[Capital($)]:[Interés
Resarcitorio($)]])</f>
        <v>39213.584000000003</v>
      </c>
      <c r="G528" s="8">
        <v>45591</v>
      </c>
      <c r="H528" s="80" t="s">
        <v>69</v>
      </c>
      <c r="I528" s="79" t="s">
        <v>7</v>
      </c>
      <c r="J528" s="81">
        <v>12</v>
      </c>
      <c r="K528" t="s">
        <v>48</v>
      </c>
    </row>
    <row r="529" spans="2:11" x14ac:dyDescent="0.25">
      <c r="B529" s="2" t="s">
        <v>15</v>
      </c>
      <c r="C529" s="4">
        <v>22848.646000000001</v>
      </c>
      <c r="D529" s="4">
        <v>9461.3679999999986</v>
      </c>
      <c r="E529" s="79">
        <v>0</v>
      </c>
      <c r="F529" s="79">
        <f>SUM(BASE_DATOS[[#This Row],[Capital($)]:[Interés
Resarcitorio($)]])</f>
        <v>32310.013999999999</v>
      </c>
      <c r="G529" s="8">
        <v>45612</v>
      </c>
      <c r="H529" s="80" t="s">
        <v>69</v>
      </c>
      <c r="I529" s="79" t="s">
        <v>9</v>
      </c>
      <c r="J529" s="81">
        <v>12</v>
      </c>
      <c r="K529" t="s">
        <v>48</v>
      </c>
    </row>
    <row r="530" spans="2:11" x14ac:dyDescent="0.25">
      <c r="B530" s="2" t="s">
        <v>15</v>
      </c>
      <c r="C530" s="4">
        <v>22848.646000000001</v>
      </c>
      <c r="D530" s="4">
        <v>9461.3679999999986</v>
      </c>
      <c r="E530" s="79">
        <v>6903.57</v>
      </c>
      <c r="F530" s="79">
        <f>SUM(BASE_DATOS[[#This Row],[Capital($)]:[Interés
Resarcitorio($)]])</f>
        <v>39213.584000000003</v>
      </c>
      <c r="G530" s="8">
        <v>45622</v>
      </c>
      <c r="H530" s="80" t="s">
        <v>69</v>
      </c>
      <c r="I530" s="79" t="s">
        <v>7</v>
      </c>
      <c r="J530" s="81">
        <v>12</v>
      </c>
      <c r="K530" t="s">
        <v>48</v>
      </c>
    </row>
    <row r="531" spans="2:11" x14ac:dyDescent="0.25">
      <c r="B531" s="2" t="s">
        <v>16</v>
      </c>
      <c r="C531" s="4">
        <v>23579.803</v>
      </c>
      <c r="D531" s="4">
        <v>8730.2109999999993</v>
      </c>
      <c r="E531" s="79">
        <v>0</v>
      </c>
      <c r="F531" s="79">
        <f>SUM(BASE_DATOS[[#This Row],[Capital($)]:[Interés
Resarcitorio($)]])</f>
        <v>32310.013999999999</v>
      </c>
      <c r="G531" s="8">
        <v>45642</v>
      </c>
      <c r="H531" s="80" t="s">
        <v>69</v>
      </c>
      <c r="I531" s="79" t="s">
        <v>9</v>
      </c>
      <c r="J531" s="81">
        <v>12</v>
      </c>
      <c r="K531" t="s">
        <v>48</v>
      </c>
    </row>
    <row r="532" spans="2:11" x14ac:dyDescent="0.25">
      <c r="B532" s="2" t="s">
        <v>16</v>
      </c>
      <c r="C532" s="4">
        <v>23579.803</v>
      </c>
      <c r="D532" s="4">
        <v>8730.2109999999993</v>
      </c>
      <c r="E532" s="79">
        <v>8045.19</v>
      </c>
      <c r="F532" s="79">
        <f>SUM(BASE_DATOS[[#This Row],[Capital($)]:[Interés
Resarcitorio($)]])</f>
        <v>40355.203999999998</v>
      </c>
      <c r="G532" s="8">
        <v>45652</v>
      </c>
      <c r="H532" s="80" t="s">
        <v>69</v>
      </c>
      <c r="I532" s="79" t="s">
        <v>7</v>
      </c>
      <c r="J532" s="81">
        <v>12</v>
      </c>
      <c r="K532" t="s">
        <v>48</v>
      </c>
    </row>
    <row r="533" spans="2:11" x14ac:dyDescent="0.25">
      <c r="B533" s="2" t="s">
        <v>17</v>
      </c>
      <c r="C533" s="4">
        <v>24334.357</v>
      </c>
      <c r="D533" s="4">
        <v>7975.6570000000011</v>
      </c>
      <c r="E533" s="79">
        <v>0</v>
      </c>
      <c r="F533" s="79">
        <f>SUM(BASE_DATOS[[#This Row],[Capital($)]:[Interés
Resarcitorio($)]])</f>
        <v>32310.014000000003</v>
      </c>
      <c r="G533" s="8">
        <v>45673</v>
      </c>
      <c r="H533" s="80" t="s">
        <v>69</v>
      </c>
      <c r="I533" s="79" t="s">
        <v>9</v>
      </c>
      <c r="J533" s="81">
        <v>12</v>
      </c>
      <c r="K533" t="s">
        <v>48</v>
      </c>
    </row>
    <row r="534" spans="2:11" x14ac:dyDescent="0.25">
      <c r="B534" s="2" t="s">
        <v>17</v>
      </c>
      <c r="C534" s="4">
        <v>24334.357</v>
      </c>
      <c r="D534" s="4">
        <v>7975.6570000000011</v>
      </c>
      <c r="E534" s="79">
        <v>8045.19</v>
      </c>
      <c r="F534" s="79">
        <f>SUM(BASE_DATOS[[#This Row],[Capital($)]:[Interés
Resarcitorio($)]])</f>
        <v>40355.204000000005</v>
      </c>
      <c r="G534" s="8">
        <v>45683</v>
      </c>
      <c r="H534" s="80" t="s">
        <v>69</v>
      </c>
      <c r="I534" s="79" t="s">
        <v>7</v>
      </c>
      <c r="J534" s="81">
        <v>12</v>
      </c>
      <c r="K534" t="s">
        <v>48</v>
      </c>
    </row>
    <row r="535" spans="2:11" x14ac:dyDescent="0.25">
      <c r="B535" s="2" t="s">
        <v>18</v>
      </c>
      <c r="C535" s="4">
        <v>25113.056</v>
      </c>
      <c r="D535" s="4">
        <v>7196.9580000000005</v>
      </c>
      <c r="E535" s="79">
        <v>0</v>
      </c>
      <c r="F535" s="79">
        <f>SUM(BASE_DATOS[[#This Row],[Capital($)]:[Interés
Resarcitorio($)]])</f>
        <v>32310.014000000003</v>
      </c>
      <c r="G535" s="8">
        <v>45704</v>
      </c>
      <c r="H535" s="80" t="s">
        <v>69</v>
      </c>
      <c r="I535" s="79" t="s">
        <v>9</v>
      </c>
      <c r="J535" s="81">
        <v>12</v>
      </c>
      <c r="K535" t="s">
        <v>48</v>
      </c>
    </row>
    <row r="536" spans="2:11" x14ac:dyDescent="0.25">
      <c r="B536" s="2" t="s">
        <v>18</v>
      </c>
      <c r="C536" s="4">
        <v>25113.056</v>
      </c>
      <c r="D536" s="4">
        <v>7196.9580000000005</v>
      </c>
      <c r="E536" s="79">
        <v>7819.02</v>
      </c>
      <c r="F536" s="79">
        <f>SUM(BASE_DATOS[[#This Row],[Capital($)]:[Interés
Resarcitorio($)]])</f>
        <v>40129.034</v>
      </c>
      <c r="G536" s="8">
        <v>45714</v>
      </c>
      <c r="H536" s="80" t="s">
        <v>69</v>
      </c>
      <c r="I536" s="79" t="s">
        <v>7</v>
      </c>
      <c r="J536" s="81">
        <v>12</v>
      </c>
      <c r="K536" t="s">
        <v>48</v>
      </c>
    </row>
    <row r="537" spans="2:11" x14ac:dyDescent="0.25">
      <c r="B537" s="2" t="s">
        <v>19</v>
      </c>
      <c r="C537" s="4">
        <v>25916.673999999999</v>
      </c>
      <c r="D537" s="4">
        <v>6393.34</v>
      </c>
      <c r="E537" s="79">
        <v>0</v>
      </c>
      <c r="F537" s="79">
        <f>SUM(BASE_DATOS[[#This Row],[Capital($)]:[Interés
Resarcitorio($)]])</f>
        <v>32310.013999999999</v>
      </c>
      <c r="G537" s="8">
        <v>45732</v>
      </c>
      <c r="H537" s="80" t="s">
        <v>69</v>
      </c>
      <c r="I537" s="79" t="s">
        <v>9</v>
      </c>
      <c r="J537" s="81">
        <v>12</v>
      </c>
      <c r="K537" t="s">
        <v>48</v>
      </c>
    </row>
    <row r="538" spans="2:11" x14ac:dyDescent="0.25">
      <c r="B538" s="2" t="s">
        <v>19</v>
      </c>
      <c r="C538" s="4">
        <v>25916.673999999999</v>
      </c>
      <c r="D538" s="4">
        <v>6393.34</v>
      </c>
      <c r="E538" s="79">
        <v>4308</v>
      </c>
      <c r="F538" s="79">
        <f>SUM(BASE_DATOS[[#This Row],[Capital($)]:[Interés
Resarcitorio($)]])</f>
        <v>36618.013999999996</v>
      </c>
      <c r="G538" s="8">
        <v>45742</v>
      </c>
      <c r="H538" s="80" t="s">
        <v>69</v>
      </c>
      <c r="I538" s="79" t="s">
        <v>7</v>
      </c>
      <c r="J538" s="81">
        <v>12</v>
      </c>
      <c r="K538" t="s">
        <v>48</v>
      </c>
    </row>
    <row r="539" spans="2:11" x14ac:dyDescent="0.25">
      <c r="B539" s="2" t="s">
        <v>20</v>
      </c>
      <c r="C539" s="4">
        <v>26746.007000000001</v>
      </c>
      <c r="D539" s="4">
        <v>5564.0069999999996</v>
      </c>
      <c r="E539" s="79">
        <v>0</v>
      </c>
      <c r="F539" s="79">
        <f>SUM(BASE_DATOS[[#This Row],[Capital($)]:[Interés
Resarcitorio($)]])</f>
        <v>32310.014000000003</v>
      </c>
      <c r="G539" s="8">
        <v>45763</v>
      </c>
      <c r="H539" s="80" t="s">
        <v>69</v>
      </c>
      <c r="I539" s="79" t="s">
        <v>6</v>
      </c>
      <c r="J539" s="81">
        <v>12</v>
      </c>
      <c r="K539" t="s">
        <v>48</v>
      </c>
    </row>
    <row r="540" spans="2:11" x14ac:dyDescent="0.25">
      <c r="B540" s="2" t="s">
        <v>20</v>
      </c>
      <c r="C540" s="4">
        <v>26746.007000000001</v>
      </c>
      <c r="D540" s="4">
        <v>5564.0069999999996</v>
      </c>
      <c r="E540" s="79">
        <v>4308</v>
      </c>
      <c r="F540" s="79">
        <f>SUM(BASE_DATOS[[#This Row],[Capital($)]:[Interés
Resarcitorio($)]])</f>
        <v>36618.014000000003</v>
      </c>
      <c r="G540" s="8">
        <v>45773</v>
      </c>
      <c r="H540" s="80" t="s">
        <v>69</v>
      </c>
      <c r="I540" s="79" t="s">
        <v>7</v>
      </c>
      <c r="J540" s="81">
        <v>12</v>
      </c>
      <c r="K540" t="s">
        <v>48</v>
      </c>
    </row>
    <row r="541" spans="2:11" x14ac:dyDescent="0.25">
      <c r="B541" s="2" t="s">
        <v>21</v>
      </c>
      <c r="C541" s="4">
        <v>27601.879999999997</v>
      </c>
      <c r="D541" s="4">
        <v>4708.134</v>
      </c>
      <c r="E541" s="79">
        <v>0</v>
      </c>
      <c r="F541" s="79">
        <f>SUM(BASE_DATOS[[#This Row],[Capital($)]:[Interés
Resarcitorio($)]])</f>
        <v>32310.013999999996</v>
      </c>
      <c r="G541" s="8">
        <v>45793</v>
      </c>
      <c r="H541" s="80" t="s">
        <v>69</v>
      </c>
      <c r="I541" s="79" t="s">
        <v>9</v>
      </c>
      <c r="J541" s="81">
        <v>12</v>
      </c>
      <c r="K541" t="s">
        <v>48</v>
      </c>
    </row>
    <row r="542" spans="2:11" x14ac:dyDescent="0.25">
      <c r="B542" s="2" t="s">
        <v>21</v>
      </c>
      <c r="C542" s="4">
        <v>27601.879999999997</v>
      </c>
      <c r="D542" s="4">
        <v>4708.134</v>
      </c>
      <c r="E542" s="79">
        <v>4308</v>
      </c>
      <c r="F542" s="79">
        <f>SUM(BASE_DATOS[[#This Row],[Capital($)]:[Interés
Resarcitorio($)]])</f>
        <v>36618.013999999996</v>
      </c>
      <c r="G542" s="8">
        <v>45803</v>
      </c>
      <c r="H542" s="80" t="s">
        <v>69</v>
      </c>
      <c r="I542" s="79" t="s">
        <v>7</v>
      </c>
      <c r="J542" s="81">
        <v>12</v>
      </c>
      <c r="K542" t="s">
        <v>48</v>
      </c>
    </row>
    <row r="543" spans="2:11" x14ac:dyDescent="0.25">
      <c r="B543" s="2" t="s">
        <v>22</v>
      </c>
      <c r="C543" s="4">
        <v>28485.140000000003</v>
      </c>
      <c r="D543" s="4">
        <v>3824.8739999999998</v>
      </c>
      <c r="E543" s="79">
        <v>0</v>
      </c>
      <c r="F543" s="79">
        <f>SUM(BASE_DATOS[[#This Row],[Capital($)]:[Interés
Resarcitorio($)]])</f>
        <v>32310.014000000003</v>
      </c>
      <c r="G543" s="8">
        <v>45824</v>
      </c>
      <c r="H543" s="80" t="s">
        <v>69</v>
      </c>
      <c r="I543" s="79" t="s">
        <v>9</v>
      </c>
      <c r="J543" s="81">
        <v>12</v>
      </c>
      <c r="K543" t="s">
        <v>48</v>
      </c>
    </row>
    <row r="544" spans="2:11" x14ac:dyDescent="0.25">
      <c r="B544" s="2" t="s">
        <v>22</v>
      </c>
      <c r="C544" s="4">
        <v>28485.140000000003</v>
      </c>
      <c r="D544" s="4">
        <v>3824.8739999999998</v>
      </c>
      <c r="E544" s="79">
        <v>4308</v>
      </c>
      <c r="F544" s="79">
        <f>SUM(BASE_DATOS[[#This Row],[Capital($)]:[Interés
Resarcitorio($)]])</f>
        <v>36618.014000000003</v>
      </c>
      <c r="G544" s="8">
        <v>45834</v>
      </c>
      <c r="H544" s="80" t="s">
        <v>69</v>
      </c>
      <c r="I544" s="79" t="s">
        <v>7</v>
      </c>
      <c r="J544" s="81">
        <v>12</v>
      </c>
      <c r="K544" t="s">
        <v>48</v>
      </c>
    </row>
    <row r="545" spans="2:11" x14ac:dyDescent="0.25">
      <c r="B545" s="2" t="s">
        <v>23</v>
      </c>
      <c r="C545" s="4">
        <v>29396.664000000001</v>
      </c>
      <c r="D545" s="4">
        <v>2913.35</v>
      </c>
      <c r="E545" s="79">
        <v>0</v>
      </c>
      <c r="F545" s="79">
        <f>SUM(BASE_DATOS[[#This Row],[Capital($)]:[Interés
Resarcitorio($)]])</f>
        <v>32310.013999999999</v>
      </c>
      <c r="G545" s="8">
        <v>45854</v>
      </c>
      <c r="H545" s="80" t="s">
        <v>69</v>
      </c>
      <c r="I545" s="79" t="s">
        <v>6</v>
      </c>
      <c r="J545" s="81">
        <v>12</v>
      </c>
      <c r="K545" t="s">
        <v>48</v>
      </c>
    </row>
    <row r="546" spans="2:11" x14ac:dyDescent="0.25">
      <c r="B546" s="2" t="s">
        <v>23</v>
      </c>
      <c r="C546" s="4">
        <v>29396.664000000001</v>
      </c>
      <c r="D546" s="4">
        <v>2913.35</v>
      </c>
      <c r="E546" s="79">
        <v>4308</v>
      </c>
      <c r="F546" s="79">
        <f>SUM(BASE_DATOS[[#This Row],[Capital($)]:[Interés
Resarcitorio($)]])</f>
        <v>36618.013999999996</v>
      </c>
      <c r="G546" s="8">
        <v>45864</v>
      </c>
      <c r="H546" s="80" t="s">
        <v>69</v>
      </c>
      <c r="I546" s="79" t="s">
        <v>7</v>
      </c>
      <c r="J546" s="81">
        <v>12</v>
      </c>
      <c r="K546" t="s">
        <v>48</v>
      </c>
    </row>
    <row r="547" spans="2:11" x14ac:dyDescent="0.25">
      <c r="B547" s="2" t="s">
        <v>24</v>
      </c>
      <c r="C547" s="4">
        <v>30337.358</v>
      </c>
      <c r="D547" s="4">
        <v>1972.6560000000002</v>
      </c>
      <c r="E547" s="79">
        <v>0</v>
      </c>
      <c r="F547" s="79">
        <f>SUM(BASE_DATOS[[#This Row],[Capital($)]:[Interés
Resarcitorio($)]])</f>
        <v>32310.013999999999</v>
      </c>
      <c r="G547" s="8">
        <v>45885</v>
      </c>
      <c r="H547" s="80" t="s">
        <v>69</v>
      </c>
      <c r="I547" s="79" t="s">
        <v>6</v>
      </c>
      <c r="J547" s="81">
        <v>12</v>
      </c>
      <c r="K547" t="s">
        <v>48</v>
      </c>
    </row>
    <row r="548" spans="2:11" x14ac:dyDescent="0.25">
      <c r="B548" s="2" t="s">
        <v>24</v>
      </c>
      <c r="C548" s="4">
        <v>30337.358</v>
      </c>
      <c r="D548" s="4">
        <v>1972.6560000000002</v>
      </c>
      <c r="E548" s="79">
        <v>4308</v>
      </c>
      <c r="F548" s="79">
        <f>SUM(BASE_DATOS[[#This Row],[Capital($)]:[Interés
Resarcitorio($)]])</f>
        <v>36618.013999999996</v>
      </c>
      <c r="G548" s="8">
        <v>45895</v>
      </c>
      <c r="H548" s="80" t="s">
        <v>69</v>
      </c>
      <c r="I548" s="79" t="s">
        <v>7</v>
      </c>
      <c r="J548" s="81">
        <v>12</v>
      </c>
      <c r="K548" t="s">
        <v>48</v>
      </c>
    </row>
    <row r="549" spans="2:11" x14ac:dyDescent="0.25">
      <c r="B549" s="2" t="s">
        <v>25</v>
      </c>
      <c r="C549" s="4">
        <v>31308.156999999999</v>
      </c>
      <c r="D549" s="4">
        <v>1001.857</v>
      </c>
      <c r="E549" s="79">
        <v>0</v>
      </c>
      <c r="F549" s="79">
        <f>SUM(BASE_DATOS[[#This Row],[Capital($)]:[Interés
Resarcitorio($)]])</f>
        <v>32310.013999999999</v>
      </c>
      <c r="G549" s="8">
        <v>45916</v>
      </c>
      <c r="H549" s="80" t="s">
        <v>69</v>
      </c>
      <c r="I549" s="79" t="s">
        <v>6</v>
      </c>
      <c r="J549" s="81">
        <v>12</v>
      </c>
      <c r="K549" t="s">
        <v>48</v>
      </c>
    </row>
    <row r="550" spans="2:11" x14ac:dyDescent="0.25">
      <c r="B550" s="2" t="s">
        <v>25</v>
      </c>
      <c r="C550" s="4">
        <v>31308.156999999999</v>
      </c>
      <c r="D550" s="4">
        <v>1001.857</v>
      </c>
      <c r="E550" s="79">
        <v>4308</v>
      </c>
      <c r="F550" s="79">
        <f>SUM(BASE_DATOS[[#This Row],[Capital($)]:[Interés
Resarcitorio($)]])</f>
        <v>36618.013999999996</v>
      </c>
      <c r="G550" s="8">
        <v>45926</v>
      </c>
      <c r="H550" s="80" t="s">
        <v>69</v>
      </c>
      <c r="I550" s="79" t="s">
        <v>7</v>
      </c>
      <c r="J550" s="81">
        <v>12</v>
      </c>
      <c r="K550" t="s">
        <v>48</v>
      </c>
    </row>
    <row r="551" spans="2:11" x14ac:dyDescent="0.25">
      <c r="B551" s="2">
        <v>1</v>
      </c>
      <c r="C551" s="4">
        <v>29434.591999999997</v>
      </c>
      <c r="D551" s="4">
        <v>16243.773999999999</v>
      </c>
      <c r="E551" s="79">
        <v>0</v>
      </c>
      <c r="F551" s="79">
        <f>SUM(BASE_DATOS[[#This Row],[Capital($)]:[Interés
Resarcitorio($)]])</f>
        <v>45678.365999999995</v>
      </c>
      <c r="G551" s="8">
        <v>45704</v>
      </c>
      <c r="H551" s="80" t="s">
        <v>79</v>
      </c>
      <c r="I551" s="79" t="s">
        <v>9</v>
      </c>
      <c r="J551" s="81">
        <v>12</v>
      </c>
      <c r="K551" t="s">
        <v>48</v>
      </c>
    </row>
    <row r="552" spans="2:11" x14ac:dyDescent="0.25">
      <c r="B552" s="2">
        <v>1</v>
      </c>
      <c r="C552" s="4">
        <v>29434.591999999997</v>
      </c>
      <c r="D552" s="4">
        <v>16243.773999999999</v>
      </c>
      <c r="E552" s="79">
        <v>11054.16</v>
      </c>
      <c r="F552" s="79">
        <f>SUM(BASE_DATOS[[#This Row],[Capital($)]:[Interés
Resarcitorio($)]])</f>
        <v>56732.525999999998</v>
      </c>
      <c r="G552" s="8">
        <v>45714</v>
      </c>
      <c r="H552" s="80" t="s">
        <v>79</v>
      </c>
      <c r="I552" s="79" t="s">
        <v>7</v>
      </c>
      <c r="J552" s="81">
        <v>12</v>
      </c>
      <c r="K552" t="s">
        <v>48</v>
      </c>
    </row>
    <row r="553" spans="2:11" x14ac:dyDescent="0.25">
      <c r="B553" s="2">
        <v>2</v>
      </c>
      <c r="C553" s="4">
        <v>30532.503000000004</v>
      </c>
      <c r="D553" s="4">
        <v>15145.863000000001</v>
      </c>
      <c r="E553" s="79">
        <v>0</v>
      </c>
      <c r="F553" s="79">
        <f>SUM(BASE_DATOS[[#This Row],[Capital($)]:[Interés
Resarcitorio($)]])</f>
        <v>45678.366000000009</v>
      </c>
      <c r="G553" s="8">
        <v>45732</v>
      </c>
      <c r="H553" s="80" t="s">
        <v>79</v>
      </c>
      <c r="I553" s="79" t="s">
        <v>9</v>
      </c>
      <c r="J553" s="81">
        <v>12</v>
      </c>
      <c r="K553" t="s">
        <v>48</v>
      </c>
    </row>
    <row r="554" spans="2:11" x14ac:dyDescent="0.25">
      <c r="B554" s="2">
        <v>2</v>
      </c>
      <c r="C554" s="4">
        <v>30532.503000000004</v>
      </c>
      <c r="D554" s="4">
        <v>15145.863000000001</v>
      </c>
      <c r="E554" s="79">
        <v>6090.45</v>
      </c>
      <c r="F554" s="79">
        <f>SUM(BASE_DATOS[[#This Row],[Capital($)]:[Interés
Resarcitorio($)]])</f>
        <v>51768.816000000006</v>
      </c>
      <c r="G554" s="8">
        <v>45742</v>
      </c>
      <c r="H554" s="80" t="s">
        <v>79</v>
      </c>
      <c r="I554" s="79" t="s">
        <v>7</v>
      </c>
      <c r="J554" s="81">
        <v>12</v>
      </c>
      <c r="K554" t="s">
        <v>48</v>
      </c>
    </row>
    <row r="555" spans="2:11" x14ac:dyDescent="0.25">
      <c r="B555" s="2">
        <v>3</v>
      </c>
      <c r="C555" s="4">
        <v>31671.365000000002</v>
      </c>
      <c r="D555" s="4">
        <v>14007.001</v>
      </c>
      <c r="E555" s="79">
        <v>0</v>
      </c>
      <c r="F555" s="79">
        <f>SUM(BASE_DATOS[[#This Row],[Capital($)]:[Interés
Resarcitorio($)]])</f>
        <v>45678.366000000002</v>
      </c>
      <c r="G555" s="8">
        <v>45763</v>
      </c>
      <c r="H555" s="80" t="s">
        <v>79</v>
      </c>
      <c r="I555" s="79" t="s">
        <v>6</v>
      </c>
      <c r="J555" s="81">
        <v>12</v>
      </c>
      <c r="K555" t="s">
        <v>48</v>
      </c>
    </row>
    <row r="556" spans="2:11" x14ac:dyDescent="0.25">
      <c r="B556" s="2">
        <v>3</v>
      </c>
      <c r="C556" s="4">
        <v>31671.365000000002</v>
      </c>
      <c r="D556" s="4">
        <v>14007.001</v>
      </c>
      <c r="E556" s="79">
        <v>6090.45</v>
      </c>
      <c r="F556" s="79">
        <f>SUM(BASE_DATOS[[#This Row],[Capital($)]:[Interés
Resarcitorio($)]])</f>
        <v>51768.815999999999</v>
      </c>
      <c r="G556" s="8">
        <v>45773</v>
      </c>
      <c r="H556" s="80" t="s">
        <v>79</v>
      </c>
      <c r="I556" s="79" t="s">
        <v>7</v>
      </c>
      <c r="J556" s="81">
        <v>12</v>
      </c>
      <c r="K556" t="s">
        <v>48</v>
      </c>
    </row>
    <row r="557" spans="2:11" x14ac:dyDescent="0.25">
      <c r="B557" s="2">
        <v>4</v>
      </c>
      <c r="C557" s="4">
        <v>32852.707000000002</v>
      </c>
      <c r="D557" s="4">
        <v>12825.659</v>
      </c>
      <c r="E557" s="79">
        <v>0</v>
      </c>
      <c r="F557" s="79">
        <f>SUM(BASE_DATOS[[#This Row],[Capital($)]:[Interés
Resarcitorio($)]])</f>
        <v>45678.366000000002</v>
      </c>
      <c r="G557" s="8">
        <v>45793</v>
      </c>
      <c r="H557" s="80" t="s">
        <v>79</v>
      </c>
      <c r="I557" s="79" t="s">
        <v>9</v>
      </c>
      <c r="J557" s="81">
        <v>12</v>
      </c>
      <c r="K557" t="s">
        <v>48</v>
      </c>
    </row>
    <row r="558" spans="2:11" x14ac:dyDescent="0.25">
      <c r="B558" s="2">
        <v>4</v>
      </c>
      <c r="C558" s="4">
        <v>32852.707000000002</v>
      </c>
      <c r="D558" s="4">
        <v>12825.659</v>
      </c>
      <c r="E558" s="79">
        <v>6090.45</v>
      </c>
      <c r="F558" s="79">
        <f>SUM(BASE_DATOS[[#This Row],[Capital($)]:[Interés
Resarcitorio($)]])</f>
        <v>51768.815999999999</v>
      </c>
      <c r="G558" s="8">
        <v>45803</v>
      </c>
      <c r="H558" s="80" t="s">
        <v>79</v>
      </c>
      <c r="I558" s="79" t="s">
        <v>7</v>
      </c>
      <c r="J558" s="81">
        <v>12</v>
      </c>
      <c r="K558" t="s">
        <v>48</v>
      </c>
    </row>
    <row r="559" spans="2:11" x14ac:dyDescent="0.25">
      <c r="B559" s="2">
        <v>5</v>
      </c>
      <c r="C559" s="4">
        <v>34078.112999999998</v>
      </c>
      <c r="D559" s="4">
        <v>11600.253000000001</v>
      </c>
      <c r="E559" s="79">
        <v>0</v>
      </c>
      <c r="F559" s="79">
        <f>SUM(BASE_DATOS[[#This Row],[Capital($)]:[Interés
Resarcitorio($)]])</f>
        <v>45678.365999999995</v>
      </c>
      <c r="G559" s="8">
        <v>45824</v>
      </c>
      <c r="H559" s="80" t="s">
        <v>79</v>
      </c>
      <c r="I559" s="79" t="s">
        <v>9</v>
      </c>
      <c r="J559" s="81">
        <v>12</v>
      </c>
      <c r="K559" t="s">
        <v>48</v>
      </c>
    </row>
    <row r="560" spans="2:11" x14ac:dyDescent="0.25">
      <c r="B560" s="2">
        <v>5</v>
      </c>
      <c r="C560" s="4">
        <v>34078.112999999998</v>
      </c>
      <c r="D560" s="4">
        <v>11600.253000000001</v>
      </c>
      <c r="E560" s="79">
        <v>6090.45</v>
      </c>
      <c r="F560" s="79">
        <f>SUM(BASE_DATOS[[#This Row],[Capital($)]:[Interés
Resarcitorio($)]])</f>
        <v>51768.815999999992</v>
      </c>
      <c r="G560" s="8">
        <v>45834</v>
      </c>
      <c r="H560" s="80" t="s">
        <v>79</v>
      </c>
      <c r="I560" s="79" t="s">
        <v>7</v>
      </c>
      <c r="J560" s="81">
        <v>12</v>
      </c>
      <c r="K560" t="s">
        <v>48</v>
      </c>
    </row>
    <row r="561" spans="2:11" x14ac:dyDescent="0.25">
      <c r="B561" s="2">
        <v>6</v>
      </c>
      <c r="C561" s="4">
        <v>35349.226999999999</v>
      </c>
      <c r="D561" s="4">
        <v>10329.138999999999</v>
      </c>
      <c r="E561" s="79">
        <v>0</v>
      </c>
      <c r="F561" s="79">
        <f>SUM(BASE_DATOS[[#This Row],[Capital($)]:[Interés
Resarcitorio($)]])</f>
        <v>45678.365999999995</v>
      </c>
      <c r="G561" s="8">
        <v>45854</v>
      </c>
      <c r="H561" s="80" t="s">
        <v>79</v>
      </c>
      <c r="I561" s="79" t="s">
        <v>6</v>
      </c>
      <c r="J561" s="81">
        <v>12</v>
      </c>
      <c r="K561" t="s">
        <v>48</v>
      </c>
    </row>
    <row r="562" spans="2:11" x14ac:dyDescent="0.25">
      <c r="B562" s="2">
        <v>6</v>
      </c>
      <c r="C562" s="4">
        <v>35349.226999999999</v>
      </c>
      <c r="D562" s="4">
        <v>10329.138999999999</v>
      </c>
      <c r="E562" s="79">
        <v>6090.45</v>
      </c>
      <c r="F562" s="79">
        <f>SUM(BASE_DATOS[[#This Row],[Capital($)]:[Interés
Resarcitorio($)]])</f>
        <v>51768.815999999992</v>
      </c>
      <c r="G562" s="8">
        <v>45864</v>
      </c>
      <c r="H562" s="80" t="s">
        <v>79</v>
      </c>
      <c r="I562" s="79" t="s">
        <v>7</v>
      </c>
      <c r="J562" s="81">
        <v>12</v>
      </c>
      <c r="K562" t="s">
        <v>48</v>
      </c>
    </row>
    <row r="563" spans="2:11" x14ac:dyDescent="0.25">
      <c r="B563" s="2">
        <v>7</v>
      </c>
      <c r="C563" s="4">
        <v>36667.753000000004</v>
      </c>
      <c r="D563" s="4">
        <v>9010.6130000000012</v>
      </c>
      <c r="E563" s="79">
        <v>0</v>
      </c>
      <c r="F563" s="79">
        <f>SUM(BASE_DATOS[[#This Row],[Capital($)]:[Interés
Resarcitorio($)]])</f>
        <v>45678.366000000009</v>
      </c>
      <c r="G563" s="8">
        <v>45885</v>
      </c>
      <c r="H563" s="80" t="s">
        <v>79</v>
      </c>
      <c r="I563" s="79" t="s">
        <v>6</v>
      </c>
      <c r="J563" s="81">
        <v>12</v>
      </c>
      <c r="K563" t="s">
        <v>48</v>
      </c>
    </row>
    <row r="564" spans="2:11" x14ac:dyDescent="0.25">
      <c r="B564" s="2">
        <v>7</v>
      </c>
      <c r="C564" s="4">
        <v>36667.753000000004</v>
      </c>
      <c r="D564" s="4">
        <v>9010.6130000000012</v>
      </c>
      <c r="E564" s="79">
        <v>6090.45</v>
      </c>
      <c r="F564" s="79">
        <f>SUM(BASE_DATOS[[#This Row],[Capital($)]:[Interés
Resarcitorio($)]])</f>
        <v>51768.816000000006</v>
      </c>
      <c r="G564" s="8">
        <v>45895</v>
      </c>
      <c r="H564" s="80" t="s">
        <v>79</v>
      </c>
      <c r="I564" s="79" t="s">
        <v>7</v>
      </c>
      <c r="J564" s="81">
        <v>12</v>
      </c>
      <c r="K564" t="s">
        <v>48</v>
      </c>
    </row>
    <row r="565" spans="2:11" x14ac:dyDescent="0.25">
      <c r="B565" s="2">
        <v>8</v>
      </c>
      <c r="C565" s="4">
        <v>38035.46</v>
      </c>
      <c r="D565" s="4">
        <v>7642.9059999999999</v>
      </c>
      <c r="E565" s="79">
        <v>0</v>
      </c>
      <c r="F565" s="79">
        <f>SUM(BASE_DATOS[[#This Row],[Capital($)]:[Interés
Resarcitorio($)]])</f>
        <v>45678.366000000002</v>
      </c>
      <c r="G565" s="8">
        <v>45916</v>
      </c>
      <c r="H565" s="80" t="s">
        <v>79</v>
      </c>
      <c r="I565" s="79" t="s">
        <v>6</v>
      </c>
      <c r="J565" s="81">
        <v>12</v>
      </c>
      <c r="K565" t="s">
        <v>48</v>
      </c>
    </row>
    <row r="566" spans="2:11" x14ac:dyDescent="0.25">
      <c r="B566" s="2">
        <v>8</v>
      </c>
      <c r="C566" s="4">
        <v>38035.46</v>
      </c>
      <c r="D566" s="4">
        <v>7642.9059999999999</v>
      </c>
      <c r="E566" s="79">
        <v>6090.45</v>
      </c>
      <c r="F566" s="79">
        <f>SUM(BASE_DATOS[[#This Row],[Capital($)]:[Interés
Resarcitorio($)]])</f>
        <v>51768.815999999999</v>
      </c>
      <c r="G566" s="8">
        <v>45926</v>
      </c>
      <c r="H566" s="80" t="s">
        <v>79</v>
      </c>
      <c r="I566" s="79" t="s">
        <v>7</v>
      </c>
      <c r="J566" s="81">
        <v>12</v>
      </c>
      <c r="K566" t="s">
        <v>48</v>
      </c>
    </row>
    <row r="567" spans="2:11" x14ac:dyDescent="0.25">
      <c r="B567" s="2">
        <v>9</v>
      </c>
      <c r="C567" s="4">
        <v>39454.183000000005</v>
      </c>
      <c r="D567" s="4">
        <v>6224.183</v>
      </c>
      <c r="E567" s="79">
        <v>0</v>
      </c>
      <c r="F567" s="79">
        <f>SUM(BASE_DATOS[[#This Row],[Capital($)]:[Interés
Resarcitorio($)]])</f>
        <v>45678.366000000002</v>
      </c>
      <c r="G567" s="8">
        <v>45946</v>
      </c>
      <c r="H567" s="80" t="s">
        <v>79</v>
      </c>
      <c r="I567" s="79" t="s">
        <v>6</v>
      </c>
      <c r="J567" s="81">
        <v>12</v>
      </c>
      <c r="K567" t="s">
        <v>48</v>
      </c>
    </row>
    <row r="568" spans="2:11" x14ac:dyDescent="0.25">
      <c r="B568" s="2">
        <v>9</v>
      </c>
      <c r="C568" s="4">
        <v>39454.183000000005</v>
      </c>
      <c r="D568" s="4">
        <v>6224.183</v>
      </c>
      <c r="E568" s="79">
        <v>6090.45</v>
      </c>
      <c r="F568" s="79">
        <f>SUM(BASE_DATOS[[#This Row],[Capital($)]:[Interés
Resarcitorio($)]])</f>
        <v>51768.815999999999</v>
      </c>
      <c r="G568" s="8">
        <v>45956</v>
      </c>
      <c r="H568" s="80" t="s">
        <v>79</v>
      </c>
      <c r="I568" s="79" t="s">
        <v>7</v>
      </c>
      <c r="J568" s="81">
        <v>12</v>
      </c>
      <c r="K568" t="s">
        <v>48</v>
      </c>
    </row>
    <row r="569" spans="2:11" x14ac:dyDescent="0.25">
      <c r="B569" s="2">
        <v>10</v>
      </c>
      <c r="C569" s="4">
        <v>40925.824000000001</v>
      </c>
      <c r="D569" s="4">
        <v>4752.5419999999995</v>
      </c>
      <c r="E569" s="79">
        <v>0</v>
      </c>
      <c r="F569" s="79">
        <f>SUM(BASE_DATOS[[#This Row],[Capital($)]:[Interés
Resarcitorio($)]])</f>
        <v>45678.366000000002</v>
      </c>
      <c r="G569" s="8">
        <v>45977</v>
      </c>
      <c r="H569" s="80" t="s">
        <v>79</v>
      </c>
      <c r="I569" s="79" t="s">
        <v>6</v>
      </c>
      <c r="J569" s="81">
        <v>12</v>
      </c>
      <c r="K569" t="s">
        <v>48</v>
      </c>
    </row>
    <row r="570" spans="2:11" x14ac:dyDescent="0.25">
      <c r="B570" s="2">
        <v>10</v>
      </c>
      <c r="C570" s="4">
        <v>40925.824000000001</v>
      </c>
      <c r="D570" s="4">
        <v>4752.5419999999995</v>
      </c>
      <c r="E570" s="79">
        <v>6090.45</v>
      </c>
      <c r="F570" s="79">
        <f>SUM(BASE_DATOS[[#This Row],[Capital($)]:[Interés
Resarcitorio($)]])</f>
        <v>51768.815999999999</v>
      </c>
      <c r="G570" s="8">
        <v>45987</v>
      </c>
      <c r="H570" s="80" t="s">
        <v>79</v>
      </c>
      <c r="I570" s="79" t="s">
        <v>7</v>
      </c>
      <c r="J570" s="81">
        <v>12</v>
      </c>
      <c r="K570" t="s">
        <v>48</v>
      </c>
    </row>
    <row r="571" spans="2:11" x14ac:dyDescent="0.25">
      <c r="B571" s="2">
        <v>11</v>
      </c>
      <c r="C571" s="4">
        <v>42452.357000000004</v>
      </c>
      <c r="D571" s="4">
        <v>3226.009</v>
      </c>
      <c r="E571" s="79">
        <v>0</v>
      </c>
      <c r="F571" s="79">
        <f>SUM(BASE_DATOS[[#This Row],[Capital($)]:[Interés
Resarcitorio($)]])</f>
        <v>45678.366000000002</v>
      </c>
      <c r="G571" s="8">
        <v>46007</v>
      </c>
      <c r="H571" s="80" t="s">
        <v>79</v>
      </c>
      <c r="I571" s="79" t="s">
        <v>6</v>
      </c>
      <c r="J571" s="81">
        <v>12</v>
      </c>
      <c r="K571" t="s">
        <v>48</v>
      </c>
    </row>
    <row r="572" spans="2:11" x14ac:dyDescent="0.25">
      <c r="B572" s="2">
        <v>11</v>
      </c>
      <c r="C572" s="4">
        <v>42452.357000000004</v>
      </c>
      <c r="D572" s="4">
        <v>3226.009</v>
      </c>
      <c r="E572" s="79">
        <v>6090.45</v>
      </c>
      <c r="F572" s="79">
        <f>SUM(BASE_DATOS[[#This Row],[Capital($)]:[Interés
Resarcitorio($)]])</f>
        <v>51768.815999999999</v>
      </c>
      <c r="G572" s="8">
        <v>46017</v>
      </c>
      <c r="H572" s="80" t="s">
        <v>79</v>
      </c>
      <c r="I572" s="79" t="s">
        <v>7</v>
      </c>
      <c r="J572" s="81">
        <v>12</v>
      </c>
      <c r="K572" t="s">
        <v>48</v>
      </c>
    </row>
    <row r="573" spans="2:11" x14ac:dyDescent="0.25">
      <c r="B573" s="2">
        <v>12</v>
      </c>
      <c r="C573" s="4">
        <v>44035.824999999997</v>
      </c>
      <c r="D573" s="4">
        <v>1642.5409999999999</v>
      </c>
      <c r="E573" s="79">
        <v>0</v>
      </c>
      <c r="F573" s="79">
        <f>SUM(BASE_DATOS[[#This Row],[Capital($)]:[Interés
Resarcitorio($)]])</f>
        <v>45678.365999999995</v>
      </c>
      <c r="G573" s="8">
        <v>46038</v>
      </c>
      <c r="H573" s="80" t="s">
        <v>79</v>
      </c>
      <c r="I573" s="79" t="s">
        <v>6</v>
      </c>
      <c r="J573" s="81">
        <v>12</v>
      </c>
      <c r="K573" t="s">
        <v>48</v>
      </c>
    </row>
    <row r="574" spans="2:11" x14ac:dyDescent="0.25">
      <c r="B574" s="2">
        <v>12</v>
      </c>
      <c r="C574" s="4">
        <v>44035.824999999997</v>
      </c>
      <c r="D574" s="4">
        <v>1642.5409999999999</v>
      </c>
      <c r="E574" s="79">
        <v>6090.45</v>
      </c>
      <c r="F574" s="79">
        <f>SUM(BASE_DATOS[[#This Row],[Capital($)]:[Interés
Resarcitorio($)]])</f>
        <v>51768.815999999992</v>
      </c>
      <c r="G574" s="8">
        <v>46048</v>
      </c>
      <c r="H574" s="80" t="s">
        <v>79</v>
      </c>
      <c r="I574" s="79" t="s">
        <v>7</v>
      </c>
      <c r="J574" s="81">
        <v>12</v>
      </c>
      <c r="K574" t="s">
        <v>48</v>
      </c>
    </row>
    <row r="575" spans="2:11" x14ac:dyDescent="0.25">
      <c r="B575" s="2">
        <v>1</v>
      </c>
      <c r="C575" s="4">
        <v>32032.637999999999</v>
      </c>
      <c r="D575" s="4">
        <v>17105.499</v>
      </c>
      <c r="E575" s="79">
        <v>0</v>
      </c>
      <c r="F575" s="79">
        <f>SUM(BASE_DATOS[[#This Row],[Capital($)]:[Interés
Resarcitorio($)]])</f>
        <v>49138.137000000002</v>
      </c>
      <c r="G575" s="8">
        <v>45732</v>
      </c>
      <c r="H575" s="80" t="s">
        <v>82</v>
      </c>
      <c r="I575" s="79" t="s">
        <v>9</v>
      </c>
      <c r="J575" s="81">
        <v>12</v>
      </c>
      <c r="K575" t="s">
        <v>48</v>
      </c>
    </row>
    <row r="576" spans="2:11" x14ac:dyDescent="0.25">
      <c r="B576" s="2">
        <f>+B575</f>
        <v>1</v>
      </c>
      <c r="C576" s="4">
        <v>32032.637999999999</v>
      </c>
      <c r="D576" s="4">
        <v>17105.499</v>
      </c>
      <c r="E576" s="79">
        <v>6551.75</v>
      </c>
      <c r="F576" s="79">
        <f>SUM(BASE_DATOS[[#This Row],[Capital($)]:[Interés
Resarcitorio($)]])</f>
        <v>55689.887000000002</v>
      </c>
      <c r="G576" s="8">
        <v>45742</v>
      </c>
      <c r="H576" s="80" t="s">
        <v>82</v>
      </c>
      <c r="I576" s="79" t="s">
        <v>7</v>
      </c>
      <c r="J576" s="81">
        <v>12</v>
      </c>
      <c r="K576" t="s">
        <v>48</v>
      </c>
    </row>
    <row r="577" spans="2:11" x14ac:dyDescent="0.25">
      <c r="B577" s="2">
        <v>2</v>
      </c>
      <c r="C577" s="4">
        <v>33195.422999999995</v>
      </c>
      <c r="D577" s="4">
        <v>15942.714000000002</v>
      </c>
      <c r="E577" s="79">
        <v>0</v>
      </c>
      <c r="F577" s="79">
        <f>SUM(BASE_DATOS[[#This Row],[Capital($)]:[Interés
Resarcitorio($)]])</f>
        <v>49138.136999999995</v>
      </c>
      <c r="G577" s="8">
        <v>45763</v>
      </c>
      <c r="H577" s="80" t="s">
        <v>82</v>
      </c>
      <c r="I577" s="79" t="s">
        <v>6</v>
      </c>
      <c r="J577" s="81">
        <v>12</v>
      </c>
      <c r="K577" t="s">
        <v>48</v>
      </c>
    </row>
    <row r="578" spans="2:11" x14ac:dyDescent="0.25">
      <c r="B578" s="2">
        <f>+B577</f>
        <v>2</v>
      </c>
      <c r="C578" s="4">
        <v>33195.422999999995</v>
      </c>
      <c r="D578" s="4">
        <v>15942.714000000002</v>
      </c>
      <c r="E578" s="79">
        <v>6551.75</v>
      </c>
      <c r="F578" s="79">
        <f>SUM(BASE_DATOS[[#This Row],[Capital($)]:[Interés
Resarcitorio($)]])</f>
        <v>55689.886999999995</v>
      </c>
      <c r="G578" s="8">
        <v>45749</v>
      </c>
      <c r="H578" s="80" t="s">
        <v>82</v>
      </c>
      <c r="I578" s="79" t="s">
        <v>7</v>
      </c>
      <c r="J578" s="81">
        <v>12</v>
      </c>
      <c r="K578" t="s">
        <v>48</v>
      </c>
    </row>
    <row r="579" spans="2:11" x14ac:dyDescent="0.25">
      <c r="B579" s="2">
        <v>3</v>
      </c>
      <c r="C579" s="4">
        <v>34400.417000000001</v>
      </c>
      <c r="D579" s="4">
        <v>14737.720000000001</v>
      </c>
      <c r="E579" s="79">
        <v>0</v>
      </c>
      <c r="F579" s="79">
        <f>SUM(BASE_DATOS[[#This Row],[Capital($)]:[Interés
Resarcitorio($)]])</f>
        <v>49138.137000000002</v>
      </c>
      <c r="G579" s="8">
        <v>45793</v>
      </c>
      <c r="H579" s="80" t="s">
        <v>82</v>
      </c>
      <c r="I579" s="79" t="s">
        <v>9</v>
      </c>
      <c r="J579" s="81">
        <v>12</v>
      </c>
      <c r="K579" t="s">
        <v>48</v>
      </c>
    </row>
    <row r="580" spans="2:11" x14ac:dyDescent="0.25">
      <c r="B580" s="2">
        <f>+B579</f>
        <v>3</v>
      </c>
      <c r="C580" s="4">
        <v>34400.417000000001</v>
      </c>
      <c r="D580" s="4">
        <v>14737.720000000001</v>
      </c>
      <c r="E580" s="79">
        <v>6551.75</v>
      </c>
      <c r="F580" s="79">
        <f>SUM(BASE_DATOS[[#This Row],[Capital($)]:[Interés
Resarcitorio($)]])</f>
        <v>55689.887000000002</v>
      </c>
      <c r="G580" s="8">
        <v>45803</v>
      </c>
      <c r="H580" s="80" t="s">
        <v>82</v>
      </c>
      <c r="I580" s="79" t="s">
        <v>7</v>
      </c>
      <c r="J580" s="81">
        <v>12</v>
      </c>
      <c r="K580" t="s">
        <v>48</v>
      </c>
    </row>
    <row r="581" spans="2:11" x14ac:dyDescent="0.25">
      <c r="B581" s="2">
        <v>4</v>
      </c>
      <c r="C581" s="4">
        <v>35649.152000000002</v>
      </c>
      <c r="D581" s="4">
        <v>13488.985000000001</v>
      </c>
      <c r="E581" s="79">
        <v>0</v>
      </c>
      <c r="F581" s="79">
        <f>SUM(BASE_DATOS[[#This Row],[Capital($)]:[Interés
Resarcitorio($)]])</f>
        <v>49138.137000000002</v>
      </c>
      <c r="G581" s="8">
        <v>45824</v>
      </c>
      <c r="H581" s="80" t="s">
        <v>82</v>
      </c>
      <c r="I581" s="79" t="s">
        <v>9</v>
      </c>
      <c r="J581" s="81">
        <v>12</v>
      </c>
      <c r="K581" t="s">
        <v>48</v>
      </c>
    </row>
    <row r="582" spans="2:11" x14ac:dyDescent="0.25">
      <c r="B582" s="2">
        <f>+B581</f>
        <v>4</v>
      </c>
      <c r="C582" s="4">
        <v>35649.152000000002</v>
      </c>
      <c r="D582" s="4">
        <v>13488.985000000001</v>
      </c>
      <c r="E582" s="79">
        <v>6551.75</v>
      </c>
      <c r="F582" s="79">
        <f>SUM(BASE_DATOS[[#This Row],[Capital($)]:[Interés
Resarcitorio($)]])</f>
        <v>55689.887000000002</v>
      </c>
      <c r="G582" s="8">
        <v>45834</v>
      </c>
      <c r="H582" s="80" t="s">
        <v>82</v>
      </c>
      <c r="I582" s="79" t="s">
        <v>7</v>
      </c>
      <c r="J582" s="81">
        <v>12</v>
      </c>
      <c r="K582" t="s">
        <v>48</v>
      </c>
    </row>
    <row r="583" spans="2:11" x14ac:dyDescent="0.25">
      <c r="B583" s="2">
        <v>5</v>
      </c>
      <c r="C583" s="4">
        <v>36943.216</v>
      </c>
      <c r="D583" s="4">
        <v>12194.921</v>
      </c>
      <c r="E583" s="79">
        <v>0</v>
      </c>
      <c r="F583" s="79">
        <f>SUM(BASE_DATOS[[#This Row],[Capital($)]:[Interés
Resarcitorio($)]])</f>
        <v>49138.137000000002</v>
      </c>
      <c r="G583" s="8">
        <v>45854</v>
      </c>
      <c r="H583" s="80" t="s">
        <v>82</v>
      </c>
      <c r="I583" s="79" t="s">
        <v>6</v>
      </c>
      <c r="J583" s="81">
        <v>12</v>
      </c>
      <c r="K583" t="s">
        <v>48</v>
      </c>
    </row>
    <row r="584" spans="2:11" x14ac:dyDescent="0.25">
      <c r="B584" s="2">
        <f>+B583</f>
        <v>5</v>
      </c>
      <c r="C584" s="4">
        <v>36943.216</v>
      </c>
      <c r="D584" s="4">
        <v>12194.921</v>
      </c>
      <c r="E584" s="79">
        <v>6551.75</v>
      </c>
      <c r="F584" s="79">
        <f>SUM(BASE_DATOS[[#This Row],[Capital($)]:[Interés
Resarcitorio($)]])</f>
        <v>55689.887000000002</v>
      </c>
      <c r="G584" s="8">
        <v>45864</v>
      </c>
      <c r="H584" s="80" t="s">
        <v>82</v>
      </c>
      <c r="I584" s="79" t="s">
        <v>7</v>
      </c>
      <c r="J584" s="81">
        <v>12</v>
      </c>
      <c r="K584" t="s">
        <v>48</v>
      </c>
    </row>
    <row r="585" spans="2:11" x14ac:dyDescent="0.25">
      <c r="B585" s="2">
        <v>6</v>
      </c>
      <c r="C585" s="4">
        <v>38284.254999999997</v>
      </c>
      <c r="D585" s="4">
        <v>10853.882000000001</v>
      </c>
      <c r="E585" s="79">
        <v>0</v>
      </c>
      <c r="F585" s="79">
        <f>SUM(BASE_DATOS[[#This Row],[Capital($)]:[Interés
Resarcitorio($)]])</f>
        <v>49138.137000000002</v>
      </c>
      <c r="G585" s="8">
        <v>45885</v>
      </c>
      <c r="H585" s="80" t="s">
        <v>82</v>
      </c>
      <c r="I585" s="79" t="s">
        <v>6</v>
      </c>
      <c r="J585" s="81">
        <v>12</v>
      </c>
      <c r="K585" t="s">
        <v>48</v>
      </c>
    </row>
    <row r="586" spans="2:11" x14ac:dyDescent="0.25">
      <c r="B586" s="2">
        <f>+B585</f>
        <v>6</v>
      </c>
      <c r="C586" s="4">
        <v>38284.254999999997</v>
      </c>
      <c r="D586" s="4">
        <v>10853.882000000001</v>
      </c>
      <c r="E586" s="79">
        <v>6551.75</v>
      </c>
      <c r="F586" s="79">
        <f>SUM(BASE_DATOS[[#This Row],[Capital($)]:[Interés
Resarcitorio($)]])</f>
        <v>55689.887000000002</v>
      </c>
      <c r="G586" s="8">
        <v>45895</v>
      </c>
      <c r="H586" s="80" t="s">
        <v>82</v>
      </c>
      <c r="I586" s="79" t="s">
        <v>7</v>
      </c>
      <c r="J586" s="81">
        <v>12</v>
      </c>
      <c r="K586" t="s">
        <v>48</v>
      </c>
    </row>
    <row r="587" spans="2:11" x14ac:dyDescent="0.25">
      <c r="B587" s="2">
        <v>7</v>
      </c>
      <c r="C587" s="4">
        <v>39673.972999999998</v>
      </c>
      <c r="D587" s="4">
        <v>9464.1640000000007</v>
      </c>
      <c r="E587" s="79">
        <v>0</v>
      </c>
      <c r="F587" s="79">
        <f>SUM(BASE_DATOS[[#This Row],[Capital($)]:[Interés
Resarcitorio($)]])</f>
        <v>49138.137000000002</v>
      </c>
      <c r="G587" s="8">
        <v>45916</v>
      </c>
      <c r="H587" s="80" t="s">
        <v>82</v>
      </c>
      <c r="I587" s="79" t="s">
        <v>6</v>
      </c>
      <c r="J587" s="81">
        <v>12</v>
      </c>
      <c r="K587" t="s">
        <v>48</v>
      </c>
    </row>
    <row r="588" spans="2:11" x14ac:dyDescent="0.25">
      <c r="B588" s="2">
        <f>+B587</f>
        <v>7</v>
      </c>
      <c r="C588" s="4">
        <v>39673.972999999998</v>
      </c>
      <c r="D588" s="4">
        <v>9464.1640000000007</v>
      </c>
      <c r="E588" s="79">
        <v>6551.75</v>
      </c>
      <c r="F588" s="79">
        <f>SUM(BASE_DATOS[[#This Row],[Capital($)]:[Interés
Resarcitorio($)]])</f>
        <v>55689.887000000002</v>
      </c>
      <c r="G588" s="8">
        <v>45926</v>
      </c>
      <c r="H588" s="80" t="s">
        <v>82</v>
      </c>
      <c r="I588" s="79" t="s">
        <v>7</v>
      </c>
      <c r="J588" s="81">
        <v>12</v>
      </c>
      <c r="K588" t="s">
        <v>48</v>
      </c>
    </row>
    <row r="589" spans="2:11" x14ac:dyDescent="0.25">
      <c r="B589" s="2">
        <v>8</v>
      </c>
      <c r="C589" s="4">
        <v>41114.139000000003</v>
      </c>
      <c r="D589" s="4">
        <v>8023.9979999999996</v>
      </c>
      <c r="E589" s="79">
        <v>0</v>
      </c>
      <c r="F589" s="79">
        <f>SUM(BASE_DATOS[[#This Row],[Capital($)]:[Interés
Resarcitorio($)]])</f>
        <v>49138.137000000002</v>
      </c>
      <c r="G589" s="8">
        <v>45946</v>
      </c>
      <c r="H589" s="80" t="s">
        <v>82</v>
      </c>
      <c r="I589" s="79" t="s">
        <v>6</v>
      </c>
      <c r="J589" s="81">
        <v>12</v>
      </c>
      <c r="K589" t="s">
        <v>48</v>
      </c>
    </row>
    <row r="590" spans="2:11" x14ac:dyDescent="0.25">
      <c r="B590" s="2">
        <f>+B589</f>
        <v>8</v>
      </c>
      <c r="C590" s="4">
        <v>41114.139000000003</v>
      </c>
      <c r="D590" s="4">
        <v>8023.9979999999996</v>
      </c>
      <c r="E590" s="79">
        <v>6551.75</v>
      </c>
      <c r="F590" s="79">
        <f>SUM(BASE_DATOS[[#This Row],[Capital($)]:[Interés
Resarcitorio($)]])</f>
        <v>55689.887000000002</v>
      </c>
      <c r="G590" s="8">
        <v>45956</v>
      </c>
      <c r="H590" s="80" t="s">
        <v>82</v>
      </c>
      <c r="I590" s="79" t="s">
        <v>7</v>
      </c>
      <c r="J590" s="81">
        <v>12</v>
      </c>
      <c r="K590" t="s">
        <v>48</v>
      </c>
    </row>
    <row r="591" spans="2:11" x14ac:dyDescent="0.25">
      <c r="B591" s="2">
        <v>9</v>
      </c>
      <c r="C591" s="4">
        <v>42606.582000000002</v>
      </c>
      <c r="D591" s="4">
        <v>6531.5550000000003</v>
      </c>
      <c r="E591" s="79">
        <v>0</v>
      </c>
      <c r="F591" s="79">
        <f>SUM(BASE_DATOS[[#This Row],[Capital($)]:[Interés
Resarcitorio($)]])</f>
        <v>49138.137000000002</v>
      </c>
      <c r="G591" s="8">
        <v>45977</v>
      </c>
      <c r="H591" s="80" t="s">
        <v>82</v>
      </c>
      <c r="I591" s="79" t="s">
        <v>6</v>
      </c>
      <c r="J591" s="81">
        <v>12</v>
      </c>
      <c r="K591" t="s">
        <v>48</v>
      </c>
    </row>
    <row r="592" spans="2:11" x14ac:dyDescent="0.25">
      <c r="B592" s="2">
        <f>+B591</f>
        <v>9</v>
      </c>
      <c r="C592" s="4">
        <v>42606.582000000002</v>
      </c>
      <c r="D592" s="4">
        <v>6531.5550000000003</v>
      </c>
      <c r="E592" s="79">
        <v>6551.75</v>
      </c>
      <c r="F592" s="79">
        <f>SUM(BASE_DATOS[[#This Row],[Capital($)]:[Interés
Resarcitorio($)]])</f>
        <v>55689.887000000002</v>
      </c>
      <c r="G592" s="8">
        <v>45987</v>
      </c>
      <c r="H592" s="80" t="s">
        <v>82</v>
      </c>
      <c r="I592" s="79" t="s">
        <v>7</v>
      </c>
      <c r="J592" s="81">
        <v>12</v>
      </c>
      <c r="K592" t="s">
        <v>48</v>
      </c>
    </row>
    <row r="593" spans="2:11" x14ac:dyDescent="0.25">
      <c r="B593" s="2">
        <v>10</v>
      </c>
      <c r="C593" s="4">
        <v>44153.201000000001</v>
      </c>
      <c r="D593" s="4">
        <v>4984.9359999999997</v>
      </c>
      <c r="E593" s="79">
        <v>0</v>
      </c>
      <c r="F593" s="79">
        <f>SUM(BASE_DATOS[[#This Row],[Capital($)]:[Interés
Resarcitorio($)]])</f>
        <v>49138.137000000002</v>
      </c>
      <c r="G593" s="8">
        <v>46007</v>
      </c>
      <c r="H593" s="80" t="s">
        <v>82</v>
      </c>
      <c r="I593" s="79" t="s">
        <v>6</v>
      </c>
      <c r="J593" s="81">
        <v>12</v>
      </c>
      <c r="K593" t="s">
        <v>48</v>
      </c>
    </row>
    <row r="594" spans="2:11" x14ac:dyDescent="0.25">
      <c r="B594" s="2">
        <f>+B593</f>
        <v>10</v>
      </c>
      <c r="C594" s="4">
        <v>44153.201000000001</v>
      </c>
      <c r="D594" s="4">
        <v>4984.9359999999997</v>
      </c>
      <c r="E594" s="79">
        <v>6551.75</v>
      </c>
      <c r="F594" s="79">
        <f>SUM(BASE_DATOS[[#This Row],[Capital($)]:[Interés
Resarcitorio($)]])</f>
        <v>55689.887000000002</v>
      </c>
      <c r="G594" s="8">
        <v>46017</v>
      </c>
      <c r="H594" s="80" t="s">
        <v>82</v>
      </c>
      <c r="I594" s="79" t="s">
        <v>7</v>
      </c>
      <c r="J594" s="81">
        <v>12</v>
      </c>
      <c r="K594" t="s">
        <v>48</v>
      </c>
    </row>
    <row r="595" spans="2:11" x14ac:dyDescent="0.25">
      <c r="B595" s="2">
        <v>11</v>
      </c>
      <c r="C595" s="4">
        <v>45755.962</v>
      </c>
      <c r="D595" s="4">
        <v>3382.1750000000002</v>
      </c>
      <c r="E595" s="79">
        <v>0</v>
      </c>
      <c r="F595" s="79">
        <f>SUM(BASE_DATOS[[#This Row],[Capital($)]:[Interés
Resarcitorio($)]])</f>
        <v>49138.137000000002</v>
      </c>
      <c r="G595" s="8">
        <v>46038</v>
      </c>
      <c r="H595" s="80" t="s">
        <v>82</v>
      </c>
      <c r="I595" s="79" t="s">
        <v>6</v>
      </c>
      <c r="J595" s="81">
        <v>12</v>
      </c>
      <c r="K595" t="s">
        <v>48</v>
      </c>
    </row>
    <row r="596" spans="2:11" x14ac:dyDescent="0.25">
      <c r="B596" s="2">
        <f>+B595</f>
        <v>11</v>
      </c>
      <c r="C596" s="4">
        <v>45755.962</v>
      </c>
      <c r="D596" s="4">
        <v>3382.1750000000002</v>
      </c>
      <c r="E596" s="79">
        <v>6551.75</v>
      </c>
      <c r="F596" s="79">
        <f>SUM(BASE_DATOS[[#This Row],[Capital($)]:[Interés
Resarcitorio($)]])</f>
        <v>55689.887000000002</v>
      </c>
      <c r="G596" s="8">
        <v>46048</v>
      </c>
      <c r="H596" s="80" t="s">
        <v>82</v>
      </c>
      <c r="I596" s="79" t="s">
        <v>7</v>
      </c>
      <c r="J596" s="81">
        <v>12</v>
      </c>
      <c r="K596" t="s">
        <v>48</v>
      </c>
    </row>
    <row r="597" spans="2:11" x14ac:dyDescent="0.25">
      <c r="B597" s="2">
        <v>12</v>
      </c>
      <c r="C597" s="4">
        <v>47416.903999999995</v>
      </c>
      <c r="D597" s="4">
        <v>1721.2330000000002</v>
      </c>
      <c r="E597" s="79">
        <v>0</v>
      </c>
      <c r="F597" s="79">
        <f>SUM(BASE_DATOS[[#This Row],[Capital($)]:[Interés
Resarcitorio($)]])</f>
        <v>49138.136999999995</v>
      </c>
      <c r="G597" s="8">
        <v>46069</v>
      </c>
      <c r="H597" s="80" t="s">
        <v>82</v>
      </c>
      <c r="I597" s="79" t="s">
        <v>6</v>
      </c>
      <c r="J597" s="81">
        <v>12</v>
      </c>
      <c r="K597" t="s">
        <v>48</v>
      </c>
    </row>
    <row r="598" spans="2:11" x14ac:dyDescent="0.25">
      <c r="B598" s="2">
        <f>+B597</f>
        <v>12</v>
      </c>
      <c r="C598" s="4">
        <v>47416.903999999995</v>
      </c>
      <c r="D598" s="4">
        <v>1721.2330000000002</v>
      </c>
      <c r="E598" s="79">
        <v>6551.75</v>
      </c>
      <c r="F598" s="79">
        <f>SUM(BASE_DATOS[[#This Row],[Capital($)]:[Interés
Resarcitorio($)]])</f>
        <v>55689.886999999995</v>
      </c>
      <c r="G598" s="8">
        <v>46079</v>
      </c>
      <c r="H598" s="80" t="s">
        <v>82</v>
      </c>
      <c r="I598" s="79" t="s">
        <v>7</v>
      </c>
      <c r="J598" s="81">
        <v>12</v>
      </c>
      <c r="K598" t="s">
        <v>48</v>
      </c>
    </row>
    <row r="599" spans="2:11" x14ac:dyDescent="0.25">
      <c r="B599" s="2">
        <v>1</v>
      </c>
      <c r="C599" s="82">
        <v>243627.462</v>
      </c>
      <c r="D599" s="79">
        <v>146427.954</v>
      </c>
      <c r="E599" s="79">
        <v>0</v>
      </c>
      <c r="F599" s="79">
        <f>SUM(BASE_DATOS[[#This Row],[Capital($)]:[Interés
Resarcitorio($)]])</f>
        <v>390055.41599999997</v>
      </c>
      <c r="G599" s="8">
        <v>45824</v>
      </c>
      <c r="H599" s="80" t="s">
        <v>87</v>
      </c>
      <c r="I599" s="79" t="s">
        <v>9</v>
      </c>
      <c r="J599" s="81">
        <v>12</v>
      </c>
      <c r="K599" t="s">
        <v>46</v>
      </c>
    </row>
    <row r="600" spans="2:11" x14ac:dyDescent="0.25">
      <c r="B600" s="2">
        <f>+B599</f>
        <v>1</v>
      </c>
      <c r="C600" s="82">
        <v>243627.462</v>
      </c>
      <c r="D600" s="79">
        <v>146427.954</v>
      </c>
      <c r="E600" s="79">
        <v>52007.39</v>
      </c>
      <c r="F600" s="79">
        <f>SUM(BASE_DATOS[[#This Row],[Capital($)]:[Interés
Resarcitorio($)]])</f>
        <v>442062.80599999998</v>
      </c>
      <c r="G600" s="8">
        <v>45834</v>
      </c>
      <c r="H600" s="80" t="s">
        <v>87</v>
      </c>
      <c r="I600" s="79" t="s">
        <v>7</v>
      </c>
      <c r="J600" s="81">
        <v>12</v>
      </c>
      <c r="K600" t="s">
        <v>46</v>
      </c>
    </row>
    <row r="601" spans="2:11" x14ac:dyDescent="0.25">
      <c r="B601" s="2">
        <v>2</v>
      </c>
      <c r="C601" s="82">
        <v>253372.56</v>
      </c>
      <c r="D601" s="79">
        <v>136682.856</v>
      </c>
      <c r="E601" s="79">
        <v>0</v>
      </c>
      <c r="F601" s="79">
        <f>SUM(BASE_DATOS[[#This Row],[Capital($)]:[Interés
Resarcitorio($)]])</f>
        <v>390055.41599999997</v>
      </c>
      <c r="G601" s="8">
        <v>45854</v>
      </c>
      <c r="H601" s="80" t="s">
        <v>87</v>
      </c>
      <c r="I601" s="79" t="s">
        <v>6</v>
      </c>
      <c r="J601" s="81">
        <v>12</v>
      </c>
      <c r="K601" t="s">
        <v>46</v>
      </c>
    </row>
    <row r="602" spans="2:11" x14ac:dyDescent="0.25">
      <c r="B602" s="2">
        <f>+B601</f>
        <v>2</v>
      </c>
      <c r="C602" s="82">
        <v>253372.56</v>
      </c>
      <c r="D602" s="79">
        <v>136682.856</v>
      </c>
      <c r="E602" s="79">
        <v>52007.39</v>
      </c>
      <c r="F602" s="79">
        <f>SUM(BASE_DATOS[[#This Row],[Capital($)]:[Interés
Resarcitorio($)]])</f>
        <v>442062.80599999998</v>
      </c>
      <c r="G602" s="8">
        <v>45864</v>
      </c>
      <c r="H602" s="80" t="s">
        <v>87</v>
      </c>
      <c r="I602" s="79" t="s">
        <v>7</v>
      </c>
      <c r="J602" s="81">
        <v>12</v>
      </c>
      <c r="K602" t="s">
        <v>46</v>
      </c>
    </row>
    <row r="603" spans="2:11" x14ac:dyDescent="0.25">
      <c r="B603" s="2">
        <v>3</v>
      </c>
      <c r="C603" s="82">
        <v>263507.46299999999</v>
      </c>
      <c r="D603" s="79">
        <v>126547.95300000001</v>
      </c>
      <c r="E603" s="79">
        <v>0</v>
      </c>
      <c r="F603" s="79">
        <f>SUM(BASE_DATOS[[#This Row],[Capital($)]:[Interés
Resarcitorio($)]])</f>
        <v>390055.41599999997</v>
      </c>
      <c r="G603" s="8">
        <v>45885</v>
      </c>
      <c r="H603" s="80" t="s">
        <v>87</v>
      </c>
      <c r="I603" s="79" t="s">
        <v>6</v>
      </c>
      <c r="J603" s="81">
        <v>12</v>
      </c>
      <c r="K603" t="s">
        <v>46</v>
      </c>
    </row>
    <row r="604" spans="2:11" x14ac:dyDescent="0.25">
      <c r="B604" s="2">
        <f>+B603</f>
        <v>3</v>
      </c>
      <c r="C604" s="82">
        <v>263507.46299999999</v>
      </c>
      <c r="D604" s="79">
        <v>126547.95300000001</v>
      </c>
      <c r="E604" s="79">
        <v>52007.39</v>
      </c>
      <c r="F604" s="79">
        <f>SUM(BASE_DATOS[[#This Row],[Capital($)]:[Interés
Resarcitorio($)]])</f>
        <v>442062.80599999998</v>
      </c>
      <c r="G604" s="8">
        <v>45895</v>
      </c>
      <c r="H604" s="80" t="s">
        <v>87</v>
      </c>
      <c r="I604" s="79" t="s">
        <v>7</v>
      </c>
      <c r="J604" s="81">
        <v>12</v>
      </c>
      <c r="K604" t="s">
        <v>46</v>
      </c>
    </row>
    <row r="605" spans="2:11" x14ac:dyDescent="0.25">
      <c r="B605" s="2">
        <v>4</v>
      </c>
      <c r="C605" s="82">
        <v>274047.761</v>
      </c>
      <c r="D605" s="79">
        <v>116007.655</v>
      </c>
      <c r="E605" s="79">
        <v>0</v>
      </c>
      <c r="F605" s="79">
        <f>SUM(BASE_DATOS[[#This Row],[Capital($)]:[Interés
Resarcitorio($)]])</f>
        <v>390055.41599999997</v>
      </c>
      <c r="G605" s="8">
        <v>45916</v>
      </c>
      <c r="H605" s="80" t="s">
        <v>87</v>
      </c>
      <c r="I605" s="79" t="s">
        <v>6</v>
      </c>
      <c r="J605" s="81">
        <v>12</v>
      </c>
      <c r="K605" t="s">
        <v>46</v>
      </c>
    </row>
    <row r="606" spans="2:11" x14ac:dyDescent="0.25">
      <c r="B606" s="2">
        <f>+B605</f>
        <v>4</v>
      </c>
      <c r="C606" s="82">
        <v>274047.761</v>
      </c>
      <c r="D606" s="79">
        <v>116007.655</v>
      </c>
      <c r="E606" s="79">
        <v>52007.39</v>
      </c>
      <c r="F606" s="79">
        <f>SUM(BASE_DATOS[[#This Row],[Capital($)]:[Interés
Resarcitorio($)]])</f>
        <v>442062.80599999998</v>
      </c>
      <c r="G606" s="8">
        <v>45926</v>
      </c>
      <c r="H606" s="80" t="s">
        <v>87</v>
      </c>
      <c r="I606" s="79" t="s">
        <v>7</v>
      </c>
      <c r="J606" s="81">
        <v>12</v>
      </c>
      <c r="K606" t="s">
        <v>46</v>
      </c>
    </row>
    <row r="607" spans="2:11" x14ac:dyDescent="0.25">
      <c r="B607" s="2">
        <v>5</v>
      </c>
      <c r="C607" s="82">
        <v>285009.67200000002</v>
      </c>
      <c r="D607" s="79">
        <v>105045.74399999999</v>
      </c>
      <c r="E607" s="79">
        <v>0</v>
      </c>
      <c r="F607" s="79">
        <f>SUM(BASE_DATOS[[#This Row],[Capital($)]:[Interés
Resarcitorio($)]])</f>
        <v>390055.41600000003</v>
      </c>
      <c r="G607" s="8">
        <v>45946</v>
      </c>
      <c r="H607" s="80" t="s">
        <v>87</v>
      </c>
      <c r="I607" s="79" t="s">
        <v>6</v>
      </c>
      <c r="J607" s="81">
        <v>12</v>
      </c>
      <c r="K607" t="s">
        <v>46</v>
      </c>
    </row>
    <row r="608" spans="2:11" x14ac:dyDescent="0.25">
      <c r="B608" s="2">
        <f>+B607</f>
        <v>5</v>
      </c>
      <c r="C608" s="82">
        <v>285009.67200000002</v>
      </c>
      <c r="D608" s="79">
        <v>105045.74399999999</v>
      </c>
      <c r="E608" s="79">
        <v>52007.39</v>
      </c>
      <c r="F608" s="79">
        <f>SUM(BASE_DATOS[[#This Row],[Capital($)]:[Interés
Resarcitorio($)]])</f>
        <v>442062.80600000004</v>
      </c>
      <c r="G608" s="8">
        <v>45956</v>
      </c>
      <c r="H608" s="80" t="s">
        <v>87</v>
      </c>
      <c r="I608" s="79" t="s">
        <v>7</v>
      </c>
      <c r="J608" s="81">
        <v>12</v>
      </c>
      <c r="K608" t="s">
        <v>46</v>
      </c>
    </row>
    <row r="609" spans="2:11" x14ac:dyDescent="0.25">
      <c r="B609" s="2">
        <v>6</v>
      </c>
      <c r="C609" s="82">
        <v>296410.05900000001</v>
      </c>
      <c r="D609" s="79">
        <v>93645.356999999989</v>
      </c>
      <c r="E609" s="79">
        <v>0</v>
      </c>
      <c r="F609" s="79">
        <f>SUM(BASE_DATOS[[#This Row],[Capital($)]:[Interés
Resarcitorio($)]])</f>
        <v>390055.41599999997</v>
      </c>
      <c r="G609" s="8">
        <v>45977</v>
      </c>
      <c r="H609" s="80" t="s">
        <v>87</v>
      </c>
      <c r="I609" s="79" t="s">
        <v>6</v>
      </c>
      <c r="J609" s="81">
        <v>12</v>
      </c>
      <c r="K609" t="s">
        <v>46</v>
      </c>
    </row>
    <row r="610" spans="2:11" x14ac:dyDescent="0.25">
      <c r="B610" s="2">
        <f>+B609</f>
        <v>6</v>
      </c>
      <c r="C610" s="82">
        <v>296410.05900000001</v>
      </c>
      <c r="D610" s="79">
        <v>93645.356999999989</v>
      </c>
      <c r="E610" s="79">
        <v>52007.39</v>
      </c>
      <c r="F610" s="79">
        <f>SUM(BASE_DATOS[[#This Row],[Capital($)]:[Interés
Resarcitorio($)]])</f>
        <v>442062.80599999998</v>
      </c>
      <c r="G610" s="8">
        <v>45987</v>
      </c>
      <c r="H610" s="80" t="s">
        <v>87</v>
      </c>
      <c r="I610" s="79" t="s">
        <v>7</v>
      </c>
      <c r="J610" s="81">
        <v>12</v>
      </c>
      <c r="K610" t="s">
        <v>46</v>
      </c>
    </row>
    <row r="611" spans="2:11" x14ac:dyDescent="0.25">
      <c r="B611" s="2">
        <v>7</v>
      </c>
      <c r="C611" s="82">
        <v>308266.46100000001</v>
      </c>
      <c r="D611" s="79">
        <v>81788.955000000002</v>
      </c>
      <c r="E611" s="79">
        <v>0</v>
      </c>
      <c r="F611" s="79">
        <f>SUM(BASE_DATOS[[#This Row],[Capital($)]:[Interés
Resarcitorio($)]])</f>
        <v>390055.41600000003</v>
      </c>
      <c r="G611" s="8">
        <v>46007</v>
      </c>
      <c r="H611" s="80" t="s">
        <v>87</v>
      </c>
      <c r="I611" s="79" t="s">
        <v>6</v>
      </c>
      <c r="J611" s="81">
        <v>12</v>
      </c>
      <c r="K611" t="s">
        <v>46</v>
      </c>
    </row>
    <row r="612" spans="2:11" x14ac:dyDescent="0.25">
      <c r="B612" s="2">
        <f>+B611</f>
        <v>7</v>
      </c>
      <c r="C612" s="82">
        <v>308266.46100000001</v>
      </c>
      <c r="D612" s="79">
        <v>81788.955000000002</v>
      </c>
      <c r="E612" s="79">
        <v>52007.39</v>
      </c>
      <c r="F612" s="79">
        <f>SUM(BASE_DATOS[[#This Row],[Capital($)]:[Interés
Resarcitorio($)]])</f>
        <v>442062.80600000004</v>
      </c>
      <c r="G612" s="8">
        <v>46017</v>
      </c>
      <c r="H612" s="80" t="s">
        <v>87</v>
      </c>
      <c r="I612" s="79" t="s">
        <v>7</v>
      </c>
      <c r="J612" s="81">
        <v>12</v>
      </c>
      <c r="K612" t="s">
        <v>46</v>
      </c>
    </row>
    <row r="613" spans="2:11" x14ac:dyDescent="0.25">
      <c r="B613" s="2">
        <v>8</v>
      </c>
      <c r="C613" s="82">
        <v>320597.11900000001</v>
      </c>
      <c r="D613" s="79">
        <v>69458.296999999991</v>
      </c>
      <c r="E613" s="79">
        <v>0</v>
      </c>
      <c r="F613" s="79">
        <f>SUM(BASE_DATOS[[#This Row],[Capital($)]:[Interés
Resarcitorio($)]])</f>
        <v>390055.41599999997</v>
      </c>
      <c r="G613" s="8">
        <v>46038</v>
      </c>
      <c r="H613" s="80" t="s">
        <v>87</v>
      </c>
      <c r="I613" s="79" t="s">
        <v>6</v>
      </c>
      <c r="J613" s="81">
        <v>12</v>
      </c>
      <c r="K613" t="s">
        <v>46</v>
      </c>
    </row>
    <row r="614" spans="2:11" x14ac:dyDescent="0.25">
      <c r="B614" s="2">
        <f>+B613</f>
        <v>8</v>
      </c>
      <c r="C614" s="82">
        <v>320597.11900000001</v>
      </c>
      <c r="D614" s="79">
        <v>69458.296999999991</v>
      </c>
      <c r="E614" s="79">
        <v>52007.39</v>
      </c>
      <c r="F614" s="79">
        <f>SUM(BASE_DATOS[[#This Row],[Capital($)]:[Interés
Resarcitorio($)]])</f>
        <v>442062.80599999998</v>
      </c>
      <c r="G614" s="8">
        <v>46048</v>
      </c>
      <c r="H614" s="80" t="s">
        <v>87</v>
      </c>
      <c r="I614" s="79" t="s">
        <v>7</v>
      </c>
      <c r="J614" s="81">
        <v>12</v>
      </c>
      <c r="K614" t="s">
        <v>46</v>
      </c>
    </row>
    <row r="615" spans="2:11" x14ac:dyDescent="0.25">
      <c r="B615" s="2">
        <v>9</v>
      </c>
      <c r="C615" s="82">
        <v>333421.00400000002</v>
      </c>
      <c r="D615" s="79">
        <v>56634.411999999997</v>
      </c>
      <c r="E615" s="79">
        <v>0</v>
      </c>
      <c r="F615" s="79">
        <f>SUM(BASE_DATOS[[#This Row],[Capital($)]:[Interés
Resarcitorio($)]])</f>
        <v>390055.41600000003</v>
      </c>
      <c r="G615" s="8">
        <v>46069</v>
      </c>
      <c r="H615" s="80" t="s">
        <v>87</v>
      </c>
      <c r="I615" s="79" t="s">
        <v>6</v>
      </c>
      <c r="J615" s="81">
        <v>12</v>
      </c>
      <c r="K615" t="s">
        <v>46</v>
      </c>
    </row>
    <row r="616" spans="2:11" x14ac:dyDescent="0.25">
      <c r="B616" s="2">
        <f>+B615</f>
        <v>9</v>
      </c>
      <c r="C616" s="82">
        <v>333421.00400000002</v>
      </c>
      <c r="D616" s="79">
        <v>56634.411999999997</v>
      </c>
      <c r="E616" s="79">
        <v>52007.39</v>
      </c>
      <c r="F616" s="79">
        <f>SUM(BASE_DATOS[[#This Row],[Capital($)]:[Interés
Resarcitorio($)]])</f>
        <v>442062.80600000004</v>
      </c>
      <c r="G616" s="8">
        <v>46079</v>
      </c>
      <c r="H616" s="80" t="s">
        <v>87</v>
      </c>
      <c r="I616" s="79" t="s">
        <v>7</v>
      </c>
      <c r="J616" s="81">
        <v>12</v>
      </c>
      <c r="K616" t="s">
        <v>46</v>
      </c>
    </row>
    <row r="617" spans="2:11" x14ac:dyDescent="0.25">
      <c r="B617" s="2">
        <v>10</v>
      </c>
      <c r="C617" s="82">
        <v>346757.84399999998</v>
      </c>
      <c r="D617" s="79">
        <v>43297.572</v>
      </c>
      <c r="E617" s="79">
        <v>0</v>
      </c>
      <c r="F617" s="79">
        <f>SUM(BASE_DATOS[[#This Row],[Capital($)]:[Interés
Resarcitorio($)]])</f>
        <v>390055.41599999997</v>
      </c>
      <c r="G617" s="8">
        <v>46097</v>
      </c>
      <c r="H617" s="80" t="s">
        <v>87</v>
      </c>
      <c r="I617" s="79" t="s">
        <v>6</v>
      </c>
      <c r="J617" s="81">
        <v>12</v>
      </c>
      <c r="K617" t="s">
        <v>46</v>
      </c>
    </row>
    <row r="618" spans="2:11" x14ac:dyDescent="0.25">
      <c r="B618" s="2">
        <f>+B617</f>
        <v>10</v>
      </c>
      <c r="C618" s="82">
        <v>346757.84399999998</v>
      </c>
      <c r="D618" s="79">
        <v>43297.572</v>
      </c>
      <c r="E618" s="79">
        <v>52007.39</v>
      </c>
      <c r="F618" s="79">
        <f>SUM(BASE_DATOS[[#This Row],[Capital($)]:[Interés
Resarcitorio($)]])</f>
        <v>442062.80599999998</v>
      </c>
      <c r="G618" s="8">
        <v>46107</v>
      </c>
      <c r="H618" s="80" t="s">
        <v>87</v>
      </c>
      <c r="I618" s="79" t="s">
        <v>7</v>
      </c>
      <c r="J618" s="81">
        <v>12</v>
      </c>
      <c r="K618" t="s">
        <v>46</v>
      </c>
    </row>
    <row r="619" spans="2:11" x14ac:dyDescent="0.25">
      <c r="B619" s="2">
        <v>11</v>
      </c>
      <c r="C619" s="82">
        <v>360628.158</v>
      </c>
      <c r="D619" s="79">
        <v>29427.258000000002</v>
      </c>
      <c r="E619" s="79">
        <v>0</v>
      </c>
      <c r="F619" s="79">
        <f>SUM(BASE_DATOS[[#This Row],[Capital($)]:[Interés
Resarcitorio($)]])</f>
        <v>390055.41599999997</v>
      </c>
      <c r="G619" s="8">
        <v>46128</v>
      </c>
      <c r="H619" s="80" t="s">
        <v>87</v>
      </c>
      <c r="I619" s="79" t="s">
        <v>6</v>
      </c>
      <c r="J619" s="81">
        <v>12</v>
      </c>
      <c r="K619" t="s">
        <v>46</v>
      </c>
    </row>
    <row r="620" spans="2:11" x14ac:dyDescent="0.25">
      <c r="B620" s="2">
        <f>+B619</f>
        <v>11</v>
      </c>
      <c r="C620" s="82">
        <v>360628.158</v>
      </c>
      <c r="D620" s="79">
        <v>29427.258000000002</v>
      </c>
      <c r="E620" s="79">
        <v>52007.39</v>
      </c>
      <c r="F620" s="79">
        <f>SUM(BASE_DATOS[[#This Row],[Capital($)]:[Interés
Resarcitorio($)]])</f>
        <v>442062.80599999998</v>
      </c>
      <c r="G620" s="8">
        <v>46138</v>
      </c>
      <c r="H620" s="80" t="s">
        <v>87</v>
      </c>
      <c r="I620" s="79" t="s">
        <v>7</v>
      </c>
      <c r="J620" s="81">
        <v>12</v>
      </c>
      <c r="K620" t="s">
        <v>46</v>
      </c>
    </row>
    <row r="621" spans="2:11" x14ac:dyDescent="0.25">
      <c r="B621" s="2">
        <v>12</v>
      </c>
      <c r="C621" s="82">
        <v>375053.28899999999</v>
      </c>
      <c r="D621" s="79">
        <v>15002.126999999999</v>
      </c>
      <c r="E621" s="79">
        <v>0</v>
      </c>
      <c r="F621" s="79">
        <f>SUM(BASE_DATOS[[#This Row],[Capital($)]:[Interés
Resarcitorio($)]])</f>
        <v>390055.41599999997</v>
      </c>
      <c r="G621" s="8">
        <v>46158</v>
      </c>
      <c r="H621" s="80" t="s">
        <v>87</v>
      </c>
      <c r="I621" s="79" t="s">
        <v>6</v>
      </c>
      <c r="J621" s="81">
        <v>12</v>
      </c>
      <c r="K621" t="s">
        <v>46</v>
      </c>
    </row>
    <row r="622" spans="2:11" x14ac:dyDescent="0.25">
      <c r="B622" s="2">
        <f>+B621</f>
        <v>12</v>
      </c>
      <c r="C622" s="82">
        <v>375053.28899999999</v>
      </c>
      <c r="D622" s="79">
        <v>15002.126999999999</v>
      </c>
      <c r="E622" s="79">
        <v>52007.39</v>
      </c>
      <c r="F622" s="79">
        <f>SUM(BASE_DATOS[[#This Row],[Capital($)]:[Interés
Resarcitorio($)]])</f>
        <v>442062.80599999998</v>
      </c>
      <c r="G622" s="8">
        <v>46168</v>
      </c>
      <c r="H622" s="80" t="s">
        <v>87</v>
      </c>
      <c r="I622" s="79" t="s">
        <v>7</v>
      </c>
      <c r="J622" s="81">
        <v>12</v>
      </c>
      <c r="K622" t="s">
        <v>46</v>
      </c>
    </row>
    <row r="623" spans="2:11" x14ac:dyDescent="0.25">
      <c r="B623" s="2">
        <v>1</v>
      </c>
      <c r="C623" s="4">
        <v>13505.45</v>
      </c>
      <c r="D623" s="4">
        <v>17016.866000000002</v>
      </c>
      <c r="E623" s="79">
        <v>0</v>
      </c>
      <c r="F623" s="79">
        <f>SUM(BASE_DATOS[[#This Row],[Capital($)]:[Interés
Resarcitorio($)]])</f>
        <v>30522.316000000003</v>
      </c>
      <c r="G623" s="8">
        <v>44667</v>
      </c>
      <c r="H623" s="80" t="s">
        <v>61</v>
      </c>
      <c r="I623" s="79" t="s">
        <v>9</v>
      </c>
      <c r="J623" s="81">
        <v>60</v>
      </c>
      <c r="K623" t="s">
        <v>47</v>
      </c>
    </row>
    <row r="624" spans="2:11" x14ac:dyDescent="0.25">
      <c r="B624" s="2">
        <f>+B623</f>
        <v>1</v>
      </c>
      <c r="C624" s="4">
        <v>13505.45</v>
      </c>
      <c r="D624" s="4">
        <v>17016.866000000002</v>
      </c>
      <c r="E624" s="79">
        <v>3784.77</v>
      </c>
      <c r="F624" s="79">
        <f>SUM(BASE_DATOS[[#This Row],[Capital($)]:[Interés
Resarcitorio($)]])</f>
        <v>34307.086000000003</v>
      </c>
      <c r="G624" s="8">
        <v>44677</v>
      </c>
      <c r="H624" s="80" t="s">
        <v>61</v>
      </c>
      <c r="I624" s="79" t="s">
        <v>7</v>
      </c>
      <c r="J624" s="81">
        <v>60</v>
      </c>
      <c r="K624" t="s">
        <v>47</v>
      </c>
    </row>
    <row r="625" spans="2:11" x14ac:dyDescent="0.25">
      <c r="B625" s="2">
        <v>2</v>
      </c>
      <c r="C625" s="4">
        <v>13505.45</v>
      </c>
      <c r="D625" s="4">
        <v>15936.429999999998</v>
      </c>
      <c r="E625" s="79">
        <v>0</v>
      </c>
      <c r="F625" s="79">
        <f>SUM(BASE_DATOS[[#This Row],[Capital($)]:[Interés
Resarcitorio($)]])</f>
        <v>29441.879999999997</v>
      </c>
      <c r="G625" s="8">
        <v>44697</v>
      </c>
      <c r="H625" s="80" t="s">
        <v>61</v>
      </c>
      <c r="I625" s="79" t="s">
        <v>9</v>
      </c>
      <c r="J625" s="81">
        <v>60</v>
      </c>
      <c r="K625" t="s">
        <v>47</v>
      </c>
    </row>
    <row r="626" spans="2:11" x14ac:dyDescent="0.25">
      <c r="B626" s="2">
        <f>+B625</f>
        <v>2</v>
      </c>
      <c r="C626" s="4">
        <v>13505.45</v>
      </c>
      <c r="D626" s="4">
        <v>15936.429999999998</v>
      </c>
      <c r="E626" s="79">
        <v>3650.79</v>
      </c>
      <c r="F626" s="79">
        <f>SUM(BASE_DATOS[[#This Row],[Capital($)]:[Interés
Resarcitorio($)]])</f>
        <v>33092.67</v>
      </c>
      <c r="G626" s="8">
        <v>44707</v>
      </c>
      <c r="H626" s="80" t="s">
        <v>61</v>
      </c>
      <c r="I626" s="79" t="s">
        <v>7</v>
      </c>
      <c r="J626" s="81">
        <v>60</v>
      </c>
      <c r="K626" t="s">
        <v>47</v>
      </c>
    </row>
    <row r="627" spans="2:11" x14ac:dyDescent="0.25">
      <c r="B627" s="2">
        <v>3</v>
      </c>
      <c r="C627" s="4">
        <v>13505.45</v>
      </c>
      <c r="D627" s="4">
        <v>15666.321</v>
      </c>
      <c r="E627" s="79">
        <v>0</v>
      </c>
      <c r="F627" s="79">
        <f>SUM(BASE_DATOS[[#This Row],[Capital($)]:[Interés
Resarcitorio($)]])</f>
        <v>29171.771000000001</v>
      </c>
      <c r="G627" s="8">
        <v>44728</v>
      </c>
      <c r="H627" s="80" t="s">
        <v>61</v>
      </c>
      <c r="I627" s="79" t="s">
        <v>9</v>
      </c>
      <c r="J627" s="81">
        <v>60</v>
      </c>
      <c r="K627" t="s">
        <v>47</v>
      </c>
    </row>
    <row r="628" spans="2:11" x14ac:dyDescent="0.25">
      <c r="B628" s="2">
        <f>+B627</f>
        <v>3</v>
      </c>
      <c r="C628" s="4">
        <v>13505.45</v>
      </c>
      <c r="D628" s="4">
        <v>15666.321</v>
      </c>
      <c r="E628" s="79">
        <v>3617.3</v>
      </c>
      <c r="F628" s="79">
        <f>SUM(BASE_DATOS[[#This Row],[Capital($)]:[Interés
Resarcitorio($)]])</f>
        <v>32789.071000000004</v>
      </c>
      <c r="G628" s="8">
        <v>44738</v>
      </c>
      <c r="H628" s="80" t="s">
        <v>61</v>
      </c>
      <c r="I628" s="79" t="s">
        <v>7</v>
      </c>
      <c r="J628" s="81">
        <v>60</v>
      </c>
      <c r="K628" t="s">
        <v>47</v>
      </c>
    </row>
    <row r="629" spans="2:11" x14ac:dyDescent="0.25">
      <c r="B629" s="2">
        <v>4</v>
      </c>
      <c r="C629" s="4">
        <v>13505.45</v>
      </c>
      <c r="D629" s="4">
        <v>15396.212</v>
      </c>
      <c r="E629" s="79">
        <v>0</v>
      </c>
      <c r="F629" s="79">
        <f>SUM(BASE_DATOS[[#This Row],[Capital($)]:[Interés
Resarcitorio($)]])</f>
        <v>28901.662</v>
      </c>
      <c r="G629" s="8">
        <v>44758</v>
      </c>
      <c r="H629" s="80" t="s">
        <v>61</v>
      </c>
      <c r="I629" s="79" t="s">
        <v>9</v>
      </c>
      <c r="J629" s="81">
        <v>60</v>
      </c>
      <c r="K629" t="s">
        <v>47</v>
      </c>
    </row>
    <row r="630" spans="2:11" x14ac:dyDescent="0.25">
      <c r="B630" s="2">
        <f>+B629</f>
        <v>4</v>
      </c>
      <c r="C630" s="4">
        <v>13505.45</v>
      </c>
      <c r="D630" s="4">
        <v>15396.212</v>
      </c>
      <c r="E630" s="79">
        <v>4094.4</v>
      </c>
      <c r="F630" s="79">
        <f>SUM(BASE_DATOS[[#This Row],[Capital($)]:[Interés
Resarcitorio($)]])</f>
        <v>32996.061999999998</v>
      </c>
      <c r="G630" s="8">
        <v>44768</v>
      </c>
      <c r="H630" s="80" t="s">
        <v>61</v>
      </c>
      <c r="I630" s="79" t="s">
        <v>7</v>
      </c>
      <c r="J630" s="81">
        <v>60</v>
      </c>
      <c r="K630" t="s">
        <v>47</v>
      </c>
    </row>
    <row r="631" spans="2:11" x14ac:dyDescent="0.25">
      <c r="B631" s="2">
        <v>5</v>
      </c>
      <c r="C631" s="4">
        <v>13505.45</v>
      </c>
      <c r="D631" s="4">
        <v>15126.102999999999</v>
      </c>
      <c r="E631" s="79">
        <v>0</v>
      </c>
      <c r="F631" s="79">
        <f>SUM(BASE_DATOS[[#This Row],[Capital($)]:[Interés
Resarcitorio($)]])</f>
        <v>28631.553</v>
      </c>
      <c r="G631" s="8">
        <v>44789</v>
      </c>
      <c r="H631" s="80" t="s">
        <v>61</v>
      </c>
      <c r="I631" s="79" t="s">
        <v>9</v>
      </c>
      <c r="J631" s="81">
        <v>60</v>
      </c>
      <c r="K631" t="s">
        <v>47</v>
      </c>
    </row>
    <row r="632" spans="2:11" x14ac:dyDescent="0.25">
      <c r="B632" s="2">
        <f>+B631</f>
        <v>5</v>
      </c>
      <c r="C632" s="4">
        <v>13505.45</v>
      </c>
      <c r="D632" s="4">
        <v>15126.102999999999</v>
      </c>
      <c r="E632" s="79">
        <v>4056.14</v>
      </c>
      <c r="F632" s="79">
        <f>SUM(BASE_DATOS[[#This Row],[Capital($)]:[Interés
Resarcitorio($)]])</f>
        <v>32687.692999999999</v>
      </c>
      <c r="G632" s="8">
        <v>44799</v>
      </c>
      <c r="H632" s="80" t="s">
        <v>61</v>
      </c>
      <c r="I632" s="79" t="s">
        <v>7</v>
      </c>
      <c r="J632" s="81">
        <v>60</v>
      </c>
      <c r="K632" t="s">
        <v>47</v>
      </c>
    </row>
    <row r="633" spans="2:11" x14ac:dyDescent="0.25">
      <c r="B633" s="2">
        <v>6</v>
      </c>
      <c r="C633" s="4">
        <v>13505.45</v>
      </c>
      <c r="D633" s="4">
        <v>14855.994000000001</v>
      </c>
      <c r="E633" s="79">
        <v>0</v>
      </c>
      <c r="F633" s="79">
        <f>SUM(BASE_DATOS[[#This Row],[Capital($)]:[Interés
Resarcitorio($)]])</f>
        <v>28361.444000000003</v>
      </c>
      <c r="G633" s="8">
        <v>44820</v>
      </c>
      <c r="H633" s="80" t="s">
        <v>61</v>
      </c>
      <c r="I633" s="79" t="s">
        <v>9</v>
      </c>
      <c r="J633" s="81">
        <v>60</v>
      </c>
      <c r="K633" t="s">
        <v>47</v>
      </c>
    </row>
    <row r="634" spans="2:11" x14ac:dyDescent="0.25">
      <c r="B634" s="2">
        <f>+B633</f>
        <v>6</v>
      </c>
      <c r="C634" s="4">
        <v>13505.45</v>
      </c>
      <c r="D634" s="4">
        <v>14855.994000000001</v>
      </c>
      <c r="E634" s="79">
        <v>5587.2</v>
      </c>
      <c r="F634" s="79">
        <f>SUM(BASE_DATOS[[#This Row],[Capital($)]:[Interés
Resarcitorio($)]])</f>
        <v>33948.644</v>
      </c>
      <c r="G634" s="8">
        <v>44830</v>
      </c>
      <c r="H634" s="80" t="s">
        <v>61</v>
      </c>
      <c r="I634" s="79" t="s">
        <v>7</v>
      </c>
      <c r="J634" s="81">
        <v>60</v>
      </c>
      <c r="K634" t="s">
        <v>47</v>
      </c>
    </row>
    <row r="635" spans="2:11" x14ac:dyDescent="0.25">
      <c r="B635" s="2">
        <v>7</v>
      </c>
      <c r="C635" s="4">
        <v>13505.45</v>
      </c>
      <c r="D635" s="4">
        <v>41715.631999999998</v>
      </c>
      <c r="E635" s="79">
        <v>0</v>
      </c>
      <c r="F635" s="79">
        <f>SUM(BASE_DATOS[[#This Row],[Capital($)]:[Interés
Resarcitorio($)]])</f>
        <v>55221.081999999995</v>
      </c>
      <c r="G635" s="8">
        <v>44850</v>
      </c>
      <c r="H635" s="80" t="s">
        <v>61</v>
      </c>
      <c r="I635" s="79" t="s">
        <v>9</v>
      </c>
      <c r="J635" s="81">
        <v>60</v>
      </c>
      <c r="K635" t="s">
        <v>47</v>
      </c>
    </row>
    <row r="636" spans="2:11" x14ac:dyDescent="0.25">
      <c r="B636" s="2">
        <f>+B635</f>
        <v>7</v>
      </c>
      <c r="C636" s="4">
        <v>13505.45</v>
      </c>
      <c r="D636" s="4">
        <v>41715.631999999998</v>
      </c>
      <c r="E636" s="79">
        <v>10878.55</v>
      </c>
      <c r="F636" s="79">
        <f>SUM(BASE_DATOS[[#This Row],[Capital($)]:[Interés
Resarcitorio($)]])</f>
        <v>66099.631999999998</v>
      </c>
      <c r="G636" s="8">
        <v>44860</v>
      </c>
      <c r="H636" s="80" t="s">
        <v>61</v>
      </c>
      <c r="I636" s="79" t="s">
        <v>7</v>
      </c>
      <c r="J636" s="81">
        <v>60</v>
      </c>
      <c r="K636" t="s">
        <v>47</v>
      </c>
    </row>
    <row r="637" spans="2:11" x14ac:dyDescent="0.25">
      <c r="B637" s="2">
        <v>8</v>
      </c>
      <c r="C637" s="4">
        <v>13505.45</v>
      </c>
      <c r="D637" s="4">
        <v>40943.120999999999</v>
      </c>
      <c r="E637" s="79">
        <v>0</v>
      </c>
      <c r="F637" s="79">
        <f>SUM(BASE_DATOS[[#This Row],[Capital($)]:[Interés
Resarcitorio($)]])</f>
        <v>54448.570999999996</v>
      </c>
      <c r="G637" s="8">
        <v>44881</v>
      </c>
      <c r="H637" s="80" t="s">
        <v>61</v>
      </c>
      <c r="I637" s="79" t="s">
        <v>9</v>
      </c>
      <c r="J637" s="81">
        <v>60</v>
      </c>
      <c r="K637" t="s">
        <v>47</v>
      </c>
    </row>
    <row r="638" spans="2:11" x14ac:dyDescent="0.25">
      <c r="B638" s="2">
        <f>+B637</f>
        <v>8</v>
      </c>
      <c r="C638" s="4">
        <v>13505.45</v>
      </c>
      <c r="D638" s="4">
        <v>40943.120999999999</v>
      </c>
      <c r="E638" s="79">
        <v>10726.37</v>
      </c>
      <c r="F638" s="79">
        <f>SUM(BASE_DATOS[[#This Row],[Capital($)]:[Interés
Resarcitorio($)]])</f>
        <v>65174.940999999999</v>
      </c>
      <c r="G638" s="8">
        <v>44891</v>
      </c>
      <c r="H638" s="80" t="s">
        <v>61</v>
      </c>
      <c r="I638" s="79" t="s">
        <v>7</v>
      </c>
      <c r="J638" s="81">
        <v>60</v>
      </c>
      <c r="K638" t="s">
        <v>47</v>
      </c>
    </row>
    <row r="639" spans="2:11" x14ac:dyDescent="0.25">
      <c r="B639" s="2">
        <v>9</v>
      </c>
      <c r="C639" s="4">
        <v>13505.45</v>
      </c>
      <c r="D639" s="4">
        <v>40170.609000000004</v>
      </c>
      <c r="E639" s="79">
        <v>0</v>
      </c>
      <c r="F639" s="79">
        <f>SUM(BASE_DATOS[[#This Row],[Capital($)]:[Interés
Resarcitorio($)]])</f>
        <v>53676.059000000008</v>
      </c>
      <c r="G639" s="8">
        <v>44911</v>
      </c>
      <c r="H639" s="80" t="s">
        <v>61</v>
      </c>
      <c r="I639" s="79" t="s">
        <v>9</v>
      </c>
      <c r="J639" s="81">
        <v>60</v>
      </c>
      <c r="K639" t="s">
        <v>47</v>
      </c>
    </row>
    <row r="640" spans="2:11" x14ac:dyDescent="0.25">
      <c r="B640" s="2">
        <f>+B639</f>
        <v>9</v>
      </c>
      <c r="C640" s="4">
        <v>13505.45</v>
      </c>
      <c r="D640" s="4">
        <v>40170.609000000004</v>
      </c>
      <c r="E640" s="79">
        <v>10574.18</v>
      </c>
      <c r="F640" s="79">
        <f>SUM(BASE_DATOS[[#This Row],[Capital($)]:[Interés
Resarcitorio($)]])</f>
        <v>64250.239000000009</v>
      </c>
      <c r="G640" s="8">
        <v>44921</v>
      </c>
      <c r="H640" s="80" t="s">
        <v>61</v>
      </c>
      <c r="I640" s="79" t="s">
        <v>7</v>
      </c>
      <c r="J640" s="81">
        <v>60</v>
      </c>
      <c r="K640" t="s">
        <v>47</v>
      </c>
    </row>
    <row r="641" spans="2:11" x14ac:dyDescent="0.25">
      <c r="B641" s="2">
        <v>10</v>
      </c>
      <c r="C641" s="4">
        <v>13505.45</v>
      </c>
      <c r="D641" s="4">
        <v>39398.096999999994</v>
      </c>
      <c r="E641" s="79">
        <v>0</v>
      </c>
      <c r="F641" s="79">
        <f>SUM(BASE_DATOS[[#This Row],[Capital($)]:[Interés
Resarcitorio($)]])</f>
        <v>52903.546999999991</v>
      </c>
      <c r="G641" s="8">
        <v>44942</v>
      </c>
      <c r="H641" s="80" t="s">
        <v>61</v>
      </c>
      <c r="I641" s="79" t="s">
        <v>9</v>
      </c>
      <c r="J641" s="81">
        <v>60</v>
      </c>
      <c r="K641" t="s">
        <v>47</v>
      </c>
    </row>
    <row r="642" spans="2:11" x14ac:dyDescent="0.25">
      <c r="B642" s="2">
        <f>+B641</f>
        <v>10</v>
      </c>
      <c r="C642" s="4">
        <v>13505.45</v>
      </c>
      <c r="D642" s="4">
        <v>39398.096999999994</v>
      </c>
      <c r="E642" s="79">
        <v>10422</v>
      </c>
      <c r="F642" s="79">
        <f>SUM(BASE_DATOS[[#This Row],[Capital($)]:[Interés
Resarcitorio($)]])</f>
        <v>63325.546999999991</v>
      </c>
      <c r="G642" s="8">
        <v>44952</v>
      </c>
      <c r="H642" s="80" t="s">
        <v>61</v>
      </c>
      <c r="I642" s="79" t="s">
        <v>7</v>
      </c>
      <c r="J642" s="81">
        <v>60</v>
      </c>
      <c r="K642" t="s">
        <v>47</v>
      </c>
    </row>
    <row r="643" spans="2:11" x14ac:dyDescent="0.25">
      <c r="B643" s="2">
        <v>11</v>
      </c>
      <c r="C643" s="4">
        <v>13505.45</v>
      </c>
      <c r="D643" s="4">
        <v>38625.584999999999</v>
      </c>
      <c r="E643" s="79">
        <v>0</v>
      </c>
      <c r="F643" s="79">
        <f>SUM(BASE_DATOS[[#This Row],[Capital($)]:[Interés
Resarcitorio($)]])</f>
        <v>52131.035000000003</v>
      </c>
      <c r="G643" s="8">
        <v>44973</v>
      </c>
      <c r="H643" s="80" t="s">
        <v>61</v>
      </c>
      <c r="I643" s="79" t="s">
        <v>9</v>
      </c>
      <c r="J643" s="81">
        <v>60</v>
      </c>
      <c r="K643" t="s">
        <v>47</v>
      </c>
    </row>
    <row r="644" spans="2:11" x14ac:dyDescent="0.25">
      <c r="B644" s="2">
        <f>+B643</f>
        <v>11</v>
      </c>
      <c r="C644" s="4">
        <v>13505.45</v>
      </c>
      <c r="D644" s="4">
        <v>38625.584999999999</v>
      </c>
      <c r="E644" s="79">
        <v>10269.81</v>
      </c>
      <c r="F644" s="79">
        <f>SUM(BASE_DATOS[[#This Row],[Capital($)]:[Interés
Resarcitorio($)]])</f>
        <v>62400.845000000001</v>
      </c>
      <c r="G644" s="8">
        <v>44983</v>
      </c>
      <c r="H644" s="80" t="s">
        <v>61</v>
      </c>
      <c r="I644" s="79" t="s">
        <v>7</v>
      </c>
      <c r="J644" s="81">
        <v>60</v>
      </c>
      <c r="K644" t="s">
        <v>47</v>
      </c>
    </row>
    <row r="645" spans="2:11" x14ac:dyDescent="0.25">
      <c r="B645" s="2">
        <v>12</v>
      </c>
      <c r="C645" s="4">
        <v>13505.45</v>
      </c>
      <c r="D645" s="4">
        <v>37853.074000000001</v>
      </c>
      <c r="E645" s="79">
        <v>0</v>
      </c>
      <c r="F645" s="79">
        <f>SUM(BASE_DATOS[[#This Row],[Capital($)]:[Interés
Resarcitorio($)]])</f>
        <v>51358.524000000005</v>
      </c>
      <c r="G645" s="8">
        <v>45001</v>
      </c>
      <c r="H645" s="80" t="s">
        <v>61</v>
      </c>
      <c r="I645" s="79" t="s">
        <v>9</v>
      </c>
      <c r="J645" s="81">
        <v>60</v>
      </c>
      <c r="K645" t="s">
        <v>47</v>
      </c>
    </row>
    <row r="646" spans="2:11" x14ac:dyDescent="0.25">
      <c r="B646" s="2">
        <f>+B645</f>
        <v>12</v>
      </c>
      <c r="C646" s="4">
        <v>13505.45</v>
      </c>
      <c r="D646" s="4">
        <v>37853.074000000001</v>
      </c>
      <c r="E646" s="79">
        <v>10117.629999999999</v>
      </c>
      <c r="F646" s="79">
        <f>SUM(BASE_DATOS[[#This Row],[Capital($)]:[Interés
Resarcitorio($)]])</f>
        <v>61476.154000000002</v>
      </c>
      <c r="G646" s="8">
        <v>45011</v>
      </c>
      <c r="H646" s="80" t="s">
        <v>61</v>
      </c>
      <c r="I646" s="79" t="s">
        <v>7</v>
      </c>
      <c r="J646" s="81">
        <v>60</v>
      </c>
      <c r="K646" t="s">
        <v>47</v>
      </c>
    </row>
    <row r="647" spans="2:11" x14ac:dyDescent="0.25">
      <c r="B647" s="2">
        <v>13</v>
      </c>
      <c r="C647" s="4">
        <v>13505.45</v>
      </c>
      <c r="D647" s="4">
        <v>38895.694000000003</v>
      </c>
      <c r="E647" s="79">
        <v>0</v>
      </c>
      <c r="F647" s="79">
        <f>SUM(BASE_DATOS[[#This Row],[Capital($)]:[Interés
Resarcitorio($)]])</f>
        <v>52401.144</v>
      </c>
      <c r="G647" s="8">
        <v>45032</v>
      </c>
      <c r="H647" s="80" t="s">
        <v>61</v>
      </c>
      <c r="I647" s="79" t="s">
        <v>9</v>
      </c>
      <c r="J647" s="81">
        <v>60</v>
      </c>
      <c r="K647" t="s">
        <v>47</v>
      </c>
    </row>
    <row r="648" spans="2:11" x14ac:dyDescent="0.25">
      <c r="B648" s="2">
        <f>+B647</f>
        <v>13</v>
      </c>
      <c r="C648" s="4">
        <v>13505.45</v>
      </c>
      <c r="D648" s="4">
        <v>38895.694000000003</v>
      </c>
      <c r="E648" s="79">
        <v>10323.030000000001</v>
      </c>
      <c r="F648" s="79">
        <f>SUM(BASE_DATOS[[#This Row],[Capital($)]:[Interés
Resarcitorio($)]])</f>
        <v>62724.173999999999</v>
      </c>
      <c r="G648" s="8">
        <v>45042</v>
      </c>
      <c r="H648" s="80" t="s">
        <v>61</v>
      </c>
      <c r="I648" s="79" t="s">
        <v>7</v>
      </c>
      <c r="J648" s="81">
        <v>60</v>
      </c>
      <c r="K648" t="s">
        <v>47</v>
      </c>
    </row>
    <row r="649" spans="2:11" x14ac:dyDescent="0.25">
      <c r="B649" s="2">
        <v>14</v>
      </c>
      <c r="C649" s="4">
        <v>13505.45</v>
      </c>
      <c r="D649" s="4">
        <v>38085.366999999998</v>
      </c>
      <c r="E649" s="79">
        <v>0</v>
      </c>
      <c r="F649" s="79">
        <f>SUM(BASE_DATOS[[#This Row],[Capital($)]:[Interés
Resarcitorio($)]])</f>
        <v>51590.816999999995</v>
      </c>
      <c r="G649" s="8">
        <v>45062</v>
      </c>
      <c r="H649" s="80" t="s">
        <v>61</v>
      </c>
      <c r="I649" s="79" t="s">
        <v>9</v>
      </c>
      <c r="J649" s="81">
        <v>60</v>
      </c>
      <c r="K649" t="s">
        <v>47</v>
      </c>
    </row>
    <row r="650" spans="2:11" x14ac:dyDescent="0.25">
      <c r="B650" s="2">
        <f>+B649</f>
        <v>14</v>
      </c>
      <c r="C650" s="4">
        <v>13505.45</v>
      </c>
      <c r="D650" s="4">
        <v>38085.366999999998</v>
      </c>
      <c r="E650" s="79">
        <v>10163.39</v>
      </c>
      <c r="F650" s="79">
        <f>SUM(BASE_DATOS[[#This Row],[Capital($)]:[Interés
Resarcitorio($)]])</f>
        <v>61754.206999999995</v>
      </c>
      <c r="G650" s="8">
        <v>45072</v>
      </c>
      <c r="H650" s="80" t="s">
        <v>61</v>
      </c>
      <c r="I650" s="79" t="s">
        <v>7</v>
      </c>
      <c r="J650" s="81">
        <v>60</v>
      </c>
      <c r="K650" t="s">
        <v>47</v>
      </c>
    </row>
    <row r="651" spans="2:11" x14ac:dyDescent="0.25">
      <c r="B651" s="2">
        <v>15</v>
      </c>
      <c r="C651" s="4">
        <v>13505.45</v>
      </c>
      <c r="D651" s="4">
        <v>37275.040000000001</v>
      </c>
      <c r="E651" s="79">
        <v>0</v>
      </c>
      <c r="F651" s="79">
        <f>SUM(BASE_DATOS[[#This Row],[Capital($)]:[Interés
Resarcitorio($)]])</f>
        <v>50780.490000000005</v>
      </c>
      <c r="G651" s="8">
        <v>45093</v>
      </c>
      <c r="H651" s="80" t="s">
        <v>61</v>
      </c>
      <c r="I651" s="79" t="s">
        <v>9</v>
      </c>
      <c r="J651" s="81">
        <v>60</v>
      </c>
      <c r="K651" t="s">
        <v>47</v>
      </c>
    </row>
    <row r="652" spans="2:11" x14ac:dyDescent="0.25">
      <c r="B652" s="2">
        <f>+B651</f>
        <v>15</v>
      </c>
      <c r="C652" s="4">
        <v>13505.45</v>
      </c>
      <c r="D652" s="4">
        <v>37275.040000000001</v>
      </c>
      <c r="E652" s="79">
        <v>10003.76</v>
      </c>
      <c r="F652" s="79">
        <f>SUM(BASE_DATOS[[#This Row],[Capital($)]:[Interés
Resarcitorio($)]])</f>
        <v>60784.250000000007</v>
      </c>
      <c r="G652" s="8">
        <v>45103</v>
      </c>
      <c r="H652" s="80" t="s">
        <v>61</v>
      </c>
      <c r="I652" s="79" t="s">
        <v>7</v>
      </c>
      <c r="J652" s="81">
        <v>60</v>
      </c>
      <c r="K652" t="s">
        <v>47</v>
      </c>
    </row>
    <row r="653" spans="2:11" x14ac:dyDescent="0.25">
      <c r="B653" s="2">
        <v>16</v>
      </c>
      <c r="C653" s="4">
        <v>13505.45</v>
      </c>
      <c r="D653" s="4">
        <v>36464.713000000003</v>
      </c>
      <c r="E653" s="79">
        <v>0</v>
      </c>
      <c r="F653" s="79">
        <f>SUM(BASE_DATOS[[#This Row],[Capital($)]:[Interés
Resarcitorio($)]])</f>
        <v>49970.163</v>
      </c>
      <c r="G653" s="8">
        <v>45123</v>
      </c>
      <c r="H653" s="80" t="s">
        <v>61</v>
      </c>
      <c r="I653" s="79" t="s">
        <v>9</v>
      </c>
      <c r="J653" s="81">
        <v>60</v>
      </c>
      <c r="K653" t="s">
        <v>47</v>
      </c>
    </row>
    <row r="654" spans="2:11" x14ac:dyDescent="0.25">
      <c r="B654" s="2">
        <f>+B653</f>
        <v>16</v>
      </c>
      <c r="C654" s="4">
        <v>13505.45</v>
      </c>
      <c r="D654" s="4">
        <v>36464.713000000003</v>
      </c>
      <c r="E654" s="79">
        <v>9844.1200000000008</v>
      </c>
      <c r="F654" s="79">
        <f>SUM(BASE_DATOS[[#This Row],[Capital($)]:[Interés
Resarcitorio($)]])</f>
        <v>59814.283000000003</v>
      </c>
      <c r="G654" s="8">
        <v>45133</v>
      </c>
      <c r="H654" s="80" t="s">
        <v>61</v>
      </c>
      <c r="I654" s="79" t="s">
        <v>7</v>
      </c>
      <c r="J654" s="81">
        <v>60</v>
      </c>
      <c r="K654" t="s">
        <v>47</v>
      </c>
    </row>
    <row r="655" spans="2:11" x14ac:dyDescent="0.25">
      <c r="B655" s="2">
        <v>17</v>
      </c>
      <c r="C655" s="4">
        <v>13505.45</v>
      </c>
      <c r="D655" s="4">
        <v>35654.385999999999</v>
      </c>
      <c r="E655" s="79">
        <v>0</v>
      </c>
      <c r="F655" s="79">
        <f>SUM(BASE_DATOS[[#This Row],[Capital($)]:[Interés
Resarcitorio($)]])</f>
        <v>49159.835999999996</v>
      </c>
      <c r="G655" s="8">
        <v>45154</v>
      </c>
      <c r="H655" s="80" t="s">
        <v>61</v>
      </c>
      <c r="I655" s="79" t="s">
        <v>9</v>
      </c>
      <c r="J655" s="81">
        <v>60</v>
      </c>
      <c r="K655" t="s">
        <v>47</v>
      </c>
    </row>
    <row r="656" spans="2:11" x14ac:dyDescent="0.25">
      <c r="B656" s="2">
        <f>+B655</f>
        <v>17</v>
      </c>
      <c r="C656" s="4">
        <v>13505.45</v>
      </c>
      <c r="D656" s="4">
        <v>35654.385999999999</v>
      </c>
      <c r="E656" s="79">
        <v>9684.49</v>
      </c>
      <c r="F656" s="79">
        <f>SUM(BASE_DATOS[[#This Row],[Capital($)]:[Interés
Resarcitorio($)]])</f>
        <v>58844.325999999994</v>
      </c>
      <c r="G656" s="8">
        <v>45164</v>
      </c>
      <c r="H656" s="80" t="s">
        <v>61</v>
      </c>
      <c r="I656" s="79" t="s">
        <v>7</v>
      </c>
      <c r="J656" s="81">
        <v>60</v>
      </c>
      <c r="K656" t="s">
        <v>47</v>
      </c>
    </row>
    <row r="657" spans="2:11" x14ac:dyDescent="0.25">
      <c r="B657" s="2">
        <v>18</v>
      </c>
      <c r="C657" s="4">
        <v>13505.45</v>
      </c>
      <c r="D657" s="4">
        <v>34844.059000000001</v>
      </c>
      <c r="E657" s="79">
        <v>0</v>
      </c>
      <c r="F657" s="79">
        <f>SUM(BASE_DATOS[[#This Row],[Capital($)]:[Interés
Resarcitorio($)]])</f>
        <v>48349.509000000005</v>
      </c>
      <c r="G657" s="8">
        <v>45185</v>
      </c>
      <c r="H657" s="80" t="s">
        <v>61</v>
      </c>
      <c r="I657" s="79" t="s">
        <v>9</v>
      </c>
      <c r="J657" s="81">
        <v>60</v>
      </c>
      <c r="K657" t="s">
        <v>47</v>
      </c>
    </row>
    <row r="658" spans="2:11" x14ac:dyDescent="0.25">
      <c r="B658" s="2">
        <f>+B657</f>
        <v>18</v>
      </c>
      <c r="C658" s="4">
        <v>13505.45</v>
      </c>
      <c r="D658" s="4">
        <v>34844.059000000001</v>
      </c>
      <c r="E658" s="79">
        <v>9524.85</v>
      </c>
      <c r="F658" s="79">
        <f>SUM(BASE_DATOS[[#This Row],[Capital($)]:[Interés
Resarcitorio($)]])</f>
        <v>57874.359000000004</v>
      </c>
      <c r="G658" s="8">
        <v>45195</v>
      </c>
      <c r="H658" s="80" t="s">
        <v>61</v>
      </c>
      <c r="I658" s="79" t="s">
        <v>7</v>
      </c>
      <c r="J658" s="81">
        <v>60</v>
      </c>
      <c r="K658" t="s">
        <v>47</v>
      </c>
    </row>
    <row r="659" spans="2:11" x14ac:dyDescent="0.25">
      <c r="B659" s="2">
        <v>19</v>
      </c>
      <c r="C659" s="4">
        <v>13505.45</v>
      </c>
      <c r="D659" s="4">
        <v>53206.068000000007</v>
      </c>
      <c r="E659" s="79">
        <v>0</v>
      </c>
      <c r="F659" s="79">
        <f>SUM(BASE_DATOS[[#This Row],[Capital($)]:[Interés
Resarcitorio($)]])</f>
        <v>66711.518000000011</v>
      </c>
      <c r="G659" s="8">
        <v>45215</v>
      </c>
      <c r="H659" s="80" t="s">
        <v>61</v>
      </c>
      <c r="I659" s="79" t="s">
        <v>9</v>
      </c>
      <c r="J659" s="81">
        <v>60</v>
      </c>
      <c r="K659" t="s">
        <v>47</v>
      </c>
    </row>
    <row r="660" spans="2:11" x14ac:dyDescent="0.25">
      <c r="B660" s="2">
        <f>+B659</f>
        <v>19</v>
      </c>
      <c r="C660" s="4">
        <v>13505.45</v>
      </c>
      <c r="D660" s="4">
        <v>53206.068000000007</v>
      </c>
      <c r="E660" s="79">
        <v>13142.17</v>
      </c>
      <c r="F660" s="79">
        <f>SUM(BASE_DATOS[[#This Row],[Capital($)]:[Interés
Resarcitorio($)]])</f>
        <v>79853.688000000009</v>
      </c>
      <c r="G660" s="8">
        <v>45225</v>
      </c>
      <c r="H660" s="80" t="s">
        <v>61</v>
      </c>
      <c r="I660" s="79" t="s">
        <v>7</v>
      </c>
      <c r="J660" s="81">
        <v>60</v>
      </c>
      <c r="K660" t="s">
        <v>47</v>
      </c>
    </row>
    <row r="661" spans="2:11" x14ac:dyDescent="0.25">
      <c r="B661" s="2">
        <v>20</v>
      </c>
      <c r="C661" s="4">
        <v>13505.45</v>
      </c>
      <c r="D661" s="4">
        <v>51939.256999999998</v>
      </c>
      <c r="E661" s="79">
        <v>0</v>
      </c>
      <c r="F661" s="79">
        <f>SUM(BASE_DATOS[[#This Row],[Capital($)]:[Interés
Resarcitorio($)]])</f>
        <v>65444.706999999995</v>
      </c>
      <c r="G661" s="8">
        <v>45246</v>
      </c>
      <c r="H661" s="80" t="s">
        <v>61</v>
      </c>
      <c r="I661" s="79" t="s">
        <v>9</v>
      </c>
      <c r="J661" s="81">
        <v>60</v>
      </c>
      <c r="K661" t="s">
        <v>47</v>
      </c>
    </row>
    <row r="662" spans="2:11" x14ac:dyDescent="0.25">
      <c r="B662" s="2">
        <f>+B661</f>
        <v>20</v>
      </c>
      <c r="C662" s="4">
        <v>13505.45</v>
      </c>
      <c r="D662" s="4">
        <v>51939.256999999998</v>
      </c>
      <c r="E662" s="79">
        <v>12892.61</v>
      </c>
      <c r="F662" s="79">
        <f>SUM(BASE_DATOS[[#This Row],[Capital($)]:[Interés
Resarcitorio($)]])</f>
        <v>78337.316999999995</v>
      </c>
      <c r="G662" s="8">
        <v>45256</v>
      </c>
      <c r="H662" s="80" t="s">
        <v>61</v>
      </c>
      <c r="I662" s="79" t="s">
        <v>7</v>
      </c>
      <c r="J662" s="81">
        <v>60</v>
      </c>
      <c r="K662" t="s">
        <v>47</v>
      </c>
    </row>
    <row r="663" spans="2:11" x14ac:dyDescent="0.25">
      <c r="B663" s="2">
        <v>21</v>
      </c>
      <c r="C663" s="4">
        <v>13505.45</v>
      </c>
      <c r="D663" s="4">
        <v>50672.446000000004</v>
      </c>
      <c r="E663" s="79">
        <v>0</v>
      </c>
      <c r="F663" s="79">
        <f>SUM(BASE_DATOS[[#This Row],[Capital($)]:[Interés
Resarcitorio($)]])</f>
        <v>64177.896000000008</v>
      </c>
      <c r="G663" s="8">
        <v>45276</v>
      </c>
      <c r="H663" s="80" t="s">
        <v>61</v>
      </c>
      <c r="I663" s="79" t="s">
        <v>9</v>
      </c>
      <c r="J663" s="81">
        <v>60</v>
      </c>
      <c r="K663" t="s">
        <v>47</v>
      </c>
    </row>
    <row r="664" spans="2:11" x14ac:dyDescent="0.25">
      <c r="B664" s="2">
        <f>+B663</f>
        <v>21</v>
      </c>
      <c r="C664" s="4">
        <v>13505.45</v>
      </c>
      <c r="D664" s="4">
        <v>50672.446000000004</v>
      </c>
      <c r="E664" s="79">
        <v>12643.05</v>
      </c>
      <c r="F664" s="79">
        <f>SUM(BASE_DATOS[[#This Row],[Capital($)]:[Interés
Resarcitorio($)]])</f>
        <v>76820.946000000011</v>
      </c>
      <c r="G664" s="8">
        <v>45286</v>
      </c>
      <c r="H664" s="80" t="s">
        <v>61</v>
      </c>
      <c r="I664" s="79" t="s">
        <v>7</v>
      </c>
      <c r="J664" s="81">
        <v>60</v>
      </c>
      <c r="K664" t="s">
        <v>47</v>
      </c>
    </row>
    <row r="665" spans="2:11" x14ac:dyDescent="0.25">
      <c r="B665" s="2">
        <v>22</v>
      </c>
      <c r="C665" s="4">
        <v>13505.45</v>
      </c>
      <c r="D665" s="4">
        <v>49405.634999999995</v>
      </c>
      <c r="E665" s="79">
        <v>0</v>
      </c>
      <c r="F665" s="79">
        <f>SUM(BASE_DATOS[[#This Row],[Capital($)]:[Interés
Resarcitorio($)]])</f>
        <v>62911.084999999992</v>
      </c>
      <c r="G665" s="8">
        <v>45307</v>
      </c>
      <c r="H665" s="80" t="s">
        <v>61</v>
      </c>
      <c r="I665" s="79" t="s">
        <v>9</v>
      </c>
      <c r="J665" s="81">
        <v>60</v>
      </c>
      <c r="K665" t="s">
        <v>47</v>
      </c>
    </row>
    <row r="666" spans="2:11" x14ac:dyDescent="0.25">
      <c r="B666" s="2">
        <f>+B665</f>
        <v>22</v>
      </c>
      <c r="C666" s="4">
        <v>13505.45</v>
      </c>
      <c r="D666" s="4">
        <v>49405.634999999995</v>
      </c>
      <c r="E666" s="79">
        <v>12393.48</v>
      </c>
      <c r="F666" s="79">
        <f>SUM(BASE_DATOS[[#This Row],[Capital($)]:[Interés
Resarcitorio($)]])</f>
        <v>75304.564999999988</v>
      </c>
      <c r="G666" s="8">
        <v>45317</v>
      </c>
      <c r="H666" s="80" t="s">
        <v>61</v>
      </c>
      <c r="I666" s="79" t="s">
        <v>7</v>
      </c>
      <c r="J666" s="81">
        <v>60</v>
      </c>
      <c r="K666" t="s">
        <v>47</v>
      </c>
    </row>
    <row r="667" spans="2:11" x14ac:dyDescent="0.25">
      <c r="B667" s="2">
        <v>23</v>
      </c>
      <c r="C667" s="4">
        <v>13505.45</v>
      </c>
      <c r="D667" s="4">
        <v>48138.822999999997</v>
      </c>
      <c r="E667" s="79">
        <v>0</v>
      </c>
      <c r="F667" s="79">
        <f>SUM(BASE_DATOS[[#This Row],[Capital($)]:[Interés
Resarcitorio($)]])</f>
        <v>61644.273000000001</v>
      </c>
      <c r="G667" s="8">
        <v>45338</v>
      </c>
      <c r="H667" s="80" t="s">
        <v>61</v>
      </c>
      <c r="I667" s="79" t="s">
        <v>9</v>
      </c>
      <c r="J667" s="81">
        <v>60</v>
      </c>
      <c r="K667" t="s">
        <v>47</v>
      </c>
    </row>
    <row r="668" spans="2:11" x14ac:dyDescent="0.25">
      <c r="B668" s="2">
        <f>+B667</f>
        <v>23</v>
      </c>
      <c r="C668" s="4">
        <v>13505.45</v>
      </c>
      <c r="D668" s="4">
        <v>48138.822999999997</v>
      </c>
      <c r="E668" s="79">
        <v>31376.93</v>
      </c>
      <c r="F668" s="79">
        <f>SUM(BASE_DATOS[[#This Row],[Capital($)]:[Interés
Resarcitorio($)]])</f>
        <v>93021.203000000009</v>
      </c>
      <c r="G668" s="8">
        <v>45348</v>
      </c>
      <c r="H668" s="80" t="s">
        <v>61</v>
      </c>
      <c r="I668" s="79" t="s">
        <v>7</v>
      </c>
      <c r="J668" s="81">
        <v>60</v>
      </c>
      <c r="K668" t="s">
        <v>47</v>
      </c>
    </row>
    <row r="669" spans="2:11" x14ac:dyDescent="0.25">
      <c r="B669" s="2">
        <v>24</v>
      </c>
      <c r="C669" s="4">
        <v>13505.45</v>
      </c>
      <c r="D669" s="4">
        <v>46872.012000000002</v>
      </c>
      <c r="E669" s="79">
        <v>0</v>
      </c>
      <c r="F669" s="79">
        <f>SUM(BASE_DATOS[[#This Row],[Capital($)]:[Interés
Resarcitorio($)]])</f>
        <v>60377.462</v>
      </c>
      <c r="G669" s="8">
        <v>45367</v>
      </c>
      <c r="H669" s="80" t="s">
        <v>61</v>
      </c>
      <c r="I669" s="79" t="s">
        <v>9</v>
      </c>
      <c r="J669" s="81">
        <v>60</v>
      </c>
      <c r="K669" t="s">
        <v>47</v>
      </c>
    </row>
    <row r="670" spans="2:11" x14ac:dyDescent="0.25">
      <c r="B670" s="2">
        <f>+B669</f>
        <v>24</v>
      </c>
      <c r="C670" s="4">
        <v>13505.45</v>
      </c>
      <c r="D670" s="4">
        <v>46872.012000000002</v>
      </c>
      <c r="E670" s="79">
        <v>30732.13</v>
      </c>
      <c r="F670" s="79">
        <f>SUM(BASE_DATOS[[#This Row],[Capital($)]:[Interés
Resarcitorio($)]])</f>
        <v>91109.592000000004</v>
      </c>
      <c r="G670" s="8">
        <v>45377</v>
      </c>
      <c r="H670" s="80" t="s">
        <v>61</v>
      </c>
      <c r="I670" s="79" t="s">
        <v>7</v>
      </c>
      <c r="J670" s="81">
        <v>60</v>
      </c>
      <c r="K670" t="s">
        <v>47</v>
      </c>
    </row>
    <row r="671" spans="2:11" x14ac:dyDescent="0.25">
      <c r="B671" s="2">
        <v>25</v>
      </c>
      <c r="C671" s="4">
        <v>13505.45</v>
      </c>
      <c r="D671" s="4">
        <v>28831.433000000001</v>
      </c>
      <c r="E671" s="79">
        <v>0</v>
      </c>
      <c r="F671" s="79">
        <f>SUM(BASE_DATOS[[#This Row],[Capital($)]:[Interés
Resarcitorio($)]])</f>
        <v>42336.883000000002</v>
      </c>
      <c r="G671" s="8">
        <v>45398</v>
      </c>
      <c r="H671" s="80" t="s">
        <v>61</v>
      </c>
      <c r="I671" s="79" t="s">
        <v>9</v>
      </c>
      <c r="J671" s="81">
        <v>60</v>
      </c>
      <c r="K671" t="s">
        <v>47</v>
      </c>
    </row>
    <row r="672" spans="2:11" x14ac:dyDescent="0.25">
      <c r="B672" s="2">
        <f>+B671</f>
        <v>25</v>
      </c>
      <c r="C672" s="4">
        <v>13505.45</v>
      </c>
      <c r="D672" s="4">
        <v>28831.433000000001</v>
      </c>
      <c r="E672" s="79">
        <v>17033.54</v>
      </c>
      <c r="F672" s="79">
        <f>SUM(BASE_DATOS[[#This Row],[Capital($)]:[Interés
Resarcitorio($)]])</f>
        <v>59370.423000000003</v>
      </c>
      <c r="G672" s="8">
        <v>45408</v>
      </c>
      <c r="H672" s="80" t="s">
        <v>61</v>
      </c>
      <c r="I672" s="79" t="s">
        <v>7</v>
      </c>
      <c r="J672" s="81">
        <v>60</v>
      </c>
      <c r="K672" t="s">
        <v>47</v>
      </c>
    </row>
    <row r="673" spans="2:11" x14ac:dyDescent="0.25">
      <c r="B673" s="2">
        <v>26</v>
      </c>
      <c r="C673" s="4">
        <v>13505.45</v>
      </c>
      <c r="D673" s="4">
        <v>28030.559999999998</v>
      </c>
      <c r="E673" s="79">
        <v>0</v>
      </c>
      <c r="F673" s="79">
        <f>SUM(BASE_DATOS[[#This Row],[Capital($)]:[Interés
Resarcitorio($)]])</f>
        <v>41536.009999999995</v>
      </c>
      <c r="G673" s="8">
        <v>45428</v>
      </c>
      <c r="H673" s="80" t="s">
        <v>61</v>
      </c>
      <c r="I673" s="79" t="s">
        <v>9</v>
      </c>
      <c r="J673" s="81">
        <v>60</v>
      </c>
      <c r="K673" t="s">
        <v>47</v>
      </c>
    </row>
    <row r="674" spans="2:11" x14ac:dyDescent="0.25">
      <c r="B674" s="2">
        <f>+B673</f>
        <v>26</v>
      </c>
      <c r="C674" s="4">
        <v>13505.45</v>
      </c>
      <c r="D674" s="4">
        <v>28030.559999999998</v>
      </c>
      <c r="E674" s="79">
        <v>16711.32</v>
      </c>
      <c r="F674" s="79">
        <f>SUM(BASE_DATOS[[#This Row],[Capital($)]:[Interés
Resarcitorio($)]])</f>
        <v>58247.329999999994</v>
      </c>
      <c r="G674" s="8">
        <v>45438</v>
      </c>
      <c r="H674" s="80" t="s">
        <v>61</v>
      </c>
      <c r="I674" s="79" t="s">
        <v>7</v>
      </c>
      <c r="J674" s="81">
        <v>60</v>
      </c>
      <c r="K674" t="s">
        <v>47</v>
      </c>
    </row>
    <row r="675" spans="2:11" x14ac:dyDescent="0.25">
      <c r="B675" s="2">
        <v>27</v>
      </c>
      <c r="C675" s="4">
        <v>13505.45</v>
      </c>
      <c r="D675" s="4">
        <v>27229.686999999998</v>
      </c>
      <c r="E675" s="79">
        <v>0</v>
      </c>
      <c r="F675" s="79">
        <f>SUM(BASE_DATOS[[#This Row],[Capital($)]:[Interés
Resarcitorio($)]])</f>
        <v>40735.137000000002</v>
      </c>
      <c r="G675" s="8">
        <v>45459</v>
      </c>
      <c r="H675" s="80" t="s">
        <v>61</v>
      </c>
      <c r="I675" s="79" t="s">
        <v>9</v>
      </c>
      <c r="J675" s="81">
        <v>60</v>
      </c>
      <c r="K675" t="s">
        <v>47</v>
      </c>
    </row>
    <row r="676" spans="2:11" x14ac:dyDescent="0.25">
      <c r="B676" s="2">
        <f>+B675</f>
        <v>27</v>
      </c>
      <c r="C676" s="4">
        <v>13505.45</v>
      </c>
      <c r="D676" s="4">
        <v>27229.686999999998</v>
      </c>
      <c r="E676" s="79">
        <v>8703.74</v>
      </c>
      <c r="F676" s="79">
        <f>SUM(BASE_DATOS[[#This Row],[Capital($)]:[Interés
Resarcitorio($)]])</f>
        <v>49438.877</v>
      </c>
      <c r="G676" s="8">
        <v>45469</v>
      </c>
      <c r="H676" s="80" t="s">
        <v>61</v>
      </c>
      <c r="I676" s="79" t="s">
        <v>7</v>
      </c>
      <c r="J676" s="81">
        <v>60</v>
      </c>
      <c r="K676" t="s">
        <v>47</v>
      </c>
    </row>
    <row r="677" spans="2:11" x14ac:dyDescent="0.25">
      <c r="B677" s="2">
        <v>28</v>
      </c>
      <c r="C677" s="4">
        <v>13505.45</v>
      </c>
      <c r="D677" s="4">
        <v>26428.813000000002</v>
      </c>
      <c r="E677" s="79">
        <v>0</v>
      </c>
      <c r="F677" s="79">
        <f>SUM(BASE_DATOS[[#This Row],[Capital($)]:[Interés
Resarcitorio($)]])</f>
        <v>39934.263000000006</v>
      </c>
      <c r="G677" s="8">
        <v>45489</v>
      </c>
      <c r="H677" s="80" t="s">
        <v>61</v>
      </c>
      <c r="I677" s="79" t="s">
        <v>9</v>
      </c>
      <c r="J677" s="81">
        <v>60</v>
      </c>
      <c r="K677" t="s">
        <v>47</v>
      </c>
    </row>
    <row r="678" spans="2:11" x14ac:dyDescent="0.25">
      <c r="B678" s="2">
        <f>+B677</f>
        <v>28</v>
      </c>
      <c r="C678" s="4">
        <v>13505.45</v>
      </c>
      <c r="D678" s="4">
        <v>26428.813000000002</v>
      </c>
      <c r="E678" s="79">
        <v>8532.6200000000008</v>
      </c>
      <c r="F678" s="79">
        <f>SUM(BASE_DATOS[[#This Row],[Capital($)]:[Interés
Resarcitorio($)]])</f>
        <v>48466.883000000009</v>
      </c>
      <c r="G678" s="8">
        <v>45499</v>
      </c>
      <c r="H678" s="80" t="s">
        <v>61</v>
      </c>
      <c r="I678" s="79" t="s">
        <v>7</v>
      </c>
      <c r="J678" s="81">
        <v>60</v>
      </c>
      <c r="K678" t="s">
        <v>47</v>
      </c>
    </row>
    <row r="679" spans="2:11" x14ac:dyDescent="0.25">
      <c r="B679" s="2">
        <v>29</v>
      </c>
      <c r="C679" s="4">
        <v>13505.45</v>
      </c>
      <c r="D679" s="4">
        <v>25627.94</v>
      </c>
      <c r="E679" s="79">
        <v>0</v>
      </c>
      <c r="F679" s="79">
        <f>SUM(BASE_DATOS[[#This Row],[Capital($)]:[Interés
Resarcitorio($)]])</f>
        <v>39133.39</v>
      </c>
      <c r="G679" s="8">
        <v>45520</v>
      </c>
      <c r="H679" s="80" t="s">
        <v>61</v>
      </c>
      <c r="I679" s="79" t="s">
        <v>9</v>
      </c>
      <c r="J679" s="81">
        <v>60</v>
      </c>
      <c r="K679" t="s">
        <v>47</v>
      </c>
    </row>
    <row r="680" spans="2:11" x14ac:dyDescent="0.25">
      <c r="B680" s="2">
        <f>+B679</f>
        <v>29</v>
      </c>
      <c r="C680" s="4">
        <v>13505.45</v>
      </c>
      <c r="D680" s="4">
        <v>25627.94</v>
      </c>
      <c r="E680" s="79">
        <v>8361.5</v>
      </c>
      <c r="F680" s="79">
        <f>SUM(BASE_DATOS[[#This Row],[Capital($)]:[Interés
Resarcitorio($)]])</f>
        <v>47494.89</v>
      </c>
      <c r="G680" s="8">
        <v>45530</v>
      </c>
      <c r="H680" s="80" t="s">
        <v>61</v>
      </c>
      <c r="I680" s="79" t="s">
        <v>7</v>
      </c>
      <c r="J680" s="81">
        <v>60</v>
      </c>
      <c r="K680" t="s">
        <v>47</v>
      </c>
    </row>
    <row r="681" spans="2:11" x14ac:dyDescent="0.25">
      <c r="B681" s="2">
        <v>30</v>
      </c>
      <c r="C681" s="4">
        <v>13505.45</v>
      </c>
      <c r="D681" s="4">
        <v>24827.067000000003</v>
      </c>
      <c r="E681" s="79">
        <v>0</v>
      </c>
      <c r="F681" s="79">
        <f>SUM(BASE_DATOS[[#This Row],[Capital($)]:[Interés
Resarcitorio($)]])</f>
        <v>38332.517000000007</v>
      </c>
      <c r="G681" s="8">
        <v>45551</v>
      </c>
      <c r="H681" s="80" t="s">
        <v>61</v>
      </c>
      <c r="I681" s="79" t="s">
        <v>9</v>
      </c>
      <c r="J681" s="81">
        <v>60</v>
      </c>
      <c r="K681" t="s">
        <v>47</v>
      </c>
    </row>
    <row r="682" spans="2:11" x14ac:dyDescent="0.25">
      <c r="B682" s="2">
        <f>+B681</f>
        <v>30</v>
      </c>
      <c r="C682" s="4">
        <v>13505.45</v>
      </c>
      <c r="D682" s="4">
        <v>24827.067000000003</v>
      </c>
      <c r="E682" s="79">
        <v>8190.38</v>
      </c>
      <c r="F682" s="79">
        <f>SUM(BASE_DATOS[[#This Row],[Capital($)]:[Interés
Resarcitorio($)]])</f>
        <v>46522.897000000004</v>
      </c>
      <c r="G682" s="8">
        <v>45561</v>
      </c>
      <c r="H682" s="80" t="s">
        <v>61</v>
      </c>
      <c r="I682" s="79" t="s">
        <v>7</v>
      </c>
      <c r="J682" s="81">
        <v>60</v>
      </c>
      <c r="K682" t="s">
        <v>47</v>
      </c>
    </row>
    <row r="683" spans="2:11" x14ac:dyDescent="0.25">
      <c r="B683" s="2">
        <v>31</v>
      </c>
      <c r="C683" s="4">
        <v>13505.45</v>
      </c>
      <c r="D683" s="4">
        <v>14059.172</v>
      </c>
      <c r="E683" s="79">
        <v>0</v>
      </c>
      <c r="F683" s="79">
        <f>SUM(BASE_DATOS[[#This Row],[Capital($)]:[Interés
Resarcitorio($)]])</f>
        <v>27564.622000000003</v>
      </c>
      <c r="G683" s="8">
        <v>45581</v>
      </c>
      <c r="H683" s="80" t="s">
        <v>61</v>
      </c>
      <c r="I683" s="79" t="s">
        <v>9</v>
      </c>
      <c r="J683" s="81">
        <v>60</v>
      </c>
      <c r="K683" t="s">
        <v>47</v>
      </c>
    </row>
    <row r="684" spans="2:11" x14ac:dyDescent="0.25">
      <c r="B684" s="2">
        <f>+B683</f>
        <v>31</v>
      </c>
      <c r="C684" s="4">
        <v>13505.45</v>
      </c>
      <c r="D684" s="4">
        <v>14059.172</v>
      </c>
      <c r="E684" s="79">
        <v>5889.64</v>
      </c>
      <c r="F684" s="79">
        <f>SUM(BASE_DATOS[[#This Row],[Capital($)]:[Interés
Resarcitorio($)]])</f>
        <v>33454.262000000002</v>
      </c>
      <c r="G684" s="8">
        <v>45591</v>
      </c>
      <c r="H684" s="80" t="s">
        <v>61</v>
      </c>
      <c r="I684" s="79" t="s">
        <v>7</v>
      </c>
      <c r="J684" s="81">
        <v>60</v>
      </c>
      <c r="K684" t="s">
        <v>47</v>
      </c>
    </row>
    <row r="685" spans="2:11" x14ac:dyDescent="0.25">
      <c r="B685" s="2">
        <v>32</v>
      </c>
      <c r="C685" s="4">
        <v>13505.45</v>
      </c>
      <c r="D685" s="4">
        <v>13590.532999999999</v>
      </c>
      <c r="E685" s="79">
        <v>0</v>
      </c>
      <c r="F685" s="79">
        <f>SUM(BASE_DATOS[[#This Row],[Capital($)]:[Interés
Resarcitorio($)]])</f>
        <v>27095.983</v>
      </c>
      <c r="G685" s="8">
        <v>45612</v>
      </c>
      <c r="H685" s="80" t="s">
        <v>61</v>
      </c>
      <c r="I685" s="79" t="s">
        <v>9</v>
      </c>
      <c r="J685" s="81">
        <v>60</v>
      </c>
      <c r="K685" t="s">
        <v>47</v>
      </c>
    </row>
    <row r="686" spans="2:11" x14ac:dyDescent="0.25">
      <c r="B686" s="2">
        <f>+B685</f>
        <v>32</v>
      </c>
      <c r="C686" s="4">
        <v>13505.45</v>
      </c>
      <c r="D686" s="4">
        <v>13590.532999999999</v>
      </c>
      <c r="E686" s="79">
        <v>5789.51</v>
      </c>
      <c r="F686" s="79">
        <f>SUM(BASE_DATOS[[#This Row],[Capital($)]:[Interés
Resarcitorio($)]])</f>
        <v>32885.493000000002</v>
      </c>
      <c r="G686" s="8">
        <v>45622</v>
      </c>
      <c r="H686" s="80" t="s">
        <v>61</v>
      </c>
      <c r="I686" s="79" t="s">
        <v>7</v>
      </c>
      <c r="J686" s="81">
        <v>60</v>
      </c>
      <c r="K686" t="s">
        <v>47</v>
      </c>
    </row>
    <row r="687" spans="2:11" x14ac:dyDescent="0.25">
      <c r="B687" s="2">
        <v>33</v>
      </c>
      <c r="C687" s="4">
        <v>13505.45</v>
      </c>
      <c r="D687" s="4">
        <v>13121.894</v>
      </c>
      <c r="E687" s="79">
        <v>0</v>
      </c>
      <c r="F687" s="79">
        <f>SUM(BASE_DATOS[[#This Row],[Capital($)]:[Interés
Resarcitorio($)]])</f>
        <v>26627.344000000001</v>
      </c>
      <c r="G687" s="8">
        <v>45642</v>
      </c>
      <c r="H687" s="80" t="s">
        <v>61</v>
      </c>
      <c r="I687" s="79" t="s">
        <v>9</v>
      </c>
      <c r="J687" s="81">
        <v>60</v>
      </c>
      <c r="K687" t="s">
        <v>47</v>
      </c>
    </row>
    <row r="688" spans="2:11" x14ac:dyDescent="0.25">
      <c r="B688" s="2">
        <f>+B687</f>
        <v>33</v>
      </c>
      <c r="C688" s="4">
        <v>13505.45</v>
      </c>
      <c r="D688" s="4">
        <v>13121.894</v>
      </c>
      <c r="E688" s="79">
        <v>6630.21</v>
      </c>
      <c r="F688" s="79">
        <f>SUM(BASE_DATOS[[#This Row],[Capital($)]:[Interés
Resarcitorio($)]])</f>
        <v>33257.554000000004</v>
      </c>
      <c r="G688" s="8">
        <v>45652</v>
      </c>
      <c r="H688" s="80" t="s">
        <v>61</v>
      </c>
      <c r="I688" s="79" t="s">
        <v>7</v>
      </c>
      <c r="J688" s="81">
        <v>60</v>
      </c>
      <c r="K688" t="s">
        <v>47</v>
      </c>
    </row>
    <row r="689" spans="2:11" x14ac:dyDescent="0.25">
      <c r="B689" s="2">
        <v>34</v>
      </c>
      <c r="C689" s="4">
        <v>13505.45</v>
      </c>
      <c r="D689" s="4">
        <v>12653.255000000001</v>
      </c>
      <c r="E689" s="79">
        <v>0</v>
      </c>
      <c r="F689" s="79">
        <f>SUM(BASE_DATOS[[#This Row],[Capital($)]:[Interés
Resarcitorio($)]])</f>
        <v>26158.705000000002</v>
      </c>
      <c r="G689" s="8">
        <v>45673</v>
      </c>
      <c r="H689" s="80" t="s">
        <v>61</v>
      </c>
      <c r="I689" s="79" t="s">
        <v>9</v>
      </c>
      <c r="J689" s="81">
        <v>60</v>
      </c>
      <c r="K689" t="s">
        <v>47</v>
      </c>
    </row>
    <row r="690" spans="2:11" x14ac:dyDescent="0.25">
      <c r="B690" s="2">
        <f>+B689</f>
        <v>34</v>
      </c>
      <c r="C690" s="4">
        <v>13505.45</v>
      </c>
      <c r="D690" s="4">
        <v>12653.255000000001</v>
      </c>
      <c r="E690" s="79">
        <v>6513.52</v>
      </c>
      <c r="F690" s="79">
        <f>SUM(BASE_DATOS[[#This Row],[Capital($)]:[Interés
Resarcitorio($)]])</f>
        <v>32672.225000000002</v>
      </c>
      <c r="G690" s="8">
        <v>45683</v>
      </c>
      <c r="H690" s="80" t="s">
        <v>61</v>
      </c>
      <c r="I690" s="79" t="s">
        <v>7</v>
      </c>
      <c r="J690" s="81">
        <v>60</v>
      </c>
      <c r="K690" t="s">
        <v>47</v>
      </c>
    </row>
    <row r="691" spans="2:11" x14ac:dyDescent="0.25">
      <c r="B691" s="2">
        <v>35</v>
      </c>
      <c r="C691" s="4">
        <v>13505.45</v>
      </c>
      <c r="D691" s="4">
        <v>12184.616</v>
      </c>
      <c r="E691" s="79">
        <v>0</v>
      </c>
      <c r="F691" s="79">
        <f>SUM(BASE_DATOS[[#This Row],[Capital($)]:[Interés
Resarcitorio($)]])</f>
        <v>25690.065999999999</v>
      </c>
      <c r="G691" s="8">
        <v>45704</v>
      </c>
      <c r="H691" s="80" t="s">
        <v>61</v>
      </c>
      <c r="I691" s="79" t="s">
        <v>9</v>
      </c>
      <c r="J691" s="81">
        <v>60</v>
      </c>
      <c r="K691" t="s">
        <v>47</v>
      </c>
    </row>
    <row r="692" spans="2:11" x14ac:dyDescent="0.25">
      <c r="B692" s="2">
        <f>+B691</f>
        <v>35</v>
      </c>
      <c r="C692" s="4">
        <v>13505.45</v>
      </c>
      <c r="D692" s="4">
        <v>12184.616</v>
      </c>
      <c r="E692" s="79">
        <v>6217</v>
      </c>
      <c r="F692" s="79">
        <f>SUM(BASE_DATOS[[#This Row],[Capital($)]:[Interés
Resarcitorio($)]])</f>
        <v>31907.065999999999</v>
      </c>
      <c r="G692" s="8">
        <v>45714</v>
      </c>
      <c r="H692" s="80" t="s">
        <v>61</v>
      </c>
      <c r="I692" s="79" t="s">
        <v>7</v>
      </c>
      <c r="J692" s="81">
        <v>60</v>
      </c>
      <c r="K692" t="s">
        <v>47</v>
      </c>
    </row>
    <row r="693" spans="2:11" x14ac:dyDescent="0.25">
      <c r="B693" s="2">
        <v>36</v>
      </c>
      <c r="C693" s="4">
        <v>13505.45</v>
      </c>
      <c r="D693" s="4">
        <v>11715.977000000001</v>
      </c>
      <c r="E693" s="79">
        <v>0</v>
      </c>
      <c r="F693" s="79">
        <f>SUM(BASE_DATOS[[#This Row],[Capital($)]:[Interés
Resarcitorio($)]])</f>
        <v>25221.427000000003</v>
      </c>
      <c r="G693" s="8">
        <v>45732</v>
      </c>
      <c r="H693" s="80" t="s">
        <v>61</v>
      </c>
      <c r="I693" s="79" t="s">
        <v>9</v>
      </c>
      <c r="J693" s="81">
        <v>60</v>
      </c>
      <c r="K693" t="s">
        <v>47</v>
      </c>
    </row>
    <row r="694" spans="2:11" x14ac:dyDescent="0.25">
      <c r="B694" s="2">
        <f>+B693</f>
        <v>36</v>
      </c>
      <c r="C694" s="4">
        <v>13505.45</v>
      </c>
      <c r="D694" s="4">
        <v>11715.977000000001</v>
      </c>
      <c r="E694" s="79">
        <v>3362.86</v>
      </c>
      <c r="F694" s="79">
        <f>SUM(BASE_DATOS[[#This Row],[Capital($)]:[Interés
Resarcitorio($)]])</f>
        <v>28584.287000000004</v>
      </c>
      <c r="G694" s="8">
        <v>45742</v>
      </c>
      <c r="H694" s="80" t="s">
        <v>61</v>
      </c>
      <c r="I694" s="79" t="s">
        <v>7</v>
      </c>
      <c r="J694" s="81">
        <v>60</v>
      </c>
      <c r="K694" t="s">
        <v>47</v>
      </c>
    </row>
    <row r="695" spans="2:11" x14ac:dyDescent="0.25">
      <c r="B695" s="2">
        <v>37</v>
      </c>
      <c r="C695" s="4">
        <v>13505.45</v>
      </c>
      <c r="D695" s="4">
        <v>8232.9220000000005</v>
      </c>
      <c r="E695" s="79">
        <v>0</v>
      </c>
      <c r="F695" s="79">
        <f>SUM(BASE_DATOS[[#This Row],[Capital($)]:[Interés
Resarcitorio($)]])</f>
        <v>21738.372000000003</v>
      </c>
      <c r="G695" s="8">
        <v>45763</v>
      </c>
      <c r="H695" s="80" t="s">
        <v>61</v>
      </c>
      <c r="I695" s="79" t="s">
        <v>9</v>
      </c>
      <c r="J695" s="81">
        <v>60</v>
      </c>
      <c r="K695" t="s">
        <v>47</v>
      </c>
    </row>
    <row r="696" spans="2:11" x14ac:dyDescent="0.25">
      <c r="B696" s="2">
        <f>+B695</f>
        <v>37</v>
      </c>
      <c r="C696" s="4">
        <v>13505.45</v>
      </c>
      <c r="D696" s="4">
        <v>8232.9220000000005</v>
      </c>
      <c r="E696" s="79">
        <v>2898.45</v>
      </c>
      <c r="F696" s="79">
        <f>SUM(BASE_DATOS[[#This Row],[Capital($)]:[Interés
Resarcitorio($)]])</f>
        <v>24636.822000000004</v>
      </c>
      <c r="G696" s="8">
        <v>45773</v>
      </c>
      <c r="H696" s="80" t="s">
        <v>61</v>
      </c>
      <c r="I696" s="79" t="s">
        <v>7</v>
      </c>
      <c r="J696" s="81">
        <v>60</v>
      </c>
      <c r="K696" t="s">
        <v>47</v>
      </c>
    </row>
    <row r="697" spans="2:11" x14ac:dyDescent="0.25">
      <c r="B697" s="2">
        <v>38</v>
      </c>
      <c r="C697" s="4">
        <v>13505.45</v>
      </c>
      <c r="D697" s="4">
        <v>7889.8829999999998</v>
      </c>
      <c r="E697" s="79">
        <v>0</v>
      </c>
      <c r="F697" s="79">
        <f>SUM(BASE_DATOS[[#This Row],[Capital($)]:[Interés
Resarcitorio($)]])</f>
        <v>21395.332999999999</v>
      </c>
      <c r="G697" s="8">
        <v>45793</v>
      </c>
      <c r="H697" s="80" t="s">
        <v>61</v>
      </c>
      <c r="I697" s="79" t="s">
        <v>9</v>
      </c>
      <c r="J697" s="81">
        <v>60</v>
      </c>
      <c r="K697" t="s">
        <v>47</v>
      </c>
    </row>
    <row r="698" spans="2:11" x14ac:dyDescent="0.25">
      <c r="B698" s="2">
        <f>+B697</f>
        <v>38</v>
      </c>
      <c r="C698" s="4">
        <v>13505.45</v>
      </c>
      <c r="D698" s="4">
        <v>7889.8829999999998</v>
      </c>
      <c r="E698" s="79">
        <v>2852.71</v>
      </c>
      <c r="F698" s="79">
        <f>SUM(BASE_DATOS[[#This Row],[Capital($)]:[Interés
Resarcitorio($)]])</f>
        <v>24248.042999999998</v>
      </c>
      <c r="G698" s="8">
        <v>45803</v>
      </c>
      <c r="H698" s="80" t="s">
        <v>61</v>
      </c>
      <c r="I698" s="79" t="s">
        <v>7</v>
      </c>
      <c r="J698" s="81">
        <v>60</v>
      </c>
      <c r="K698" t="s">
        <v>47</v>
      </c>
    </row>
    <row r="699" spans="2:11" x14ac:dyDescent="0.25">
      <c r="B699" s="2">
        <v>39</v>
      </c>
      <c r="C699" s="4">
        <v>13505.45</v>
      </c>
      <c r="D699" s="4">
        <v>7546.8449999999993</v>
      </c>
      <c r="E699" s="79">
        <v>0</v>
      </c>
      <c r="F699" s="79">
        <f>SUM(BASE_DATOS[[#This Row],[Capital($)]:[Interés
Resarcitorio($)]])</f>
        <v>21052.294999999998</v>
      </c>
      <c r="G699" s="8">
        <v>45824</v>
      </c>
      <c r="H699" s="80" t="s">
        <v>61</v>
      </c>
      <c r="I699" s="79" t="s">
        <v>9</v>
      </c>
      <c r="J699" s="81">
        <v>60</v>
      </c>
      <c r="K699" t="s">
        <v>47</v>
      </c>
    </row>
    <row r="700" spans="2:11" x14ac:dyDescent="0.25">
      <c r="B700" s="2">
        <f>+B699</f>
        <v>39</v>
      </c>
      <c r="C700" s="4">
        <v>13505.45</v>
      </c>
      <c r="D700" s="4">
        <v>7546.8449999999993</v>
      </c>
      <c r="E700" s="79">
        <v>2806.97</v>
      </c>
      <c r="F700" s="79">
        <f>SUM(BASE_DATOS[[#This Row],[Capital($)]:[Interés
Resarcitorio($)]])</f>
        <v>23859.264999999999</v>
      </c>
      <c r="G700" s="8">
        <v>45834</v>
      </c>
      <c r="H700" s="80" t="s">
        <v>61</v>
      </c>
      <c r="I700" s="79" t="s">
        <v>7</v>
      </c>
      <c r="J700" s="81">
        <v>60</v>
      </c>
      <c r="K700" t="s">
        <v>47</v>
      </c>
    </row>
    <row r="701" spans="2:11" x14ac:dyDescent="0.25">
      <c r="B701" s="2">
        <v>40</v>
      </c>
      <c r="C701" s="4">
        <v>13505.45</v>
      </c>
      <c r="D701" s="4">
        <v>7203.8059999999996</v>
      </c>
      <c r="E701" s="79">
        <v>0</v>
      </c>
      <c r="F701" s="79">
        <f>SUM(BASE_DATOS[[#This Row],[Capital($)]:[Interés
Resarcitorio($)]])</f>
        <v>20709.256000000001</v>
      </c>
      <c r="G701" s="8">
        <v>45854</v>
      </c>
      <c r="H701" s="80" t="s">
        <v>61</v>
      </c>
      <c r="I701" s="79" t="s">
        <v>6</v>
      </c>
      <c r="J701" s="81">
        <v>60</v>
      </c>
      <c r="K701" t="s">
        <v>47</v>
      </c>
    </row>
    <row r="702" spans="2:11" x14ac:dyDescent="0.25">
      <c r="B702" s="2">
        <f>+B701</f>
        <v>40</v>
      </c>
      <c r="C702" s="4">
        <v>13505.45</v>
      </c>
      <c r="D702" s="4">
        <v>7203.8059999999996</v>
      </c>
      <c r="E702" s="79">
        <v>2761.23</v>
      </c>
      <c r="F702" s="79">
        <f>SUM(BASE_DATOS[[#This Row],[Capital($)]:[Interés
Resarcitorio($)]])</f>
        <v>23470.486000000001</v>
      </c>
      <c r="G702" s="8">
        <v>45864</v>
      </c>
      <c r="H702" s="80" t="s">
        <v>61</v>
      </c>
      <c r="I702" s="79" t="s">
        <v>7</v>
      </c>
      <c r="J702" s="81">
        <v>60</v>
      </c>
      <c r="K702" t="s">
        <v>47</v>
      </c>
    </row>
    <row r="703" spans="2:11" x14ac:dyDescent="0.25">
      <c r="B703" s="2">
        <v>41</v>
      </c>
      <c r="C703" s="4">
        <v>13505.45</v>
      </c>
      <c r="D703" s="4">
        <v>6860.7679999999991</v>
      </c>
      <c r="E703" s="79">
        <v>0</v>
      </c>
      <c r="F703" s="79">
        <f>SUM(BASE_DATOS[[#This Row],[Capital($)]:[Interés
Resarcitorio($)]])</f>
        <v>20366.218000000001</v>
      </c>
      <c r="G703" s="8">
        <v>45885</v>
      </c>
      <c r="H703" s="80" t="s">
        <v>61</v>
      </c>
      <c r="I703" s="79" t="s">
        <v>6</v>
      </c>
      <c r="J703" s="81">
        <v>60</v>
      </c>
      <c r="K703" t="s">
        <v>47</v>
      </c>
    </row>
    <row r="704" spans="2:11" x14ac:dyDescent="0.25">
      <c r="B704" s="2">
        <f>+B703</f>
        <v>41</v>
      </c>
      <c r="C704" s="4">
        <v>13505.45</v>
      </c>
      <c r="D704" s="4">
        <v>6860.7679999999991</v>
      </c>
      <c r="E704" s="79">
        <v>2715.5</v>
      </c>
      <c r="F704" s="79">
        <f>SUM(BASE_DATOS[[#This Row],[Capital($)]:[Interés
Resarcitorio($)]])</f>
        <v>23081.718000000001</v>
      </c>
      <c r="G704" s="8">
        <v>45895</v>
      </c>
      <c r="H704" s="80" t="s">
        <v>61</v>
      </c>
      <c r="I704" s="79" t="s">
        <v>7</v>
      </c>
      <c r="J704" s="81">
        <v>60</v>
      </c>
      <c r="K704" t="s">
        <v>47</v>
      </c>
    </row>
    <row r="705" spans="2:11" x14ac:dyDescent="0.25">
      <c r="B705" s="2">
        <v>42</v>
      </c>
      <c r="C705" s="4">
        <v>13505.45</v>
      </c>
      <c r="D705" s="4">
        <v>6517.7290000000003</v>
      </c>
      <c r="E705" s="79">
        <v>0</v>
      </c>
      <c r="F705" s="79">
        <f>SUM(BASE_DATOS[[#This Row],[Capital($)]:[Interés
Resarcitorio($)]])</f>
        <v>20023.179</v>
      </c>
      <c r="G705" s="8">
        <v>45916</v>
      </c>
      <c r="H705" s="80" t="s">
        <v>61</v>
      </c>
      <c r="I705" s="79" t="s">
        <v>6</v>
      </c>
      <c r="J705" s="81">
        <v>60</v>
      </c>
      <c r="K705" t="s">
        <v>47</v>
      </c>
    </row>
    <row r="706" spans="2:11" x14ac:dyDescent="0.25">
      <c r="B706" s="2">
        <f>+B705</f>
        <v>42</v>
      </c>
      <c r="C706" s="4">
        <v>13505.45</v>
      </c>
      <c r="D706" s="4">
        <v>6517.7290000000003</v>
      </c>
      <c r="E706" s="79">
        <v>2669.76</v>
      </c>
      <c r="F706" s="79">
        <f>SUM(BASE_DATOS[[#This Row],[Capital($)]:[Interés
Resarcitorio($)]])</f>
        <v>22692.938999999998</v>
      </c>
      <c r="G706" s="8">
        <v>45926</v>
      </c>
      <c r="H706" s="80" t="s">
        <v>61</v>
      </c>
      <c r="I706" s="79" t="s">
        <v>7</v>
      </c>
      <c r="J706" s="81">
        <v>60</v>
      </c>
      <c r="K706" t="s">
        <v>47</v>
      </c>
    </row>
    <row r="707" spans="2:11" x14ac:dyDescent="0.25">
      <c r="B707" s="2">
        <v>43</v>
      </c>
      <c r="C707" s="4">
        <v>13505.45</v>
      </c>
      <c r="D707" s="4">
        <v>6174.6910000000007</v>
      </c>
      <c r="E707" s="79">
        <v>0</v>
      </c>
      <c r="F707" s="79">
        <f>SUM(BASE_DATOS[[#This Row],[Capital($)]:[Interés
Resarcitorio($)]])</f>
        <v>19680.141000000003</v>
      </c>
      <c r="G707" s="8">
        <v>45946</v>
      </c>
      <c r="H707" s="80" t="s">
        <v>61</v>
      </c>
      <c r="I707" s="79" t="s">
        <v>6</v>
      </c>
      <c r="J707" s="81">
        <v>60</v>
      </c>
      <c r="K707" t="s">
        <v>47</v>
      </c>
    </row>
    <row r="708" spans="2:11" x14ac:dyDescent="0.25">
      <c r="B708" s="2">
        <f>+B707</f>
        <v>43</v>
      </c>
      <c r="C708" s="4">
        <v>13505.45</v>
      </c>
      <c r="D708" s="4">
        <v>6174.6910000000007</v>
      </c>
      <c r="E708" s="79">
        <v>2624.02</v>
      </c>
      <c r="F708" s="79">
        <f>SUM(BASE_DATOS[[#This Row],[Capital($)]:[Interés
Resarcitorio($)]])</f>
        <v>22304.161000000004</v>
      </c>
      <c r="G708" s="8">
        <v>45956</v>
      </c>
      <c r="H708" s="80" t="s">
        <v>61</v>
      </c>
      <c r="I708" s="79" t="s">
        <v>7</v>
      </c>
      <c r="J708" s="81">
        <v>60</v>
      </c>
      <c r="K708" t="s">
        <v>47</v>
      </c>
    </row>
    <row r="709" spans="2:11" x14ac:dyDescent="0.25">
      <c r="B709" s="2">
        <v>44</v>
      </c>
      <c r="C709" s="4">
        <v>13505.45</v>
      </c>
      <c r="D709" s="4">
        <v>5831.6530000000002</v>
      </c>
      <c r="E709" s="79">
        <v>0</v>
      </c>
      <c r="F709" s="79">
        <f>SUM(BASE_DATOS[[#This Row],[Capital($)]:[Interés
Resarcitorio($)]])</f>
        <v>19337.103000000003</v>
      </c>
      <c r="G709" s="8">
        <v>45977</v>
      </c>
      <c r="H709" s="80" t="s">
        <v>61</v>
      </c>
      <c r="I709" s="79" t="s">
        <v>6</v>
      </c>
      <c r="J709" s="81">
        <v>60</v>
      </c>
      <c r="K709" t="s">
        <v>47</v>
      </c>
    </row>
    <row r="710" spans="2:11" x14ac:dyDescent="0.25">
      <c r="B710" s="2">
        <f>+B709</f>
        <v>44</v>
      </c>
      <c r="C710" s="4">
        <v>13505.45</v>
      </c>
      <c r="D710" s="4">
        <v>5831.6530000000002</v>
      </c>
      <c r="E710" s="79">
        <v>2578.2800000000002</v>
      </c>
      <c r="F710" s="79">
        <f>SUM(BASE_DATOS[[#This Row],[Capital($)]:[Interés
Resarcitorio($)]])</f>
        <v>21915.383000000002</v>
      </c>
      <c r="G710" s="8">
        <v>45987</v>
      </c>
      <c r="H710" s="80" t="s">
        <v>61</v>
      </c>
      <c r="I710" s="79" t="s">
        <v>7</v>
      </c>
      <c r="J710" s="81">
        <v>60</v>
      </c>
      <c r="K710" t="s">
        <v>47</v>
      </c>
    </row>
    <row r="711" spans="2:11" x14ac:dyDescent="0.25">
      <c r="B711" s="2">
        <v>45</v>
      </c>
      <c r="C711" s="4">
        <v>13505.45</v>
      </c>
      <c r="D711" s="4">
        <v>5488.6139999999996</v>
      </c>
      <c r="E711" s="79">
        <v>0</v>
      </c>
      <c r="F711" s="79">
        <f>SUM(BASE_DATOS[[#This Row],[Capital($)]:[Interés
Resarcitorio($)]])</f>
        <v>18994.063999999998</v>
      </c>
      <c r="G711" s="8">
        <v>46007</v>
      </c>
      <c r="H711" s="80" t="s">
        <v>61</v>
      </c>
      <c r="I711" s="79" t="s">
        <v>6</v>
      </c>
      <c r="J711" s="81">
        <v>60</v>
      </c>
      <c r="K711" t="s">
        <v>47</v>
      </c>
    </row>
    <row r="712" spans="2:11" x14ac:dyDescent="0.25">
      <c r="B712" s="2">
        <f>+B711</f>
        <v>45</v>
      </c>
      <c r="C712" s="4">
        <v>13505.45</v>
      </c>
      <c r="D712" s="4">
        <v>5488.6139999999996</v>
      </c>
      <c r="E712" s="79">
        <v>2532.54</v>
      </c>
      <c r="F712" s="79">
        <f>SUM(BASE_DATOS[[#This Row],[Capital($)]:[Interés
Resarcitorio($)]])</f>
        <v>21526.603999999999</v>
      </c>
      <c r="G712" s="8">
        <v>46017</v>
      </c>
      <c r="H712" s="80" t="s">
        <v>61</v>
      </c>
      <c r="I712" s="79" t="s">
        <v>7</v>
      </c>
      <c r="J712" s="81">
        <v>60</v>
      </c>
      <c r="K712" t="s">
        <v>47</v>
      </c>
    </row>
    <row r="713" spans="2:11" x14ac:dyDescent="0.25">
      <c r="B713" s="2">
        <v>46</v>
      </c>
      <c r="C713" s="4">
        <v>13505.45</v>
      </c>
      <c r="D713" s="4">
        <v>5145.576</v>
      </c>
      <c r="E713" s="79">
        <v>0</v>
      </c>
      <c r="F713" s="79">
        <f>SUM(BASE_DATOS[[#This Row],[Capital($)]:[Interés
Resarcitorio($)]])</f>
        <v>18651.026000000002</v>
      </c>
      <c r="G713" s="8">
        <v>46038</v>
      </c>
      <c r="H713" s="80" t="s">
        <v>61</v>
      </c>
      <c r="I713" s="79" t="s">
        <v>6</v>
      </c>
      <c r="J713" s="81">
        <v>60</v>
      </c>
      <c r="K713" t="s">
        <v>47</v>
      </c>
    </row>
    <row r="714" spans="2:11" x14ac:dyDescent="0.25">
      <c r="B714" s="2">
        <f>+B713</f>
        <v>46</v>
      </c>
      <c r="C714" s="4">
        <v>13505.45</v>
      </c>
      <c r="D714" s="4">
        <v>5145.576</v>
      </c>
      <c r="E714" s="79">
        <v>2486.8000000000002</v>
      </c>
      <c r="F714" s="79">
        <f>SUM(BASE_DATOS[[#This Row],[Capital($)]:[Interés
Resarcitorio($)]])</f>
        <v>21137.826000000001</v>
      </c>
      <c r="G714" s="8">
        <v>46048</v>
      </c>
      <c r="H714" s="80" t="s">
        <v>61</v>
      </c>
      <c r="I714" s="79" t="s">
        <v>7</v>
      </c>
      <c r="J714" s="81">
        <v>60</v>
      </c>
      <c r="K714" t="s">
        <v>47</v>
      </c>
    </row>
    <row r="715" spans="2:11" x14ac:dyDescent="0.25">
      <c r="B715" s="2">
        <v>47</v>
      </c>
      <c r="C715" s="4">
        <v>13505.45</v>
      </c>
      <c r="D715" s="4">
        <v>4802.5370000000003</v>
      </c>
      <c r="E715" s="79">
        <v>0</v>
      </c>
      <c r="F715" s="79">
        <f>SUM(BASE_DATOS[[#This Row],[Capital($)]:[Interés
Resarcitorio($)]])</f>
        <v>18307.987000000001</v>
      </c>
      <c r="G715" s="8">
        <v>46069</v>
      </c>
      <c r="H715" s="80" t="s">
        <v>61</v>
      </c>
      <c r="I715" s="79" t="s">
        <v>6</v>
      </c>
      <c r="J715" s="81">
        <v>60</v>
      </c>
      <c r="K715" t="s">
        <v>47</v>
      </c>
    </row>
    <row r="716" spans="2:11" x14ac:dyDescent="0.25">
      <c r="B716" s="2">
        <f>+B715</f>
        <v>47</v>
      </c>
      <c r="C716" s="4">
        <v>13505.45</v>
      </c>
      <c r="D716" s="4">
        <v>4802.5370000000003</v>
      </c>
      <c r="E716" s="79">
        <v>2441.06</v>
      </c>
      <c r="F716" s="79">
        <f>SUM(BASE_DATOS[[#This Row],[Capital($)]:[Interés
Resarcitorio($)]])</f>
        <v>20749.047000000002</v>
      </c>
      <c r="G716" s="8">
        <v>46079</v>
      </c>
      <c r="H716" s="80" t="s">
        <v>61</v>
      </c>
      <c r="I716" s="79" t="s">
        <v>7</v>
      </c>
      <c r="J716" s="81">
        <v>60</v>
      </c>
      <c r="K716" t="s">
        <v>47</v>
      </c>
    </row>
    <row r="717" spans="2:11" x14ac:dyDescent="0.25">
      <c r="B717" s="2">
        <v>48</v>
      </c>
      <c r="C717" s="4">
        <v>13505.45</v>
      </c>
      <c r="D717" s="4">
        <v>4459.4989999999998</v>
      </c>
      <c r="E717" s="79">
        <v>0</v>
      </c>
      <c r="F717" s="79">
        <f>SUM(BASE_DATOS[[#This Row],[Capital($)]:[Interés
Resarcitorio($)]])</f>
        <v>17964.949000000001</v>
      </c>
      <c r="G717" s="8">
        <v>46097</v>
      </c>
      <c r="H717" s="80" t="s">
        <v>61</v>
      </c>
      <c r="I717" s="79" t="s">
        <v>6</v>
      </c>
      <c r="J717" s="81">
        <v>60</v>
      </c>
      <c r="K717" t="s">
        <v>47</v>
      </c>
    </row>
    <row r="718" spans="2:11" x14ac:dyDescent="0.25">
      <c r="B718" s="2">
        <f>+B717</f>
        <v>48</v>
      </c>
      <c r="C718" s="4">
        <v>13505.45</v>
      </c>
      <c r="D718" s="4">
        <v>4459.4989999999998</v>
      </c>
      <c r="E718" s="79">
        <v>2395.33</v>
      </c>
      <c r="F718" s="79">
        <f>SUM(BASE_DATOS[[#This Row],[Capital($)]:[Interés
Resarcitorio($)]])</f>
        <v>20360.279000000002</v>
      </c>
      <c r="G718" s="8">
        <v>46107</v>
      </c>
      <c r="H718" s="80" t="s">
        <v>61</v>
      </c>
      <c r="I718" s="79" t="s">
        <v>7</v>
      </c>
      <c r="J718" s="81">
        <v>60</v>
      </c>
      <c r="K718" t="s">
        <v>47</v>
      </c>
    </row>
    <row r="719" spans="2:11" x14ac:dyDescent="0.25">
      <c r="B719" s="2">
        <v>49</v>
      </c>
      <c r="C719" s="4">
        <v>13505.45</v>
      </c>
      <c r="D719" s="4">
        <v>4116.46</v>
      </c>
      <c r="E719" s="79">
        <v>0</v>
      </c>
      <c r="F719" s="79">
        <f>SUM(BASE_DATOS[[#This Row],[Capital($)]:[Interés
Resarcitorio($)]])</f>
        <v>17621.91</v>
      </c>
      <c r="G719" s="8">
        <v>46128</v>
      </c>
      <c r="H719" s="80" t="s">
        <v>61</v>
      </c>
      <c r="I719" s="79" t="s">
        <v>6</v>
      </c>
      <c r="J719" s="81">
        <v>60</v>
      </c>
      <c r="K719" t="s">
        <v>47</v>
      </c>
    </row>
    <row r="720" spans="2:11" x14ac:dyDescent="0.25">
      <c r="B720" s="2">
        <f>+B719</f>
        <v>49</v>
      </c>
      <c r="C720" s="4">
        <v>13505.45</v>
      </c>
      <c r="D720" s="4">
        <v>4116.46</v>
      </c>
      <c r="E720" s="79">
        <v>2349.59</v>
      </c>
      <c r="F720" s="79">
        <f>SUM(BASE_DATOS[[#This Row],[Capital($)]:[Interés
Resarcitorio($)]])</f>
        <v>19971.5</v>
      </c>
      <c r="G720" s="8">
        <v>46138</v>
      </c>
      <c r="H720" s="80" t="s">
        <v>61</v>
      </c>
      <c r="I720" s="79" t="s">
        <v>7</v>
      </c>
      <c r="J720" s="81">
        <v>60</v>
      </c>
      <c r="K720" t="s">
        <v>47</v>
      </c>
    </row>
    <row r="721" spans="2:11" x14ac:dyDescent="0.25">
      <c r="B721" s="2">
        <v>50</v>
      </c>
      <c r="C721" s="4">
        <v>13505.45</v>
      </c>
      <c r="D721" s="4">
        <v>3773.422</v>
      </c>
      <c r="E721" s="79">
        <v>0</v>
      </c>
      <c r="F721" s="79">
        <f>SUM(BASE_DATOS[[#This Row],[Capital($)]:[Interés
Resarcitorio($)]])</f>
        <v>17278.871999999999</v>
      </c>
      <c r="G721" s="8">
        <v>46158</v>
      </c>
      <c r="H721" s="80" t="s">
        <v>61</v>
      </c>
      <c r="I721" s="79" t="s">
        <v>6</v>
      </c>
      <c r="J721" s="81">
        <v>60</v>
      </c>
      <c r="K721" t="s">
        <v>47</v>
      </c>
    </row>
    <row r="722" spans="2:11" x14ac:dyDescent="0.25">
      <c r="B722" s="2">
        <f>+B721</f>
        <v>50</v>
      </c>
      <c r="C722" s="4">
        <v>13505.45</v>
      </c>
      <c r="D722" s="4">
        <v>3773.422</v>
      </c>
      <c r="E722" s="79">
        <v>2303.85</v>
      </c>
      <c r="F722" s="79">
        <f>SUM(BASE_DATOS[[#This Row],[Capital($)]:[Interés
Resarcitorio($)]])</f>
        <v>19582.721999999998</v>
      </c>
      <c r="G722" s="8">
        <v>46168</v>
      </c>
      <c r="H722" s="80" t="s">
        <v>61</v>
      </c>
      <c r="I722" s="79" t="s">
        <v>7</v>
      </c>
      <c r="J722" s="81">
        <v>60</v>
      </c>
      <c r="K722" t="s">
        <v>47</v>
      </c>
    </row>
    <row r="723" spans="2:11" x14ac:dyDescent="0.25">
      <c r="B723" s="2">
        <v>51</v>
      </c>
      <c r="C723" s="4">
        <v>13505.45</v>
      </c>
      <c r="D723" s="4">
        <v>3430.3839999999996</v>
      </c>
      <c r="E723" s="79">
        <v>0</v>
      </c>
      <c r="F723" s="79">
        <f>SUM(BASE_DATOS[[#This Row],[Capital($)]:[Interés
Resarcitorio($)]])</f>
        <v>16935.833999999999</v>
      </c>
      <c r="G723" s="8">
        <v>46189</v>
      </c>
      <c r="H723" s="80" t="s">
        <v>61</v>
      </c>
      <c r="I723" s="79" t="s">
        <v>6</v>
      </c>
      <c r="J723" s="81">
        <v>60</v>
      </c>
      <c r="K723" t="s">
        <v>47</v>
      </c>
    </row>
    <row r="724" spans="2:11" x14ac:dyDescent="0.25">
      <c r="B724" s="2">
        <f>+B723</f>
        <v>51</v>
      </c>
      <c r="C724" s="4">
        <v>13505.45</v>
      </c>
      <c r="D724" s="4">
        <v>3430.3839999999996</v>
      </c>
      <c r="E724" s="79">
        <v>2258.11</v>
      </c>
      <c r="F724" s="79">
        <f>SUM(BASE_DATOS[[#This Row],[Capital($)]:[Interés
Resarcitorio($)]])</f>
        <v>19193.944</v>
      </c>
      <c r="G724" s="8">
        <v>46199</v>
      </c>
      <c r="H724" s="80" t="s">
        <v>61</v>
      </c>
      <c r="I724" s="79" t="s">
        <v>7</v>
      </c>
      <c r="J724" s="81">
        <v>60</v>
      </c>
      <c r="K724" t="s">
        <v>47</v>
      </c>
    </row>
    <row r="725" spans="2:11" x14ac:dyDescent="0.25">
      <c r="B725" s="2">
        <v>52</v>
      </c>
      <c r="C725" s="4">
        <v>13505.45</v>
      </c>
      <c r="D725" s="4">
        <v>3087.3450000000003</v>
      </c>
      <c r="E725" s="79">
        <v>0</v>
      </c>
      <c r="F725" s="79">
        <f>SUM(BASE_DATOS[[#This Row],[Capital($)]:[Interés
Resarcitorio($)]])</f>
        <v>16592.795000000002</v>
      </c>
      <c r="G725" s="8">
        <v>46219</v>
      </c>
      <c r="H725" s="80" t="s">
        <v>61</v>
      </c>
      <c r="I725" s="79" t="s">
        <v>6</v>
      </c>
      <c r="J725" s="81">
        <v>60</v>
      </c>
      <c r="K725" t="s">
        <v>47</v>
      </c>
    </row>
    <row r="726" spans="2:11" x14ac:dyDescent="0.25">
      <c r="B726" s="2">
        <f>+B725</f>
        <v>52</v>
      </c>
      <c r="C726" s="4">
        <v>13505.45</v>
      </c>
      <c r="D726" s="4">
        <v>3087.3450000000003</v>
      </c>
      <c r="E726" s="79">
        <v>2212.37</v>
      </c>
      <c r="F726" s="79">
        <f>SUM(BASE_DATOS[[#This Row],[Capital($)]:[Interés
Resarcitorio($)]])</f>
        <v>18805.165000000001</v>
      </c>
      <c r="G726" s="8">
        <v>46229</v>
      </c>
      <c r="H726" s="80" t="s">
        <v>61</v>
      </c>
      <c r="I726" s="79" t="s">
        <v>7</v>
      </c>
      <c r="J726" s="81">
        <v>60</v>
      </c>
      <c r="K726" t="s">
        <v>47</v>
      </c>
    </row>
    <row r="727" spans="2:11" x14ac:dyDescent="0.25">
      <c r="B727" s="2">
        <v>53</v>
      </c>
      <c r="C727" s="4">
        <v>13505.45</v>
      </c>
      <c r="D727" s="4">
        <v>2744.3069999999998</v>
      </c>
      <c r="E727" s="79">
        <v>0</v>
      </c>
      <c r="F727" s="79">
        <f>SUM(BASE_DATOS[[#This Row],[Capital($)]:[Interés
Resarcitorio($)]])</f>
        <v>16249.757000000001</v>
      </c>
      <c r="G727" s="8">
        <v>46250</v>
      </c>
      <c r="H727" s="80" t="s">
        <v>61</v>
      </c>
      <c r="I727" s="79" t="s">
        <v>6</v>
      </c>
      <c r="J727" s="81">
        <v>60</v>
      </c>
      <c r="K727" t="s">
        <v>47</v>
      </c>
    </row>
    <row r="728" spans="2:11" x14ac:dyDescent="0.25">
      <c r="B728" s="2">
        <f>+B727</f>
        <v>53</v>
      </c>
      <c r="C728" s="4">
        <v>13505.45</v>
      </c>
      <c r="D728" s="4">
        <v>2744.3069999999998</v>
      </c>
      <c r="E728" s="79">
        <v>2166.63</v>
      </c>
      <c r="F728" s="79">
        <f>SUM(BASE_DATOS[[#This Row],[Capital($)]:[Interés
Resarcitorio($)]])</f>
        <v>18416.387000000002</v>
      </c>
      <c r="G728" s="8">
        <v>46260</v>
      </c>
      <c r="H728" s="80" t="s">
        <v>61</v>
      </c>
      <c r="I728" s="79" t="s">
        <v>7</v>
      </c>
      <c r="J728" s="81">
        <v>60</v>
      </c>
      <c r="K728" t="s">
        <v>47</v>
      </c>
    </row>
    <row r="729" spans="2:11" x14ac:dyDescent="0.25">
      <c r="B729" s="2">
        <v>54</v>
      </c>
      <c r="C729" s="4">
        <v>13505.45</v>
      </c>
      <c r="D729" s="4">
        <v>2401.268</v>
      </c>
      <c r="E729" s="79">
        <v>0</v>
      </c>
      <c r="F729" s="79">
        <f>SUM(BASE_DATOS[[#This Row],[Capital($)]:[Interés
Resarcitorio($)]])</f>
        <v>15906.718000000001</v>
      </c>
      <c r="G729" s="8">
        <v>46281</v>
      </c>
      <c r="H729" s="80" t="s">
        <v>61</v>
      </c>
      <c r="I729" s="79" t="s">
        <v>6</v>
      </c>
      <c r="J729" s="81">
        <v>60</v>
      </c>
      <c r="K729" t="s">
        <v>47</v>
      </c>
    </row>
    <row r="730" spans="2:11" x14ac:dyDescent="0.25">
      <c r="B730" s="2">
        <f>+B729</f>
        <v>54</v>
      </c>
      <c r="C730" s="4">
        <v>13505.45</v>
      </c>
      <c r="D730" s="4">
        <v>2401.268</v>
      </c>
      <c r="E730" s="79">
        <v>2120.9</v>
      </c>
      <c r="F730" s="79">
        <f>SUM(BASE_DATOS[[#This Row],[Capital($)]:[Interés
Resarcitorio($)]])</f>
        <v>18027.618000000002</v>
      </c>
      <c r="G730" s="8">
        <v>46291</v>
      </c>
      <c r="H730" s="80" t="s">
        <v>61</v>
      </c>
      <c r="I730" s="79" t="s">
        <v>7</v>
      </c>
      <c r="J730" s="81">
        <v>60</v>
      </c>
      <c r="K730" t="s">
        <v>47</v>
      </c>
    </row>
    <row r="731" spans="2:11" x14ac:dyDescent="0.25">
      <c r="B731" s="2">
        <v>55</v>
      </c>
      <c r="C731" s="4">
        <v>13505.45</v>
      </c>
      <c r="D731" s="4">
        <v>2058.23</v>
      </c>
      <c r="E731" s="79">
        <v>0</v>
      </c>
      <c r="F731" s="79">
        <f>SUM(BASE_DATOS[[#This Row],[Capital($)]:[Interés
Resarcitorio($)]])</f>
        <v>15563.68</v>
      </c>
      <c r="G731" s="8">
        <v>46311</v>
      </c>
      <c r="H731" s="80" t="s">
        <v>61</v>
      </c>
      <c r="I731" s="79" t="s">
        <v>6</v>
      </c>
      <c r="J731" s="81">
        <v>60</v>
      </c>
      <c r="K731" t="s">
        <v>47</v>
      </c>
    </row>
    <row r="732" spans="2:11" x14ac:dyDescent="0.25">
      <c r="B732" s="2">
        <f>+B731</f>
        <v>55</v>
      </c>
      <c r="C732" s="4">
        <v>13505.45</v>
      </c>
      <c r="D732" s="4">
        <v>2058.23</v>
      </c>
      <c r="E732" s="79">
        <v>2075.16</v>
      </c>
      <c r="F732" s="79">
        <f>SUM(BASE_DATOS[[#This Row],[Capital($)]:[Interés
Resarcitorio($)]])</f>
        <v>17638.84</v>
      </c>
      <c r="G732" s="8">
        <v>46321</v>
      </c>
      <c r="H732" s="80" t="s">
        <v>61</v>
      </c>
      <c r="I732" s="79" t="s">
        <v>7</v>
      </c>
      <c r="J732" s="81">
        <v>60</v>
      </c>
      <c r="K732" t="s">
        <v>47</v>
      </c>
    </row>
    <row r="733" spans="2:11" x14ac:dyDescent="0.25">
      <c r="B733" s="2">
        <v>56</v>
      </c>
      <c r="C733" s="4">
        <v>13505.45</v>
      </c>
      <c r="D733" s="4">
        <v>1715.191</v>
      </c>
      <c r="E733" s="79">
        <v>0</v>
      </c>
      <c r="F733" s="79">
        <f>SUM(BASE_DATOS[[#This Row],[Capital($)]:[Interés
Resarcitorio($)]])</f>
        <v>15220.641000000001</v>
      </c>
      <c r="G733" s="8">
        <v>46342</v>
      </c>
      <c r="H733" s="80" t="s">
        <v>61</v>
      </c>
      <c r="I733" s="79" t="s">
        <v>6</v>
      </c>
      <c r="J733" s="81">
        <v>60</v>
      </c>
      <c r="K733" t="s">
        <v>47</v>
      </c>
    </row>
    <row r="734" spans="2:11" x14ac:dyDescent="0.25">
      <c r="B734" s="2">
        <f>+B733</f>
        <v>56</v>
      </c>
      <c r="C734" s="4">
        <v>13505.45</v>
      </c>
      <c r="D734" s="4">
        <v>1715.191</v>
      </c>
      <c r="E734" s="79">
        <v>2029.42</v>
      </c>
      <c r="F734" s="79">
        <f>SUM(BASE_DATOS[[#This Row],[Capital($)]:[Interés
Resarcitorio($)]])</f>
        <v>17250.061000000002</v>
      </c>
      <c r="G734" s="8">
        <v>46352</v>
      </c>
      <c r="H734" s="80" t="s">
        <v>61</v>
      </c>
      <c r="I734" s="79" t="s">
        <v>7</v>
      </c>
      <c r="J734" s="81">
        <v>60</v>
      </c>
      <c r="K734" t="s">
        <v>47</v>
      </c>
    </row>
    <row r="735" spans="2:11" x14ac:dyDescent="0.25">
      <c r="B735" s="2">
        <v>57</v>
      </c>
      <c r="C735" s="4">
        <v>13505.45</v>
      </c>
      <c r="D735" s="4">
        <v>1372.153</v>
      </c>
      <c r="E735" s="79">
        <v>0</v>
      </c>
      <c r="F735" s="79">
        <f>SUM(BASE_DATOS[[#This Row],[Capital($)]:[Interés
Resarcitorio($)]])</f>
        <v>14877.603000000001</v>
      </c>
      <c r="G735" s="8">
        <v>46372</v>
      </c>
      <c r="H735" s="80" t="s">
        <v>61</v>
      </c>
      <c r="I735" s="79" t="s">
        <v>6</v>
      </c>
      <c r="J735" s="81">
        <v>60</v>
      </c>
      <c r="K735" t="s">
        <v>47</v>
      </c>
    </row>
    <row r="736" spans="2:11" x14ac:dyDescent="0.25">
      <c r="B736" s="2">
        <f>+B735</f>
        <v>57</v>
      </c>
      <c r="C736" s="4">
        <v>13505.45</v>
      </c>
      <c r="D736" s="4">
        <v>1372.153</v>
      </c>
      <c r="E736" s="79">
        <v>1983.68</v>
      </c>
      <c r="F736" s="79">
        <f>SUM(BASE_DATOS[[#This Row],[Capital($)]:[Interés
Resarcitorio($)]])</f>
        <v>16861.282999999999</v>
      </c>
      <c r="G736" s="8">
        <v>46382</v>
      </c>
      <c r="H736" s="80" t="s">
        <v>61</v>
      </c>
      <c r="I736" s="79" t="s">
        <v>7</v>
      </c>
      <c r="J736" s="81">
        <v>60</v>
      </c>
      <c r="K736" t="s">
        <v>47</v>
      </c>
    </row>
    <row r="737" spans="2:11" x14ac:dyDescent="0.25">
      <c r="B737" s="2">
        <v>58</v>
      </c>
      <c r="C737" s="4">
        <v>13505.45</v>
      </c>
      <c r="D737" s="4">
        <v>1029.115</v>
      </c>
      <c r="E737" s="79">
        <v>0</v>
      </c>
      <c r="F737" s="79">
        <f>SUM(BASE_DATOS[[#This Row],[Capital($)]:[Interés
Resarcitorio($)]])</f>
        <v>14534.565000000001</v>
      </c>
      <c r="G737" s="8">
        <v>46403</v>
      </c>
      <c r="H737" s="80" t="s">
        <v>61</v>
      </c>
      <c r="I737" s="79" t="s">
        <v>6</v>
      </c>
      <c r="J737" s="81">
        <v>60</v>
      </c>
      <c r="K737" t="s">
        <v>47</v>
      </c>
    </row>
    <row r="738" spans="2:11" x14ac:dyDescent="0.25">
      <c r="B738" s="2">
        <f>+B737</f>
        <v>58</v>
      </c>
      <c r="C738" s="4">
        <v>13505.45</v>
      </c>
      <c r="D738" s="4">
        <v>1029.115</v>
      </c>
      <c r="E738" s="79">
        <v>1937.94</v>
      </c>
      <c r="F738" s="79">
        <f>SUM(BASE_DATOS[[#This Row],[Capital($)]:[Interés
Resarcitorio($)]])</f>
        <v>16472.505000000001</v>
      </c>
      <c r="G738" s="8">
        <v>46413</v>
      </c>
      <c r="H738" s="80" t="s">
        <v>61</v>
      </c>
      <c r="I738" s="79" t="s">
        <v>7</v>
      </c>
      <c r="J738" s="81">
        <v>60</v>
      </c>
      <c r="K738" t="s">
        <v>47</v>
      </c>
    </row>
    <row r="739" spans="2:11" x14ac:dyDescent="0.25">
      <c r="B739" s="2">
        <v>59</v>
      </c>
      <c r="C739" s="4">
        <v>13505.45</v>
      </c>
      <c r="D739" s="4">
        <v>686.07600000000002</v>
      </c>
      <c r="E739" s="79">
        <v>0</v>
      </c>
      <c r="F739" s="79">
        <f>SUM(BASE_DATOS[[#This Row],[Capital($)]:[Interés
Resarcitorio($)]])</f>
        <v>14191.526000000002</v>
      </c>
      <c r="G739" s="8">
        <v>46434</v>
      </c>
      <c r="H739" s="80" t="s">
        <v>61</v>
      </c>
      <c r="I739" s="79" t="s">
        <v>6</v>
      </c>
      <c r="J739" s="81">
        <v>60</v>
      </c>
      <c r="K739" t="s">
        <v>47</v>
      </c>
    </row>
    <row r="740" spans="2:11" x14ac:dyDescent="0.25">
      <c r="B740" s="2">
        <f>+B739</f>
        <v>59</v>
      </c>
      <c r="C740" s="4">
        <v>13505.45</v>
      </c>
      <c r="D740" s="4">
        <v>686.07600000000002</v>
      </c>
      <c r="E740" s="79">
        <v>1892.2</v>
      </c>
      <c r="F740" s="79">
        <f>SUM(BASE_DATOS[[#This Row],[Capital($)]:[Interés
Resarcitorio($)]])</f>
        <v>16083.726000000002</v>
      </c>
      <c r="G740" s="8">
        <v>46444</v>
      </c>
      <c r="H740" s="80" t="s">
        <v>61</v>
      </c>
      <c r="I740" s="79" t="s">
        <v>7</v>
      </c>
      <c r="J740" s="81">
        <v>60</v>
      </c>
      <c r="K740" t="s">
        <v>47</v>
      </c>
    </row>
    <row r="741" spans="2:11" x14ac:dyDescent="0.25">
      <c r="B741" s="2">
        <v>60</v>
      </c>
      <c r="C741" s="4">
        <v>13505.422</v>
      </c>
      <c r="D741" s="4">
        <v>343.03800000000001</v>
      </c>
      <c r="E741" s="79">
        <v>0</v>
      </c>
      <c r="F741" s="79">
        <f>SUM(BASE_DATOS[[#This Row],[Capital($)]:[Interés
Resarcitorio($)]])</f>
        <v>13848.460000000001</v>
      </c>
      <c r="G741" s="8">
        <v>46462</v>
      </c>
      <c r="H741" s="80" t="s">
        <v>61</v>
      </c>
      <c r="I741" s="79" t="s">
        <v>6</v>
      </c>
      <c r="J741" s="81">
        <v>60</v>
      </c>
      <c r="K741" t="s">
        <v>47</v>
      </c>
    </row>
    <row r="742" spans="2:11" x14ac:dyDescent="0.25">
      <c r="B742" s="2">
        <f>+B741</f>
        <v>60</v>
      </c>
      <c r="C742" s="4">
        <v>13505.422</v>
      </c>
      <c r="D742" s="4">
        <v>343.03800000000001</v>
      </c>
      <c r="E742" s="79">
        <v>1846.46</v>
      </c>
      <c r="F742" s="79">
        <f>SUM(BASE_DATOS[[#This Row],[Capital($)]:[Interés
Resarcitorio($)]])</f>
        <v>15694.920000000002</v>
      </c>
      <c r="G742" s="8">
        <v>46472</v>
      </c>
      <c r="H742" s="80" t="s">
        <v>61</v>
      </c>
      <c r="I742" s="79" t="s">
        <v>7</v>
      </c>
      <c r="J742" s="81">
        <v>60</v>
      </c>
      <c r="K742" t="s">
        <v>47</v>
      </c>
    </row>
    <row r="743" spans="2:11" x14ac:dyDescent="0.25">
      <c r="B743" s="2">
        <v>1</v>
      </c>
      <c r="C743" s="4">
        <v>410.93100000000004</v>
      </c>
      <c r="D743" s="4">
        <v>8.2189999999999994</v>
      </c>
      <c r="E743" s="79">
        <v>0</v>
      </c>
      <c r="F743" s="79">
        <f>SUM(BASE_DATOS[[#This Row],[Capital($)]:[Interés
Resarcitorio($)]])</f>
        <v>419.15000000000003</v>
      </c>
      <c r="G743" s="8">
        <v>43998</v>
      </c>
      <c r="H743" s="80" t="s">
        <v>54</v>
      </c>
      <c r="I743" s="79" t="s">
        <v>9</v>
      </c>
      <c r="J743" s="81">
        <v>60</v>
      </c>
      <c r="K743" t="s">
        <v>46</v>
      </c>
    </row>
    <row r="744" spans="2:11" x14ac:dyDescent="0.25">
      <c r="B744" s="2">
        <f>+B743</f>
        <v>1</v>
      </c>
      <c r="C744" s="4">
        <v>0</v>
      </c>
      <c r="D744" s="4">
        <v>8.2189999999999994</v>
      </c>
      <c r="E744" s="79">
        <v>34.93</v>
      </c>
      <c r="F744" s="79">
        <f>SUM(BASE_DATOS[[#This Row],[Capital($)]:[Interés
Resarcitorio($)]])</f>
        <v>43.149000000000001</v>
      </c>
      <c r="G744" s="8">
        <v>44008</v>
      </c>
      <c r="H744" s="80" t="s">
        <v>54</v>
      </c>
      <c r="I744" s="79" t="s">
        <v>7</v>
      </c>
      <c r="J744" s="81">
        <v>60</v>
      </c>
      <c r="K744" t="s">
        <v>46</v>
      </c>
    </row>
    <row r="745" spans="2:11" x14ac:dyDescent="0.25">
      <c r="B745" s="2">
        <v>2</v>
      </c>
      <c r="C745" s="4">
        <v>410.93100000000004</v>
      </c>
      <c r="D745" s="4">
        <v>20.136000000000003</v>
      </c>
      <c r="E745" s="79">
        <v>0</v>
      </c>
      <c r="F745" s="79">
        <f>SUM(BASE_DATOS[[#This Row],[Capital($)]:[Interés
Resarcitorio($)]])</f>
        <v>431.06700000000006</v>
      </c>
      <c r="G745" s="8">
        <v>44028</v>
      </c>
      <c r="H745" s="80" t="s">
        <v>54</v>
      </c>
      <c r="I745" s="79" t="s">
        <v>9</v>
      </c>
      <c r="J745" s="81">
        <v>60</v>
      </c>
      <c r="K745" t="s">
        <v>46</v>
      </c>
    </row>
    <row r="746" spans="2:11" x14ac:dyDescent="0.25">
      <c r="B746" s="2">
        <f>+B745</f>
        <v>2</v>
      </c>
      <c r="C746" s="4">
        <v>0</v>
      </c>
      <c r="D746" s="4">
        <v>20.136000000000003</v>
      </c>
      <c r="E746" s="79">
        <v>39.659999999999997</v>
      </c>
      <c r="F746" s="79">
        <f>SUM(BASE_DATOS[[#This Row],[Capital($)]:[Interés
Resarcitorio($)]])</f>
        <v>59.795999999999999</v>
      </c>
      <c r="G746" s="8">
        <v>44038</v>
      </c>
      <c r="H746" s="80" t="s">
        <v>54</v>
      </c>
      <c r="I746" s="79" t="s">
        <v>7</v>
      </c>
      <c r="J746" s="81">
        <v>60</v>
      </c>
      <c r="K746" t="s">
        <v>46</v>
      </c>
    </row>
    <row r="747" spans="2:11" x14ac:dyDescent="0.25">
      <c r="B747" s="2">
        <v>3</v>
      </c>
      <c r="C747" s="4">
        <v>410.93100000000004</v>
      </c>
      <c r="D747" s="4">
        <v>32.875</v>
      </c>
      <c r="E747" s="79">
        <v>0</v>
      </c>
      <c r="F747" s="79">
        <f>SUM(BASE_DATOS[[#This Row],[Capital($)]:[Interés
Resarcitorio($)]])</f>
        <v>443.80600000000004</v>
      </c>
      <c r="G747" s="8">
        <v>44059</v>
      </c>
      <c r="H747" s="80" t="s">
        <v>54</v>
      </c>
      <c r="I747" s="79" t="s">
        <v>9</v>
      </c>
      <c r="J747" s="81">
        <v>60</v>
      </c>
      <c r="K747" t="s">
        <v>46</v>
      </c>
    </row>
    <row r="748" spans="2:11" x14ac:dyDescent="0.25">
      <c r="B748" s="2">
        <f>+B747</f>
        <v>3</v>
      </c>
      <c r="C748" s="4">
        <v>0</v>
      </c>
      <c r="D748" s="4">
        <v>32.875</v>
      </c>
      <c r="E748" s="79">
        <v>40.83</v>
      </c>
      <c r="F748" s="79">
        <f>SUM(BASE_DATOS[[#This Row],[Capital($)]:[Interés
Resarcitorio($)]])</f>
        <v>73.704999999999998</v>
      </c>
      <c r="G748" s="8">
        <v>44069</v>
      </c>
      <c r="H748" s="80" t="s">
        <v>54</v>
      </c>
      <c r="I748" s="79" t="s">
        <v>7</v>
      </c>
      <c r="J748" s="81">
        <v>60</v>
      </c>
      <c r="K748" t="s">
        <v>46</v>
      </c>
    </row>
    <row r="749" spans="2:11" x14ac:dyDescent="0.25">
      <c r="B749" s="2">
        <v>4</v>
      </c>
      <c r="C749" s="4">
        <v>410.93100000000004</v>
      </c>
      <c r="D749" s="4">
        <v>45.201999999999998</v>
      </c>
      <c r="E749" s="79">
        <v>0</v>
      </c>
      <c r="F749" s="79">
        <f>SUM(BASE_DATOS[[#This Row],[Capital($)]:[Interés
Resarcitorio($)]])</f>
        <v>456.13300000000004</v>
      </c>
      <c r="G749" s="8">
        <v>44090</v>
      </c>
      <c r="H749" s="80" t="s">
        <v>54</v>
      </c>
      <c r="I749" s="79" t="s">
        <v>9</v>
      </c>
      <c r="J749" s="81">
        <v>60</v>
      </c>
      <c r="K749" t="s">
        <v>46</v>
      </c>
    </row>
    <row r="750" spans="2:11" x14ac:dyDescent="0.25">
      <c r="B750" s="2">
        <f>+B749</f>
        <v>4</v>
      </c>
      <c r="C750" s="4">
        <v>0</v>
      </c>
      <c r="D750" s="4">
        <v>45.201999999999998</v>
      </c>
      <c r="E750" s="79">
        <v>41.96</v>
      </c>
      <c r="F750" s="79">
        <f>SUM(BASE_DATOS[[#This Row],[Capital($)]:[Interés
Resarcitorio($)]])</f>
        <v>87.162000000000006</v>
      </c>
      <c r="G750" s="8">
        <v>44100</v>
      </c>
      <c r="H750" s="80" t="s">
        <v>54</v>
      </c>
      <c r="I750" s="79" t="s">
        <v>7</v>
      </c>
      <c r="J750" s="81">
        <v>60</v>
      </c>
      <c r="K750" t="s">
        <v>46</v>
      </c>
    </row>
    <row r="751" spans="2:11" x14ac:dyDescent="0.25">
      <c r="B751" s="2">
        <v>5</v>
      </c>
      <c r="C751" s="4">
        <v>410.93100000000004</v>
      </c>
      <c r="D751" s="4">
        <v>57.119000000000007</v>
      </c>
      <c r="E751" s="79">
        <v>0</v>
      </c>
      <c r="F751" s="79">
        <f>SUM(BASE_DATOS[[#This Row],[Capital($)]:[Interés
Resarcitorio($)]])</f>
        <v>468.05000000000007</v>
      </c>
      <c r="G751" s="8">
        <v>44120</v>
      </c>
      <c r="H751" s="80" t="s">
        <v>54</v>
      </c>
      <c r="I751" s="79" t="s">
        <v>9</v>
      </c>
      <c r="J751" s="81">
        <v>60</v>
      </c>
      <c r="K751" t="s">
        <v>46</v>
      </c>
    </row>
    <row r="752" spans="2:11" x14ac:dyDescent="0.25">
      <c r="B752" s="2">
        <f>+B751</f>
        <v>5</v>
      </c>
      <c r="C752" s="4">
        <v>0</v>
      </c>
      <c r="D752" s="4">
        <v>57.119000000000007</v>
      </c>
      <c r="E752" s="79">
        <v>47.12</v>
      </c>
      <c r="F752" s="79">
        <f>SUM(BASE_DATOS[[#This Row],[Capital($)]:[Interés
Resarcitorio($)]])</f>
        <v>104.239</v>
      </c>
      <c r="G752" s="8">
        <v>44130</v>
      </c>
      <c r="H752" s="80" t="s">
        <v>54</v>
      </c>
      <c r="I752" s="79" t="s">
        <v>7</v>
      </c>
      <c r="J752" s="81">
        <v>60</v>
      </c>
      <c r="K752" t="s">
        <v>46</v>
      </c>
    </row>
    <row r="753" spans="2:11" x14ac:dyDescent="0.25">
      <c r="B753" s="2">
        <v>6</v>
      </c>
      <c r="C753" s="4">
        <v>410.93100000000004</v>
      </c>
      <c r="D753" s="4">
        <v>69.858000000000004</v>
      </c>
      <c r="E753" s="79">
        <v>0</v>
      </c>
      <c r="F753" s="79">
        <f>SUM(BASE_DATOS[[#This Row],[Capital($)]:[Interés
Resarcitorio($)]])</f>
        <v>480.78900000000004</v>
      </c>
      <c r="G753" s="8">
        <v>44151</v>
      </c>
      <c r="H753" s="80" t="s">
        <v>54</v>
      </c>
      <c r="I753" s="79" t="s">
        <v>9</v>
      </c>
      <c r="J753" s="81">
        <v>60</v>
      </c>
      <c r="K753" t="s">
        <v>46</v>
      </c>
    </row>
    <row r="754" spans="2:11" x14ac:dyDescent="0.25">
      <c r="B754" s="2">
        <f>+B753</f>
        <v>6</v>
      </c>
      <c r="C754" s="4">
        <v>0</v>
      </c>
      <c r="D754" s="4">
        <v>69.858000000000004</v>
      </c>
      <c r="E754" s="79">
        <v>48.4</v>
      </c>
      <c r="F754" s="79">
        <f>SUM(BASE_DATOS[[#This Row],[Capital($)]:[Interés
Resarcitorio($)]])</f>
        <v>118.25800000000001</v>
      </c>
      <c r="G754" s="8">
        <v>44161</v>
      </c>
      <c r="H754" s="80" t="s">
        <v>54</v>
      </c>
      <c r="I754" s="79" t="s">
        <v>7</v>
      </c>
      <c r="J754" s="81">
        <v>60</v>
      </c>
      <c r="K754" t="s">
        <v>46</v>
      </c>
    </row>
    <row r="755" spans="2:11" x14ac:dyDescent="0.25">
      <c r="B755" s="2">
        <v>7</v>
      </c>
      <c r="C755" s="4">
        <v>410.93100000000004</v>
      </c>
      <c r="D755" s="4">
        <v>81.775000000000006</v>
      </c>
      <c r="E755" s="79">
        <v>0</v>
      </c>
      <c r="F755" s="79">
        <f>SUM(BASE_DATOS[[#This Row],[Capital($)]:[Interés
Resarcitorio($)]])</f>
        <v>492.70600000000002</v>
      </c>
      <c r="G755" s="8">
        <v>44181</v>
      </c>
      <c r="H755" s="80" t="s">
        <v>54</v>
      </c>
      <c r="I755" s="79" t="s">
        <v>9</v>
      </c>
      <c r="J755" s="81">
        <v>60</v>
      </c>
      <c r="K755" t="s">
        <v>46</v>
      </c>
    </row>
    <row r="756" spans="2:11" x14ac:dyDescent="0.25">
      <c r="B756" s="2">
        <f>+B755</f>
        <v>7</v>
      </c>
      <c r="C756" s="4">
        <v>0</v>
      </c>
      <c r="D756" s="4">
        <v>81.775000000000006</v>
      </c>
      <c r="E756" s="79">
        <v>49.6</v>
      </c>
      <c r="F756" s="79">
        <f>SUM(BASE_DATOS[[#This Row],[Capital($)]:[Interés
Resarcitorio($)]])</f>
        <v>131.375</v>
      </c>
      <c r="G756" s="8">
        <v>44191</v>
      </c>
      <c r="H756" s="80" t="s">
        <v>54</v>
      </c>
      <c r="I756" s="79" t="s">
        <v>7</v>
      </c>
      <c r="J756" s="81">
        <v>60</v>
      </c>
      <c r="K756" t="s">
        <v>46</v>
      </c>
    </row>
    <row r="757" spans="2:11" x14ac:dyDescent="0.25">
      <c r="B757" s="2">
        <v>8</v>
      </c>
      <c r="C757" s="4">
        <v>410.93100000000004</v>
      </c>
      <c r="D757" s="4">
        <v>94.513999999999996</v>
      </c>
      <c r="E757" s="79">
        <v>0</v>
      </c>
      <c r="F757" s="79">
        <f>SUM(BASE_DATOS[[#This Row],[Capital($)]:[Interés
Resarcitorio($)]])</f>
        <v>505.44500000000005</v>
      </c>
      <c r="G757" s="8">
        <v>44212</v>
      </c>
      <c r="H757" s="80" t="s">
        <v>54</v>
      </c>
      <c r="I757" s="79" t="s">
        <v>9</v>
      </c>
      <c r="J757" s="81">
        <v>60</v>
      </c>
      <c r="K757" t="s">
        <v>46</v>
      </c>
    </row>
    <row r="758" spans="2:11" x14ac:dyDescent="0.25">
      <c r="B758" s="2">
        <f>+B757</f>
        <v>8</v>
      </c>
      <c r="C758" s="4">
        <v>0</v>
      </c>
      <c r="D758" s="4">
        <v>94.513999999999996</v>
      </c>
      <c r="E758" s="79">
        <v>56.44</v>
      </c>
      <c r="F758" s="79">
        <f>SUM(BASE_DATOS[[#This Row],[Capital($)]:[Interés
Resarcitorio($)]])</f>
        <v>150.95400000000001</v>
      </c>
      <c r="G758" s="8">
        <v>44222</v>
      </c>
      <c r="H758" s="80" t="s">
        <v>54</v>
      </c>
      <c r="I758" s="79" t="s">
        <v>7</v>
      </c>
      <c r="J758" s="81">
        <v>60</v>
      </c>
      <c r="K758" t="s">
        <v>46</v>
      </c>
    </row>
    <row r="759" spans="2:11" x14ac:dyDescent="0.25">
      <c r="B759" s="2">
        <v>9</v>
      </c>
      <c r="C759" s="4">
        <v>410.93100000000004</v>
      </c>
      <c r="D759" s="4">
        <v>106.226</v>
      </c>
      <c r="E759" s="79">
        <v>0</v>
      </c>
      <c r="F759" s="79">
        <f>SUM(BASE_DATOS[[#This Row],[Capital($)]:[Interés
Resarcitorio($)]])</f>
        <v>517.15700000000004</v>
      </c>
      <c r="G759" s="8">
        <v>44243</v>
      </c>
      <c r="H759" s="80" t="s">
        <v>54</v>
      </c>
      <c r="I759" s="79" t="s">
        <v>9</v>
      </c>
      <c r="J759" s="81">
        <v>60</v>
      </c>
      <c r="K759" t="s">
        <v>46</v>
      </c>
    </row>
    <row r="760" spans="2:11" x14ac:dyDescent="0.25">
      <c r="B760" s="2">
        <f>+B759</f>
        <v>9</v>
      </c>
      <c r="C760" s="4">
        <v>0</v>
      </c>
      <c r="D760" s="4">
        <v>106.226</v>
      </c>
      <c r="E760" s="79">
        <v>57.75</v>
      </c>
      <c r="F760" s="79">
        <f>SUM(BASE_DATOS[[#This Row],[Capital($)]:[Interés
Resarcitorio($)]])</f>
        <v>163.976</v>
      </c>
      <c r="G760" s="8">
        <v>44253</v>
      </c>
      <c r="H760" s="80" t="s">
        <v>54</v>
      </c>
      <c r="I760" s="79" t="s">
        <v>7</v>
      </c>
      <c r="J760" s="81">
        <v>60</v>
      </c>
      <c r="K760" t="s">
        <v>46</v>
      </c>
    </row>
    <row r="761" spans="2:11" x14ac:dyDescent="0.25">
      <c r="B761" s="2">
        <v>10</v>
      </c>
      <c r="C761" s="4">
        <v>410.93100000000004</v>
      </c>
      <c r="D761" s="4">
        <v>117.93699999999998</v>
      </c>
      <c r="E761" s="79">
        <v>0</v>
      </c>
      <c r="F761" s="79">
        <f>SUM(BASE_DATOS[[#This Row],[Capital($)]:[Interés
Resarcitorio($)]])</f>
        <v>528.86800000000005</v>
      </c>
      <c r="G761" s="8">
        <v>44271</v>
      </c>
      <c r="H761" s="80" t="s">
        <v>54</v>
      </c>
      <c r="I761" s="79" t="s">
        <v>9</v>
      </c>
      <c r="J761" s="81">
        <v>60</v>
      </c>
      <c r="K761" t="s">
        <v>46</v>
      </c>
    </row>
    <row r="762" spans="2:11" x14ac:dyDescent="0.25">
      <c r="B762" s="2">
        <f>+B761</f>
        <v>10</v>
      </c>
      <c r="C762" s="4">
        <v>0</v>
      </c>
      <c r="D762" s="4">
        <v>117.93699999999998</v>
      </c>
      <c r="E762" s="79">
        <v>59.05</v>
      </c>
      <c r="F762" s="79">
        <f>SUM(BASE_DATOS[[#This Row],[Capital($)]:[Interés
Resarcitorio($)]])</f>
        <v>176.98699999999997</v>
      </c>
      <c r="G762" s="8">
        <v>44281</v>
      </c>
      <c r="H762" s="80" t="s">
        <v>54</v>
      </c>
      <c r="I762" s="79" t="s">
        <v>7</v>
      </c>
      <c r="J762" s="81">
        <v>60</v>
      </c>
      <c r="K762" t="s">
        <v>46</v>
      </c>
    </row>
    <row r="763" spans="2:11" x14ac:dyDescent="0.25">
      <c r="B763" s="2">
        <v>11</v>
      </c>
      <c r="C763" s="4">
        <v>410.93100000000004</v>
      </c>
      <c r="D763" s="4">
        <v>129.649</v>
      </c>
      <c r="E763" s="79">
        <v>0</v>
      </c>
      <c r="F763" s="79">
        <f>SUM(BASE_DATOS[[#This Row],[Capital($)]:[Interés
Resarcitorio($)]])</f>
        <v>540.58000000000004</v>
      </c>
      <c r="G763" s="8">
        <v>44302</v>
      </c>
      <c r="H763" s="80" t="s">
        <v>54</v>
      </c>
      <c r="I763" s="79" t="s">
        <v>9</v>
      </c>
      <c r="J763" s="81">
        <v>60</v>
      </c>
      <c r="K763" t="s">
        <v>46</v>
      </c>
    </row>
    <row r="764" spans="2:11" x14ac:dyDescent="0.25">
      <c r="B764" s="2">
        <f>+B763</f>
        <v>11</v>
      </c>
      <c r="C764" s="4">
        <v>0</v>
      </c>
      <c r="D764" s="4">
        <v>129.649</v>
      </c>
      <c r="E764" s="79">
        <v>60.36</v>
      </c>
      <c r="F764" s="79">
        <f>SUM(BASE_DATOS[[#This Row],[Capital($)]:[Interés
Resarcitorio($)]])</f>
        <v>190.00900000000001</v>
      </c>
      <c r="G764" s="8">
        <v>44312</v>
      </c>
      <c r="H764" s="80" t="s">
        <v>54</v>
      </c>
      <c r="I764" s="79" t="s">
        <v>7</v>
      </c>
      <c r="J764" s="81">
        <v>60</v>
      </c>
      <c r="K764" t="s">
        <v>46</v>
      </c>
    </row>
    <row r="765" spans="2:11" x14ac:dyDescent="0.25">
      <c r="B765" s="2">
        <v>12</v>
      </c>
      <c r="C765" s="4">
        <v>410.93100000000004</v>
      </c>
      <c r="D765" s="4">
        <v>141.36099999999999</v>
      </c>
      <c r="E765" s="79">
        <v>0</v>
      </c>
      <c r="F765" s="79">
        <f>SUM(BASE_DATOS[[#This Row],[Capital($)]:[Interés
Resarcitorio($)]])</f>
        <v>552.29200000000003</v>
      </c>
      <c r="G765" s="8">
        <v>44332</v>
      </c>
      <c r="H765" s="80" t="s">
        <v>54</v>
      </c>
      <c r="I765" s="79" t="s">
        <v>9</v>
      </c>
      <c r="J765" s="81">
        <v>60</v>
      </c>
      <c r="K765" t="s">
        <v>46</v>
      </c>
    </row>
    <row r="766" spans="2:11" x14ac:dyDescent="0.25">
      <c r="B766" s="2">
        <f>+B765</f>
        <v>12</v>
      </c>
      <c r="C766" s="4">
        <v>0</v>
      </c>
      <c r="D766" s="4">
        <v>141.36099999999999</v>
      </c>
      <c r="E766" s="79">
        <v>61.67</v>
      </c>
      <c r="F766" s="79">
        <f>SUM(BASE_DATOS[[#This Row],[Capital($)]:[Interés
Resarcitorio($)]])</f>
        <v>203.03100000000001</v>
      </c>
      <c r="G766" s="8">
        <v>44342</v>
      </c>
      <c r="H766" s="80" t="s">
        <v>54</v>
      </c>
      <c r="I766" s="79" t="s">
        <v>7</v>
      </c>
      <c r="J766" s="81">
        <v>60</v>
      </c>
      <c r="K766" t="s">
        <v>46</v>
      </c>
    </row>
    <row r="767" spans="2:11" x14ac:dyDescent="0.25">
      <c r="B767" s="2">
        <v>13</v>
      </c>
      <c r="C767" s="4">
        <v>410.93100000000004</v>
      </c>
      <c r="D767" s="4">
        <v>153.071</v>
      </c>
      <c r="E767" s="79">
        <v>0</v>
      </c>
      <c r="F767" s="79">
        <f>SUM(BASE_DATOS[[#This Row],[Capital($)]:[Interés
Resarcitorio($)]])</f>
        <v>564.00200000000007</v>
      </c>
      <c r="G767" s="8">
        <v>44363</v>
      </c>
      <c r="H767" s="80" t="s">
        <v>54</v>
      </c>
      <c r="I767" s="79" t="s">
        <v>9</v>
      </c>
      <c r="J767" s="81">
        <v>60</v>
      </c>
      <c r="K767" t="s">
        <v>46</v>
      </c>
    </row>
    <row r="768" spans="2:11" x14ac:dyDescent="0.25">
      <c r="B768" s="2">
        <f>+B767</f>
        <v>13</v>
      </c>
      <c r="C768" s="4">
        <v>0</v>
      </c>
      <c r="D768" s="4">
        <v>153.071</v>
      </c>
      <c r="E768" s="79">
        <v>62.98</v>
      </c>
      <c r="F768" s="79">
        <f>SUM(BASE_DATOS[[#This Row],[Capital($)]:[Interés
Resarcitorio($)]])</f>
        <v>216.05099999999999</v>
      </c>
      <c r="G768" s="8">
        <v>44373</v>
      </c>
      <c r="H768" s="80" t="s">
        <v>54</v>
      </c>
      <c r="I768" s="79" t="s">
        <v>7</v>
      </c>
      <c r="J768" s="81">
        <v>60</v>
      </c>
      <c r="K768" t="s">
        <v>46</v>
      </c>
    </row>
    <row r="769" spans="2:11" x14ac:dyDescent="0.25">
      <c r="B769" s="2">
        <v>14</v>
      </c>
      <c r="C769" s="4">
        <v>410.93100000000004</v>
      </c>
      <c r="D769" s="4">
        <v>164.78299999999999</v>
      </c>
      <c r="E769" s="79">
        <v>0</v>
      </c>
      <c r="F769" s="79">
        <f>SUM(BASE_DATOS[[#This Row],[Capital($)]:[Interés
Resarcitorio($)]])</f>
        <v>575.71400000000006</v>
      </c>
      <c r="G769" s="8">
        <v>44393</v>
      </c>
      <c r="H769" s="80" t="s">
        <v>54</v>
      </c>
      <c r="I769" s="79" t="s">
        <v>9</v>
      </c>
      <c r="J769" s="81">
        <v>60</v>
      </c>
      <c r="K769" t="s">
        <v>46</v>
      </c>
    </row>
    <row r="770" spans="2:11" x14ac:dyDescent="0.25">
      <c r="B770" s="2">
        <f>+B769</f>
        <v>14</v>
      </c>
      <c r="C770" s="4">
        <v>0</v>
      </c>
      <c r="D770" s="4">
        <v>164.78299999999999</v>
      </c>
      <c r="E770" s="79">
        <v>64.28</v>
      </c>
      <c r="F770" s="79">
        <f>SUM(BASE_DATOS[[#This Row],[Capital($)]:[Interés
Resarcitorio($)]])</f>
        <v>229.06299999999999</v>
      </c>
      <c r="G770" s="8">
        <v>44403</v>
      </c>
      <c r="H770" s="80" t="s">
        <v>54</v>
      </c>
      <c r="I770" s="79" t="s">
        <v>7</v>
      </c>
      <c r="J770" s="81">
        <v>60</v>
      </c>
      <c r="K770" t="s">
        <v>46</v>
      </c>
    </row>
    <row r="771" spans="2:11" x14ac:dyDescent="0.25">
      <c r="B771" s="2">
        <v>15</v>
      </c>
      <c r="C771" s="4">
        <v>410.93100000000004</v>
      </c>
      <c r="D771" s="4">
        <v>176.45400000000001</v>
      </c>
      <c r="E771" s="79">
        <v>0</v>
      </c>
      <c r="F771" s="79">
        <f>SUM(BASE_DATOS[[#This Row],[Capital($)]:[Interés
Resarcitorio($)]])</f>
        <v>587.38499999999999</v>
      </c>
      <c r="G771" s="8">
        <v>44424</v>
      </c>
      <c r="H771" s="80" t="s">
        <v>54</v>
      </c>
      <c r="I771" s="79" t="s">
        <v>9</v>
      </c>
      <c r="J771" s="81">
        <v>60</v>
      </c>
      <c r="K771" t="s">
        <v>46</v>
      </c>
    </row>
    <row r="772" spans="2:11" x14ac:dyDescent="0.25">
      <c r="B772" s="2">
        <f>+B771</f>
        <v>15</v>
      </c>
      <c r="C772" s="4">
        <v>0</v>
      </c>
      <c r="D772" s="4">
        <v>176.45400000000001</v>
      </c>
      <c r="E772" s="79">
        <v>65.599999999999994</v>
      </c>
      <c r="F772" s="79">
        <f>SUM(BASE_DATOS[[#This Row],[Capital($)]:[Interés
Resarcitorio($)]])</f>
        <v>242.054</v>
      </c>
      <c r="G772" s="8">
        <v>44434</v>
      </c>
      <c r="H772" s="80" t="s">
        <v>54</v>
      </c>
      <c r="I772" s="79" t="s">
        <v>7</v>
      </c>
      <c r="J772" s="81">
        <v>60</v>
      </c>
      <c r="K772" t="s">
        <v>46</v>
      </c>
    </row>
    <row r="773" spans="2:11" x14ac:dyDescent="0.25">
      <c r="B773" s="2">
        <v>16</v>
      </c>
      <c r="C773" s="4">
        <v>410.93100000000004</v>
      </c>
      <c r="D773" s="4">
        <v>188.124</v>
      </c>
      <c r="E773" s="79">
        <v>0</v>
      </c>
      <c r="F773" s="79">
        <f>SUM(BASE_DATOS[[#This Row],[Capital($)]:[Interés
Resarcitorio($)]])</f>
        <v>599.05500000000006</v>
      </c>
      <c r="G773" s="8">
        <v>44455</v>
      </c>
      <c r="H773" s="80" t="s">
        <v>54</v>
      </c>
      <c r="I773" s="79" t="s">
        <v>9</v>
      </c>
      <c r="J773" s="81">
        <v>60</v>
      </c>
      <c r="K773" t="s">
        <v>46</v>
      </c>
    </row>
    <row r="774" spans="2:11" x14ac:dyDescent="0.25">
      <c r="B774" s="2">
        <f>+B773</f>
        <v>16</v>
      </c>
      <c r="C774" s="4">
        <v>0</v>
      </c>
      <c r="D774" s="4">
        <v>188.124</v>
      </c>
      <c r="E774" s="79">
        <v>66.900000000000006</v>
      </c>
      <c r="F774" s="79">
        <f>SUM(BASE_DATOS[[#This Row],[Capital($)]:[Interés
Resarcitorio($)]])</f>
        <v>255.024</v>
      </c>
      <c r="G774" s="8">
        <v>44465</v>
      </c>
      <c r="H774" s="80" t="s">
        <v>54</v>
      </c>
      <c r="I774" s="79" t="s">
        <v>7</v>
      </c>
      <c r="J774" s="81">
        <v>60</v>
      </c>
      <c r="K774" t="s">
        <v>46</v>
      </c>
    </row>
    <row r="775" spans="2:11" x14ac:dyDescent="0.25">
      <c r="B775" s="2">
        <v>17</v>
      </c>
      <c r="C775" s="4">
        <v>410.93100000000004</v>
      </c>
      <c r="D775" s="4">
        <v>199.79400000000001</v>
      </c>
      <c r="E775" s="79">
        <v>0</v>
      </c>
      <c r="F775" s="79">
        <f>SUM(BASE_DATOS[[#This Row],[Capital($)]:[Interés
Resarcitorio($)]])</f>
        <v>610.72500000000002</v>
      </c>
      <c r="G775" s="8">
        <v>44485</v>
      </c>
      <c r="H775" s="80" t="s">
        <v>54</v>
      </c>
      <c r="I775" s="79" t="s">
        <v>9</v>
      </c>
      <c r="J775" s="81">
        <v>60</v>
      </c>
      <c r="K775" t="s">
        <v>46</v>
      </c>
    </row>
    <row r="776" spans="2:11" x14ac:dyDescent="0.25">
      <c r="B776" s="2">
        <f>+B775</f>
        <v>17</v>
      </c>
      <c r="C776" s="4">
        <v>0</v>
      </c>
      <c r="D776" s="4">
        <v>199.79400000000001</v>
      </c>
      <c r="E776" s="79">
        <v>68.2</v>
      </c>
      <c r="F776" s="79">
        <f>SUM(BASE_DATOS[[#This Row],[Capital($)]:[Interés
Resarcitorio($)]])</f>
        <v>267.99400000000003</v>
      </c>
      <c r="G776" s="8">
        <v>44495</v>
      </c>
      <c r="H776" s="80" t="s">
        <v>54</v>
      </c>
      <c r="I776" s="79" t="s">
        <v>7</v>
      </c>
      <c r="J776" s="81">
        <v>60</v>
      </c>
      <c r="K776" t="s">
        <v>46</v>
      </c>
    </row>
    <row r="777" spans="2:11" x14ac:dyDescent="0.25">
      <c r="B777" s="2">
        <v>18</v>
      </c>
      <c r="C777" s="4">
        <v>410.93100000000004</v>
      </c>
      <c r="D777" s="4">
        <v>211.465</v>
      </c>
      <c r="E777" s="79">
        <v>0</v>
      </c>
      <c r="F777" s="79">
        <f>SUM(BASE_DATOS[[#This Row],[Capital($)]:[Interés
Resarcitorio($)]])</f>
        <v>622.39600000000007</v>
      </c>
      <c r="G777" s="8">
        <v>44516</v>
      </c>
      <c r="H777" s="80" t="s">
        <v>54</v>
      </c>
      <c r="I777" s="79" t="s">
        <v>9</v>
      </c>
      <c r="J777" s="81">
        <v>60</v>
      </c>
      <c r="K777" t="s">
        <v>46</v>
      </c>
    </row>
    <row r="778" spans="2:11" x14ac:dyDescent="0.25">
      <c r="B778" s="2">
        <f>+B777</f>
        <v>18</v>
      </c>
      <c r="C778" s="4">
        <v>0</v>
      </c>
      <c r="D778" s="4">
        <v>211.465</v>
      </c>
      <c r="E778" s="79">
        <v>69.5</v>
      </c>
      <c r="F778" s="79">
        <f>SUM(BASE_DATOS[[#This Row],[Capital($)]:[Interés
Resarcitorio($)]])</f>
        <v>280.96500000000003</v>
      </c>
      <c r="G778" s="8">
        <v>44526</v>
      </c>
      <c r="H778" s="80" t="s">
        <v>54</v>
      </c>
      <c r="I778" s="79" t="s">
        <v>7</v>
      </c>
      <c r="J778" s="81">
        <v>60</v>
      </c>
      <c r="K778" t="s">
        <v>46</v>
      </c>
    </row>
    <row r="779" spans="2:11" x14ac:dyDescent="0.25">
      <c r="B779" s="2">
        <v>19</v>
      </c>
      <c r="C779" s="4">
        <v>410.93100000000004</v>
      </c>
      <c r="D779" s="4">
        <v>223.13600000000002</v>
      </c>
      <c r="E779" s="79">
        <v>0</v>
      </c>
      <c r="F779" s="79">
        <f>SUM(BASE_DATOS[[#This Row],[Capital($)]:[Interés
Resarcitorio($)]])</f>
        <v>634.06700000000001</v>
      </c>
      <c r="G779" s="8">
        <v>44546</v>
      </c>
      <c r="H779" s="80" t="s">
        <v>54</v>
      </c>
      <c r="I779" s="79" t="s">
        <v>9</v>
      </c>
      <c r="J779" s="81">
        <v>60</v>
      </c>
      <c r="K779" t="s">
        <v>46</v>
      </c>
    </row>
    <row r="780" spans="2:11" x14ac:dyDescent="0.25">
      <c r="B780" s="2">
        <f>+B779</f>
        <v>19</v>
      </c>
      <c r="C780" s="4">
        <v>0</v>
      </c>
      <c r="D780" s="4">
        <v>223.13600000000002</v>
      </c>
      <c r="E780" s="79">
        <v>70.81</v>
      </c>
      <c r="F780" s="79">
        <f>SUM(BASE_DATOS[[#This Row],[Capital($)]:[Interés
Resarcitorio($)]])</f>
        <v>293.94600000000003</v>
      </c>
      <c r="G780" s="8">
        <v>44556</v>
      </c>
      <c r="H780" s="80" t="s">
        <v>54</v>
      </c>
      <c r="I780" s="79" t="s">
        <v>7</v>
      </c>
      <c r="J780" s="81">
        <v>60</v>
      </c>
      <c r="K780" t="s">
        <v>46</v>
      </c>
    </row>
    <row r="781" spans="2:11" x14ac:dyDescent="0.25">
      <c r="B781" s="2">
        <v>20</v>
      </c>
      <c r="C781" s="4">
        <v>410.93100000000004</v>
      </c>
      <c r="D781" s="4">
        <v>234.80599999999998</v>
      </c>
      <c r="E781" s="79">
        <v>0</v>
      </c>
      <c r="F781" s="79">
        <f>SUM(BASE_DATOS[[#This Row],[Capital($)]:[Interés
Resarcitorio($)]])</f>
        <v>645.73700000000008</v>
      </c>
      <c r="G781" s="8">
        <v>44577</v>
      </c>
      <c r="H781" s="80" t="s">
        <v>54</v>
      </c>
      <c r="I781" s="79" t="s">
        <v>9</v>
      </c>
      <c r="J781" s="81">
        <v>60</v>
      </c>
      <c r="K781" t="s">
        <v>46</v>
      </c>
    </row>
    <row r="782" spans="2:11" x14ac:dyDescent="0.25">
      <c r="B782" s="2">
        <f>+B781</f>
        <v>20</v>
      </c>
      <c r="C782" s="4">
        <v>0</v>
      </c>
      <c r="D782" s="4">
        <v>234.80599999999998</v>
      </c>
      <c r="E782" s="79">
        <v>72.11</v>
      </c>
      <c r="F782" s="79">
        <f>SUM(BASE_DATOS[[#This Row],[Capital($)]:[Interés
Resarcitorio($)]])</f>
        <v>306.916</v>
      </c>
      <c r="G782" s="8">
        <v>44587</v>
      </c>
      <c r="H782" s="80" t="s">
        <v>54</v>
      </c>
      <c r="I782" s="79" t="s">
        <v>7</v>
      </c>
      <c r="J782" s="81">
        <v>60</v>
      </c>
      <c r="K782" t="s">
        <v>46</v>
      </c>
    </row>
    <row r="783" spans="2:11" x14ac:dyDescent="0.25">
      <c r="B783" s="2">
        <v>21</v>
      </c>
      <c r="C783" s="4">
        <v>410.93100000000004</v>
      </c>
      <c r="D783" s="4">
        <v>247.66799999999998</v>
      </c>
      <c r="E783" s="79">
        <v>0</v>
      </c>
      <c r="F783" s="79">
        <f>SUM(BASE_DATOS[[#This Row],[Capital($)]:[Interés
Resarcitorio($)]])</f>
        <v>658.59900000000005</v>
      </c>
      <c r="G783" s="8">
        <v>44608</v>
      </c>
      <c r="H783" s="80" t="s">
        <v>54</v>
      </c>
      <c r="I783" s="79" t="s">
        <v>9</v>
      </c>
      <c r="J783" s="81">
        <v>60</v>
      </c>
      <c r="K783" t="s">
        <v>46</v>
      </c>
    </row>
    <row r="784" spans="2:11" x14ac:dyDescent="0.25">
      <c r="B784" s="2">
        <f>+B783</f>
        <v>21</v>
      </c>
      <c r="C784" s="4">
        <v>0</v>
      </c>
      <c r="D784" s="4">
        <v>247.66799999999998</v>
      </c>
      <c r="E784" s="79">
        <v>73.55</v>
      </c>
      <c r="F784" s="79">
        <f>SUM(BASE_DATOS[[#This Row],[Capital($)]:[Interés
Resarcitorio($)]])</f>
        <v>321.21799999999996</v>
      </c>
      <c r="G784" s="8">
        <v>44618</v>
      </c>
      <c r="H784" s="80" t="s">
        <v>54</v>
      </c>
      <c r="I784" s="79" t="s">
        <v>7</v>
      </c>
      <c r="J784" s="81">
        <v>60</v>
      </c>
      <c r="K784" t="s">
        <v>46</v>
      </c>
    </row>
    <row r="785" spans="2:11" x14ac:dyDescent="0.25">
      <c r="B785" s="2">
        <v>22</v>
      </c>
      <c r="C785" s="4">
        <v>410.93100000000004</v>
      </c>
      <c r="D785" s="4">
        <v>260.53000000000003</v>
      </c>
      <c r="E785" s="79">
        <v>0</v>
      </c>
      <c r="F785" s="79">
        <f>SUM(BASE_DATOS[[#This Row],[Capital($)]:[Interés
Resarcitorio($)]])</f>
        <v>671.46100000000001</v>
      </c>
      <c r="G785" s="8">
        <v>44636</v>
      </c>
      <c r="H785" s="80" t="s">
        <v>54</v>
      </c>
      <c r="I785" s="79" t="s">
        <v>9</v>
      </c>
      <c r="J785" s="81">
        <v>60</v>
      </c>
      <c r="K785" t="s">
        <v>46</v>
      </c>
    </row>
    <row r="786" spans="2:11" x14ac:dyDescent="0.25">
      <c r="B786" s="2">
        <f>+B785</f>
        <v>22</v>
      </c>
      <c r="C786" s="4">
        <v>0</v>
      </c>
      <c r="D786" s="4">
        <v>260.53000000000003</v>
      </c>
      <c r="E786" s="79">
        <v>74.98</v>
      </c>
      <c r="F786" s="79">
        <f>SUM(BASE_DATOS[[#This Row],[Capital($)]:[Interés
Resarcitorio($)]])</f>
        <v>335.51000000000005</v>
      </c>
      <c r="G786" s="8">
        <v>44646</v>
      </c>
      <c r="H786" s="80" t="s">
        <v>54</v>
      </c>
      <c r="I786" s="79" t="s">
        <v>7</v>
      </c>
      <c r="J786" s="81">
        <v>60</v>
      </c>
      <c r="K786" t="s">
        <v>46</v>
      </c>
    </row>
    <row r="787" spans="2:11" x14ac:dyDescent="0.25">
      <c r="B787" s="2">
        <v>23</v>
      </c>
      <c r="C787" s="4">
        <v>410.93100000000004</v>
      </c>
      <c r="D787" s="4">
        <v>273.392</v>
      </c>
      <c r="E787" s="79">
        <v>0</v>
      </c>
      <c r="F787" s="79">
        <f>SUM(BASE_DATOS[[#This Row],[Capital($)]:[Interés
Resarcitorio($)]])</f>
        <v>684.32300000000009</v>
      </c>
      <c r="G787" s="8">
        <v>44667</v>
      </c>
      <c r="H787" s="80" t="s">
        <v>54</v>
      </c>
      <c r="I787" s="79" t="s">
        <v>9</v>
      </c>
      <c r="J787" s="81">
        <v>60</v>
      </c>
      <c r="K787" t="s">
        <v>46</v>
      </c>
    </row>
    <row r="788" spans="2:11" x14ac:dyDescent="0.25">
      <c r="B788" s="2">
        <f>+B787</f>
        <v>23</v>
      </c>
      <c r="C788" s="4">
        <v>0</v>
      </c>
      <c r="D788" s="4">
        <v>273.392</v>
      </c>
      <c r="E788" s="79">
        <v>84.86</v>
      </c>
      <c r="F788" s="79">
        <f>SUM(BASE_DATOS[[#This Row],[Capital($)]:[Interés
Resarcitorio($)]])</f>
        <v>358.25200000000001</v>
      </c>
      <c r="G788" s="8">
        <v>44677</v>
      </c>
      <c r="H788" s="80" t="s">
        <v>54</v>
      </c>
      <c r="I788" s="79" t="s">
        <v>7</v>
      </c>
      <c r="J788" s="81">
        <v>60</v>
      </c>
      <c r="K788" t="s">
        <v>46</v>
      </c>
    </row>
    <row r="789" spans="2:11" x14ac:dyDescent="0.25">
      <c r="B789" s="2">
        <v>24</v>
      </c>
      <c r="C789" s="4">
        <v>410.93100000000004</v>
      </c>
      <c r="D789" s="4">
        <v>286.25400000000002</v>
      </c>
      <c r="E789" s="79">
        <v>0</v>
      </c>
      <c r="F789" s="79">
        <f>SUM(BASE_DATOS[[#This Row],[Capital($)]:[Interés
Resarcitorio($)]])</f>
        <v>697.18500000000006</v>
      </c>
      <c r="G789" s="8">
        <v>44697</v>
      </c>
      <c r="H789" s="80" t="s">
        <v>54</v>
      </c>
      <c r="I789" s="79" t="s">
        <v>9</v>
      </c>
      <c r="J789" s="81">
        <v>60</v>
      </c>
      <c r="K789" t="s">
        <v>46</v>
      </c>
    </row>
    <row r="790" spans="2:11" x14ac:dyDescent="0.25">
      <c r="B790" s="2">
        <f>+B789</f>
        <v>24</v>
      </c>
      <c r="C790" s="4">
        <v>0</v>
      </c>
      <c r="D790" s="4">
        <v>286.25400000000002</v>
      </c>
      <c r="E790" s="79">
        <v>86.45</v>
      </c>
      <c r="F790" s="79">
        <f>SUM(BASE_DATOS[[#This Row],[Capital($)]:[Interés
Resarcitorio($)]])</f>
        <v>372.70400000000001</v>
      </c>
      <c r="G790" s="8">
        <v>44707</v>
      </c>
      <c r="H790" s="80" t="s">
        <v>54</v>
      </c>
      <c r="I790" s="79" t="s">
        <v>7</v>
      </c>
      <c r="J790" s="81">
        <v>60</v>
      </c>
      <c r="K790" t="s">
        <v>46</v>
      </c>
    </row>
    <row r="791" spans="2:11" x14ac:dyDescent="0.25">
      <c r="B791" s="2">
        <v>25</v>
      </c>
      <c r="C791" s="4">
        <v>410.93100000000004</v>
      </c>
      <c r="D791" s="4">
        <v>299.11700000000002</v>
      </c>
      <c r="E791" s="79">
        <v>0</v>
      </c>
      <c r="F791" s="79">
        <f>SUM(BASE_DATOS[[#This Row],[Capital($)]:[Interés
Resarcitorio($)]])</f>
        <v>710.048</v>
      </c>
      <c r="G791" s="8">
        <v>44728</v>
      </c>
      <c r="H791" s="80" t="s">
        <v>54</v>
      </c>
      <c r="I791" s="79" t="s">
        <v>9</v>
      </c>
      <c r="J791" s="81">
        <v>60</v>
      </c>
      <c r="K791" t="s">
        <v>46</v>
      </c>
    </row>
    <row r="792" spans="2:11" x14ac:dyDescent="0.25">
      <c r="B792" s="2">
        <f>+B791</f>
        <v>25</v>
      </c>
      <c r="C792" s="4">
        <v>0</v>
      </c>
      <c r="D792" s="4">
        <v>299.11700000000002</v>
      </c>
      <c r="E792" s="79">
        <v>88.05</v>
      </c>
      <c r="F792" s="79">
        <f>SUM(BASE_DATOS[[#This Row],[Capital($)]:[Interés
Resarcitorio($)]])</f>
        <v>387.16700000000003</v>
      </c>
      <c r="G792" s="8">
        <v>44738</v>
      </c>
      <c r="H792" s="80" t="s">
        <v>54</v>
      </c>
      <c r="I792" s="79" t="s">
        <v>7</v>
      </c>
      <c r="J792" s="81">
        <v>60</v>
      </c>
      <c r="K792" t="s">
        <v>46</v>
      </c>
    </row>
    <row r="793" spans="2:11" x14ac:dyDescent="0.25">
      <c r="B793" s="2">
        <v>26</v>
      </c>
      <c r="C793" s="4">
        <v>410.93100000000004</v>
      </c>
      <c r="D793" s="4">
        <v>311.97899999999998</v>
      </c>
      <c r="E793" s="79">
        <v>0</v>
      </c>
      <c r="F793" s="79">
        <f>SUM(BASE_DATOS[[#This Row],[Capital($)]:[Interés
Resarcitorio($)]])</f>
        <v>722.91000000000008</v>
      </c>
      <c r="G793" s="8">
        <v>44758</v>
      </c>
      <c r="H793" s="80" t="s">
        <v>54</v>
      </c>
      <c r="I793" s="79" t="s">
        <v>9</v>
      </c>
      <c r="J793" s="81">
        <v>60</v>
      </c>
      <c r="K793" t="s">
        <v>46</v>
      </c>
    </row>
    <row r="794" spans="2:11" x14ac:dyDescent="0.25">
      <c r="B794" s="2">
        <f>+B793</f>
        <v>26</v>
      </c>
      <c r="C794" s="4">
        <v>0</v>
      </c>
      <c r="D794" s="4">
        <v>311.97899999999998</v>
      </c>
      <c r="E794" s="79">
        <v>102.41</v>
      </c>
      <c r="F794" s="79">
        <f>SUM(BASE_DATOS[[#This Row],[Capital($)]:[Interés
Resarcitorio($)]])</f>
        <v>414.38900000000001</v>
      </c>
      <c r="G794" s="8">
        <v>44768</v>
      </c>
      <c r="H794" s="80" t="s">
        <v>54</v>
      </c>
      <c r="I794" s="79" t="s">
        <v>7</v>
      </c>
      <c r="J794" s="81">
        <v>60</v>
      </c>
      <c r="K794" t="s">
        <v>46</v>
      </c>
    </row>
    <row r="795" spans="2:11" x14ac:dyDescent="0.25">
      <c r="B795" s="2">
        <v>27</v>
      </c>
      <c r="C795" s="4">
        <v>410.93100000000004</v>
      </c>
      <c r="D795" s="4">
        <v>329.279</v>
      </c>
      <c r="E795" s="79">
        <v>0</v>
      </c>
      <c r="F795" s="79">
        <f>SUM(BASE_DATOS[[#This Row],[Capital($)]:[Interés
Resarcitorio($)]])</f>
        <v>740.21</v>
      </c>
      <c r="G795" s="8">
        <v>44789</v>
      </c>
      <c r="H795" s="80" t="s">
        <v>54</v>
      </c>
      <c r="I795" s="79" t="s">
        <v>9</v>
      </c>
      <c r="J795" s="81">
        <v>60</v>
      </c>
      <c r="K795" t="s">
        <v>46</v>
      </c>
    </row>
    <row r="796" spans="2:11" x14ac:dyDescent="0.25">
      <c r="B796" s="2">
        <f>+B795</f>
        <v>27</v>
      </c>
      <c r="C796" s="4">
        <v>0</v>
      </c>
      <c r="D796" s="4">
        <v>329.279</v>
      </c>
      <c r="E796" s="79">
        <v>104.86</v>
      </c>
      <c r="F796" s="79">
        <f>SUM(BASE_DATOS[[#This Row],[Capital($)]:[Interés
Resarcitorio($)]])</f>
        <v>434.13900000000001</v>
      </c>
      <c r="G796" s="8">
        <v>44799</v>
      </c>
      <c r="H796" s="80" t="s">
        <v>54</v>
      </c>
      <c r="I796" s="79" t="s">
        <v>7</v>
      </c>
      <c r="J796" s="81">
        <v>60</v>
      </c>
      <c r="K796" t="s">
        <v>46</v>
      </c>
    </row>
    <row r="797" spans="2:11" x14ac:dyDescent="0.25">
      <c r="B797" s="2">
        <v>28</v>
      </c>
      <c r="C797" s="4">
        <v>410.93100000000004</v>
      </c>
      <c r="D797" s="4">
        <v>346.57900000000001</v>
      </c>
      <c r="E797" s="79">
        <v>0</v>
      </c>
      <c r="F797" s="79">
        <f>SUM(BASE_DATOS[[#This Row],[Capital($)]:[Interés
Resarcitorio($)]])</f>
        <v>757.51</v>
      </c>
      <c r="G797" s="8">
        <v>44820</v>
      </c>
      <c r="H797" s="80" t="s">
        <v>54</v>
      </c>
      <c r="I797" s="79" t="s">
        <v>9</v>
      </c>
      <c r="J797" s="81">
        <v>60</v>
      </c>
      <c r="K797" t="s">
        <v>46</v>
      </c>
    </row>
    <row r="798" spans="2:11" x14ac:dyDescent="0.25">
      <c r="B798" s="2">
        <f>+B797</f>
        <v>28</v>
      </c>
      <c r="C798" s="4">
        <v>0</v>
      </c>
      <c r="D798" s="4">
        <v>346.57900000000001</v>
      </c>
      <c r="E798" s="79">
        <v>149.22</v>
      </c>
      <c r="F798" s="79">
        <f>SUM(BASE_DATOS[[#This Row],[Capital($)]:[Interés
Resarcitorio($)]])</f>
        <v>495.79899999999998</v>
      </c>
      <c r="G798" s="8">
        <v>44830</v>
      </c>
      <c r="H798" s="80" t="s">
        <v>54</v>
      </c>
      <c r="I798" s="79" t="s">
        <v>7</v>
      </c>
      <c r="J798" s="81">
        <v>60</v>
      </c>
      <c r="K798" t="s">
        <v>46</v>
      </c>
    </row>
    <row r="799" spans="2:11" x14ac:dyDescent="0.25">
      <c r="B799" s="2">
        <v>29</v>
      </c>
      <c r="C799" s="4">
        <v>410.93100000000004</v>
      </c>
      <c r="D799" s="4">
        <v>363.87900000000002</v>
      </c>
      <c r="E799" s="79">
        <v>0</v>
      </c>
      <c r="F799" s="79">
        <f>SUM(BASE_DATOS[[#This Row],[Capital($)]:[Interés
Resarcitorio($)]])</f>
        <v>774.81000000000006</v>
      </c>
      <c r="G799" s="8">
        <v>44850</v>
      </c>
      <c r="H799" s="80" t="s">
        <v>54</v>
      </c>
      <c r="I799" s="79" t="s">
        <v>9</v>
      </c>
      <c r="J799" s="81">
        <v>60</v>
      </c>
      <c r="K799" t="s">
        <v>46</v>
      </c>
    </row>
    <row r="800" spans="2:11" x14ac:dyDescent="0.25">
      <c r="B800" s="2">
        <f>+B799</f>
        <v>29</v>
      </c>
      <c r="C800" s="4">
        <v>0</v>
      </c>
      <c r="D800" s="4">
        <v>363.87900000000002</v>
      </c>
      <c r="E800" s="79">
        <v>152.63999999999999</v>
      </c>
      <c r="F800" s="79">
        <f>SUM(BASE_DATOS[[#This Row],[Capital($)]:[Interés
Resarcitorio($)]])</f>
        <v>516.51900000000001</v>
      </c>
      <c r="G800" s="8">
        <v>44860</v>
      </c>
      <c r="H800" s="80" t="s">
        <v>54</v>
      </c>
      <c r="I800" s="79" t="s">
        <v>7</v>
      </c>
      <c r="J800" s="81">
        <v>60</v>
      </c>
      <c r="K800" t="s">
        <v>46</v>
      </c>
    </row>
    <row r="801" spans="2:11" x14ac:dyDescent="0.25">
      <c r="B801" s="2">
        <v>30</v>
      </c>
      <c r="C801" s="4">
        <v>410.93100000000004</v>
      </c>
      <c r="D801" s="4">
        <v>381.17899999999997</v>
      </c>
      <c r="E801" s="79">
        <v>0</v>
      </c>
      <c r="F801" s="79">
        <f>SUM(BASE_DATOS[[#This Row],[Capital($)]:[Interés
Resarcitorio($)]])</f>
        <v>792.11</v>
      </c>
      <c r="G801" s="8">
        <v>44881</v>
      </c>
      <c r="H801" s="80" t="s">
        <v>54</v>
      </c>
      <c r="I801" s="79" t="s">
        <v>9</v>
      </c>
      <c r="J801" s="81">
        <v>60</v>
      </c>
      <c r="K801" t="s">
        <v>46</v>
      </c>
    </row>
    <row r="802" spans="2:11" x14ac:dyDescent="0.25">
      <c r="B802" s="2">
        <f>+B801</f>
        <v>30</v>
      </c>
      <c r="C802" s="4">
        <v>0</v>
      </c>
      <c r="D802" s="4">
        <v>381.17899999999997</v>
      </c>
      <c r="E802" s="79">
        <v>156.05000000000001</v>
      </c>
      <c r="F802" s="79">
        <f>SUM(BASE_DATOS[[#This Row],[Capital($)]:[Interés
Resarcitorio($)]])</f>
        <v>537.22900000000004</v>
      </c>
      <c r="G802" s="8">
        <v>44891</v>
      </c>
      <c r="H802" s="80" t="s">
        <v>54</v>
      </c>
      <c r="I802" s="79" t="s">
        <v>7</v>
      </c>
      <c r="J802" s="81">
        <v>60</v>
      </c>
      <c r="K802" t="s">
        <v>46</v>
      </c>
    </row>
    <row r="803" spans="2:11" x14ac:dyDescent="0.25">
      <c r="B803" s="2">
        <v>31</v>
      </c>
      <c r="C803" s="4">
        <v>410.93100000000004</v>
      </c>
      <c r="D803" s="4">
        <v>398.48</v>
      </c>
      <c r="E803" s="79">
        <v>0</v>
      </c>
      <c r="F803" s="79">
        <f>SUM(BASE_DATOS[[#This Row],[Capital($)]:[Interés
Resarcitorio($)]])</f>
        <v>809.41100000000006</v>
      </c>
      <c r="G803" s="8">
        <v>44911</v>
      </c>
      <c r="H803" s="80" t="s">
        <v>54</v>
      </c>
      <c r="I803" s="79" t="s">
        <v>9</v>
      </c>
      <c r="J803" s="81">
        <v>60</v>
      </c>
      <c r="K803" t="s">
        <v>46</v>
      </c>
    </row>
    <row r="804" spans="2:11" x14ac:dyDescent="0.25">
      <c r="B804" s="2">
        <f>+B803</f>
        <v>31</v>
      </c>
      <c r="C804" s="4">
        <v>0</v>
      </c>
      <c r="D804" s="4">
        <v>398.48</v>
      </c>
      <c r="E804" s="79">
        <v>159.46</v>
      </c>
      <c r="F804" s="79">
        <f>SUM(BASE_DATOS[[#This Row],[Capital($)]:[Interés
Resarcitorio($)]])</f>
        <v>557.94000000000005</v>
      </c>
      <c r="G804" s="8">
        <v>44921</v>
      </c>
      <c r="H804" s="80" t="s">
        <v>54</v>
      </c>
      <c r="I804" s="79" t="s">
        <v>7</v>
      </c>
      <c r="J804" s="81">
        <v>60</v>
      </c>
      <c r="K804" t="s">
        <v>46</v>
      </c>
    </row>
    <row r="805" spans="2:11" x14ac:dyDescent="0.25">
      <c r="B805" s="2">
        <v>32</v>
      </c>
      <c r="C805" s="4">
        <v>410.93100000000004</v>
      </c>
      <c r="D805" s="4">
        <v>415.78000000000003</v>
      </c>
      <c r="E805" s="79">
        <v>0</v>
      </c>
      <c r="F805" s="79">
        <f>SUM(BASE_DATOS[[#This Row],[Capital($)]:[Interés
Resarcitorio($)]])</f>
        <v>826.71100000000001</v>
      </c>
      <c r="G805" s="8">
        <v>44942</v>
      </c>
      <c r="H805" s="80" t="s">
        <v>54</v>
      </c>
      <c r="I805" s="79" t="s">
        <v>9</v>
      </c>
      <c r="J805" s="81">
        <v>60</v>
      </c>
      <c r="K805" t="s">
        <v>46</v>
      </c>
    </row>
    <row r="806" spans="2:11" x14ac:dyDescent="0.25">
      <c r="B806" s="2">
        <f>+B805</f>
        <v>32</v>
      </c>
      <c r="C806" s="4">
        <v>0</v>
      </c>
      <c r="D806" s="4">
        <v>415.78000000000003</v>
      </c>
      <c r="E806" s="79">
        <v>162.86000000000001</v>
      </c>
      <c r="F806" s="79">
        <f>SUM(BASE_DATOS[[#This Row],[Capital($)]:[Interés
Resarcitorio($)]])</f>
        <v>578.6400000000001</v>
      </c>
      <c r="G806" s="8">
        <v>44952</v>
      </c>
      <c r="H806" s="80" t="s">
        <v>54</v>
      </c>
      <c r="I806" s="79" t="s">
        <v>7</v>
      </c>
      <c r="J806" s="81">
        <v>60</v>
      </c>
      <c r="K806" t="s">
        <v>46</v>
      </c>
    </row>
    <row r="807" spans="2:11" x14ac:dyDescent="0.25">
      <c r="B807" s="2">
        <v>33</v>
      </c>
      <c r="C807" s="4">
        <v>410.93100000000004</v>
      </c>
      <c r="D807" s="4">
        <v>439.40899999999999</v>
      </c>
      <c r="E807" s="79">
        <v>0</v>
      </c>
      <c r="F807" s="79">
        <f>SUM(BASE_DATOS[[#This Row],[Capital($)]:[Interés
Resarcitorio($)]])</f>
        <v>850.34</v>
      </c>
      <c r="G807" s="8">
        <v>44973</v>
      </c>
      <c r="H807" s="80" t="s">
        <v>54</v>
      </c>
      <c r="I807" s="79" t="s">
        <v>9</v>
      </c>
      <c r="J807" s="81">
        <v>60</v>
      </c>
      <c r="K807" t="s">
        <v>46</v>
      </c>
    </row>
    <row r="808" spans="2:11" x14ac:dyDescent="0.25">
      <c r="B808" s="2">
        <f>+B807</f>
        <v>33</v>
      </c>
      <c r="C808" s="4">
        <v>0</v>
      </c>
      <c r="D808" s="4">
        <v>439.40899999999999</v>
      </c>
      <c r="E808" s="79">
        <v>167.52</v>
      </c>
      <c r="F808" s="79">
        <f>SUM(BASE_DATOS[[#This Row],[Capital($)]:[Interés
Resarcitorio($)]])</f>
        <v>606.92899999999997</v>
      </c>
      <c r="G808" s="8">
        <v>44983</v>
      </c>
      <c r="H808" s="80" t="s">
        <v>54</v>
      </c>
      <c r="I808" s="79" t="s">
        <v>7</v>
      </c>
      <c r="J808" s="81">
        <v>60</v>
      </c>
      <c r="K808" t="s">
        <v>46</v>
      </c>
    </row>
    <row r="809" spans="2:11" x14ac:dyDescent="0.25">
      <c r="B809" s="2">
        <v>34</v>
      </c>
      <c r="C809" s="4">
        <v>410.93100000000004</v>
      </c>
      <c r="D809" s="4">
        <v>463.03699999999998</v>
      </c>
      <c r="E809" s="79">
        <v>0</v>
      </c>
      <c r="F809" s="79">
        <f>SUM(BASE_DATOS[[#This Row],[Capital($)]:[Interés
Resarcitorio($)]])</f>
        <v>873.96800000000007</v>
      </c>
      <c r="G809" s="8">
        <v>45001</v>
      </c>
      <c r="H809" s="80" t="s">
        <v>54</v>
      </c>
      <c r="I809" s="79" t="s">
        <v>9</v>
      </c>
      <c r="J809" s="81">
        <v>60</v>
      </c>
      <c r="K809" t="s">
        <v>46</v>
      </c>
    </row>
    <row r="810" spans="2:11" x14ac:dyDescent="0.25">
      <c r="B810" s="2">
        <f>+B809</f>
        <v>34</v>
      </c>
      <c r="C810" s="4">
        <v>0</v>
      </c>
      <c r="D810" s="4">
        <v>463.03699999999998</v>
      </c>
      <c r="E810" s="79">
        <v>172.17</v>
      </c>
      <c r="F810" s="79">
        <f>SUM(BASE_DATOS[[#This Row],[Capital($)]:[Interés
Resarcitorio($)]])</f>
        <v>635.20699999999999</v>
      </c>
      <c r="G810" s="8">
        <v>45011</v>
      </c>
      <c r="H810" s="80" t="s">
        <v>54</v>
      </c>
      <c r="I810" s="79" t="s">
        <v>7</v>
      </c>
      <c r="J810" s="81">
        <v>60</v>
      </c>
      <c r="K810" t="s">
        <v>46</v>
      </c>
    </row>
    <row r="811" spans="2:11" x14ac:dyDescent="0.25">
      <c r="B811" s="2">
        <v>35</v>
      </c>
      <c r="C811" s="4">
        <v>410.93100000000004</v>
      </c>
      <c r="D811" s="4">
        <v>486.666</v>
      </c>
      <c r="E811" s="79">
        <v>0</v>
      </c>
      <c r="F811" s="79">
        <f>SUM(BASE_DATOS[[#This Row],[Capital($)]:[Interés
Resarcitorio($)]])</f>
        <v>897.59699999999998</v>
      </c>
      <c r="G811" s="8">
        <v>45032</v>
      </c>
      <c r="H811" s="80" t="s">
        <v>54</v>
      </c>
      <c r="I811" s="79" t="s">
        <v>9</v>
      </c>
      <c r="J811" s="81">
        <v>60</v>
      </c>
      <c r="K811" t="s">
        <v>46</v>
      </c>
    </row>
    <row r="812" spans="2:11" x14ac:dyDescent="0.25">
      <c r="B812" s="2">
        <f>+B811</f>
        <v>35</v>
      </c>
      <c r="C812" s="4">
        <v>0</v>
      </c>
      <c r="D812" s="4">
        <v>486.666</v>
      </c>
      <c r="E812" s="79">
        <v>176.83</v>
      </c>
      <c r="F812" s="79">
        <f>SUM(BASE_DATOS[[#This Row],[Capital($)]:[Interés
Resarcitorio($)]])</f>
        <v>663.49599999999998</v>
      </c>
      <c r="G812" s="8">
        <v>45042</v>
      </c>
      <c r="H812" s="80" t="s">
        <v>54</v>
      </c>
      <c r="I812" s="79" t="s">
        <v>7</v>
      </c>
      <c r="J812" s="81">
        <v>60</v>
      </c>
      <c r="K812" t="s">
        <v>46</v>
      </c>
    </row>
    <row r="813" spans="2:11" x14ac:dyDescent="0.25">
      <c r="B813" s="2">
        <v>36</v>
      </c>
      <c r="C813" s="4">
        <v>410.93100000000004</v>
      </c>
      <c r="D813" s="4">
        <v>510.29399999999998</v>
      </c>
      <c r="E813" s="79">
        <v>0</v>
      </c>
      <c r="F813" s="79">
        <f>SUM(BASE_DATOS[[#This Row],[Capital($)]:[Interés
Resarcitorio($)]])</f>
        <v>921.22500000000002</v>
      </c>
      <c r="G813" s="8">
        <v>45062</v>
      </c>
      <c r="H813" s="80" t="s">
        <v>54</v>
      </c>
      <c r="I813" s="79" t="s">
        <v>9</v>
      </c>
      <c r="J813" s="81">
        <v>60</v>
      </c>
      <c r="K813" t="s">
        <v>46</v>
      </c>
    </row>
    <row r="814" spans="2:11" x14ac:dyDescent="0.25">
      <c r="B814" s="2">
        <f>+B813</f>
        <v>36</v>
      </c>
      <c r="C814" s="4">
        <v>0</v>
      </c>
      <c r="D814" s="4">
        <v>510.29399999999998</v>
      </c>
      <c r="E814" s="79">
        <v>181.48</v>
      </c>
      <c r="F814" s="79">
        <f>SUM(BASE_DATOS[[#This Row],[Capital($)]:[Interés
Resarcitorio($)]])</f>
        <v>691.774</v>
      </c>
      <c r="G814" s="8">
        <v>45072</v>
      </c>
      <c r="H814" s="80" t="s">
        <v>54</v>
      </c>
      <c r="I814" s="79" t="s">
        <v>7</v>
      </c>
      <c r="J814" s="81">
        <v>60</v>
      </c>
      <c r="K814" t="s">
        <v>46</v>
      </c>
    </row>
    <row r="815" spans="2:11" x14ac:dyDescent="0.25">
      <c r="B815" s="2">
        <v>37</v>
      </c>
      <c r="C815" s="4">
        <v>410.93100000000004</v>
      </c>
      <c r="D815" s="4">
        <v>533.92200000000003</v>
      </c>
      <c r="E815" s="79">
        <v>0</v>
      </c>
      <c r="F815" s="79">
        <f>SUM(BASE_DATOS[[#This Row],[Capital($)]:[Interés
Resarcitorio($)]])</f>
        <v>944.85300000000007</v>
      </c>
      <c r="G815" s="8">
        <v>45093</v>
      </c>
      <c r="H815" s="80" t="s">
        <v>54</v>
      </c>
      <c r="I815" s="79" t="s">
        <v>9</v>
      </c>
      <c r="J815" s="81">
        <v>60</v>
      </c>
      <c r="K815" t="s">
        <v>46</v>
      </c>
    </row>
    <row r="816" spans="2:11" x14ac:dyDescent="0.25">
      <c r="B816" s="2">
        <f>+B815</f>
        <v>37</v>
      </c>
      <c r="C816" s="4">
        <v>0</v>
      </c>
      <c r="D816" s="4">
        <v>533.92200000000003</v>
      </c>
      <c r="E816" s="79">
        <v>186.13</v>
      </c>
      <c r="F816" s="79">
        <f>SUM(BASE_DATOS[[#This Row],[Capital($)]:[Interés
Resarcitorio($)]])</f>
        <v>720.05200000000002</v>
      </c>
      <c r="G816" s="8">
        <v>45103</v>
      </c>
      <c r="H816" s="80" t="s">
        <v>54</v>
      </c>
      <c r="I816" s="79" t="s">
        <v>7</v>
      </c>
      <c r="J816" s="81">
        <v>60</v>
      </c>
      <c r="K816" t="s">
        <v>46</v>
      </c>
    </row>
    <row r="817" spans="2:11" x14ac:dyDescent="0.25">
      <c r="B817" s="2">
        <v>38</v>
      </c>
      <c r="C817" s="4">
        <v>410.93100000000004</v>
      </c>
      <c r="D817" s="4">
        <v>557.55100000000004</v>
      </c>
      <c r="E817" s="79">
        <v>0</v>
      </c>
      <c r="F817" s="79">
        <f>SUM(BASE_DATOS[[#This Row],[Capital($)]:[Interés
Resarcitorio($)]])</f>
        <v>968.48200000000008</v>
      </c>
      <c r="G817" s="8">
        <v>45123</v>
      </c>
      <c r="H817" s="80" t="s">
        <v>54</v>
      </c>
      <c r="I817" s="79" t="s">
        <v>9</v>
      </c>
      <c r="J817" s="81">
        <v>60</v>
      </c>
      <c r="K817" t="s">
        <v>46</v>
      </c>
    </row>
    <row r="818" spans="2:11" x14ac:dyDescent="0.25">
      <c r="B818" s="2">
        <f>+B817</f>
        <v>38</v>
      </c>
      <c r="C818" s="4">
        <v>0</v>
      </c>
      <c r="D818" s="4">
        <v>557.55100000000004</v>
      </c>
      <c r="E818" s="79">
        <v>190.79</v>
      </c>
      <c r="F818" s="79">
        <f>SUM(BASE_DATOS[[#This Row],[Capital($)]:[Interés
Resarcitorio($)]])</f>
        <v>748.34100000000001</v>
      </c>
      <c r="G818" s="8">
        <v>45133</v>
      </c>
      <c r="H818" s="80" t="s">
        <v>54</v>
      </c>
      <c r="I818" s="79" t="s">
        <v>7</v>
      </c>
      <c r="J818" s="81">
        <v>60</v>
      </c>
      <c r="K818" t="s">
        <v>46</v>
      </c>
    </row>
    <row r="819" spans="2:11" x14ac:dyDescent="0.25">
      <c r="B819" s="2">
        <v>39</v>
      </c>
      <c r="C819" s="4">
        <v>410.93100000000004</v>
      </c>
      <c r="D819" s="4">
        <v>588.78199999999993</v>
      </c>
      <c r="E819" s="79">
        <v>0</v>
      </c>
      <c r="F819" s="79">
        <f>SUM(BASE_DATOS[[#This Row],[Capital($)]:[Interés
Resarcitorio($)]])</f>
        <v>999.71299999999997</v>
      </c>
      <c r="G819" s="8">
        <v>45154</v>
      </c>
      <c r="H819" s="80" t="s">
        <v>54</v>
      </c>
      <c r="I819" s="79" t="s">
        <v>9</v>
      </c>
      <c r="J819" s="81">
        <v>60</v>
      </c>
      <c r="K819" t="s">
        <v>46</v>
      </c>
    </row>
    <row r="820" spans="2:11" x14ac:dyDescent="0.25">
      <c r="B820" s="2">
        <f>+B819</f>
        <v>39</v>
      </c>
      <c r="C820" s="4">
        <v>0</v>
      </c>
      <c r="D820" s="4">
        <v>588.78199999999993</v>
      </c>
      <c r="E820" s="79">
        <v>196.95</v>
      </c>
      <c r="F820" s="79">
        <f>SUM(BASE_DATOS[[#This Row],[Capital($)]:[Interés
Resarcitorio($)]])</f>
        <v>785.73199999999997</v>
      </c>
      <c r="G820" s="8">
        <v>45164</v>
      </c>
      <c r="H820" s="80" t="s">
        <v>54</v>
      </c>
      <c r="I820" s="79" t="s">
        <v>7</v>
      </c>
      <c r="J820" s="81">
        <v>60</v>
      </c>
      <c r="K820" t="s">
        <v>46</v>
      </c>
    </row>
    <row r="821" spans="2:11" x14ac:dyDescent="0.25">
      <c r="B821" s="2">
        <v>40</v>
      </c>
      <c r="C821" s="4">
        <v>410.93100000000004</v>
      </c>
      <c r="D821" s="4">
        <v>620.01199999999994</v>
      </c>
      <c r="E821" s="79">
        <v>0</v>
      </c>
      <c r="F821" s="79">
        <f>SUM(BASE_DATOS[[#This Row],[Capital($)]:[Interés
Resarcitorio($)]])</f>
        <v>1030.943</v>
      </c>
      <c r="G821" s="8">
        <v>45185</v>
      </c>
      <c r="H821" s="80" t="s">
        <v>54</v>
      </c>
      <c r="I821" s="79" t="s">
        <v>9</v>
      </c>
      <c r="J821" s="81">
        <v>60</v>
      </c>
      <c r="K821" t="s">
        <v>46</v>
      </c>
    </row>
    <row r="822" spans="2:11" x14ac:dyDescent="0.25">
      <c r="B822" s="2">
        <f>+B821</f>
        <v>40</v>
      </c>
      <c r="C822" s="4">
        <v>0</v>
      </c>
      <c r="D822" s="4">
        <v>620.01199999999994</v>
      </c>
      <c r="E822" s="79">
        <v>203.1</v>
      </c>
      <c r="F822" s="79">
        <f>SUM(BASE_DATOS[[#This Row],[Capital($)]:[Interés
Resarcitorio($)]])</f>
        <v>823.11199999999997</v>
      </c>
      <c r="G822" s="8">
        <v>45195</v>
      </c>
      <c r="H822" s="80" t="s">
        <v>54</v>
      </c>
      <c r="I822" s="79" t="s">
        <v>7</v>
      </c>
      <c r="J822" s="81">
        <v>60</v>
      </c>
      <c r="K822" t="s">
        <v>46</v>
      </c>
    </row>
    <row r="823" spans="2:11" x14ac:dyDescent="0.25">
      <c r="B823" s="2">
        <v>41</v>
      </c>
      <c r="C823" s="4">
        <v>410.93100000000004</v>
      </c>
      <c r="D823" s="4">
        <v>651.24399999999991</v>
      </c>
      <c r="E823" s="79">
        <v>0</v>
      </c>
      <c r="F823" s="79">
        <f>SUM(BASE_DATOS[[#This Row],[Capital($)]:[Interés
Resarcitorio($)]])</f>
        <v>1062.175</v>
      </c>
      <c r="G823" s="8">
        <v>45215</v>
      </c>
      <c r="H823" s="80" t="s">
        <v>54</v>
      </c>
      <c r="I823" s="79" t="s">
        <v>9</v>
      </c>
      <c r="J823" s="81">
        <v>60</v>
      </c>
      <c r="K823" t="s">
        <v>46</v>
      </c>
    </row>
    <row r="824" spans="2:11" x14ac:dyDescent="0.25">
      <c r="B824" s="2">
        <f>+B823</f>
        <v>41</v>
      </c>
      <c r="C824" s="4">
        <v>0</v>
      </c>
      <c r="D824" s="4">
        <v>651.24399999999991</v>
      </c>
      <c r="E824" s="79">
        <v>209.25</v>
      </c>
      <c r="F824" s="79">
        <f>SUM(BASE_DATOS[[#This Row],[Capital($)]:[Interés
Resarcitorio($)]])</f>
        <v>860.49399999999991</v>
      </c>
      <c r="G824" s="8">
        <v>45225</v>
      </c>
      <c r="H824" s="80" t="s">
        <v>54</v>
      </c>
      <c r="I824" s="79" t="s">
        <v>7</v>
      </c>
      <c r="J824" s="81">
        <v>60</v>
      </c>
      <c r="K824" t="s">
        <v>46</v>
      </c>
    </row>
    <row r="825" spans="2:11" x14ac:dyDescent="0.25">
      <c r="B825" s="2">
        <v>42</v>
      </c>
      <c r="C825" s="4">
        <v>410.93100000000004</v>
      </c>
      <c r="D825" s="4">
        <v>682.47399999999993</v>
      </c>
      <c r="E825" s="79">
        <v>0</v>
      </c>
      <c r="F825" s="79">
        <f>SUM(BASE_DATOS[[#This Row],[Capital($)]:[Interés
Resarcitorio($)]])</f>
        <v>1093.405</v>
      </c>
      <c r="G825" s="8">
        <v>45246</v>
      </c>
      <c r="H825" s="80" t="s">
        <v>54</v>
      </c>
      <c r="I825" s="79" t="s">
        <v>9</v>
      </c>
      <c r="J825" s="81">
        <v>60</v>
      </c>
      <c r="K825" t="s">
        <v>46</v>
      </c>
    </row>
    <row r="826" spans="2:11" x14ac:dyDescent="0.25">
      <c r="B826" s="2">
        <f>+B825</f>
        <v>42</v>
      </c>
      <c r="C826" s="4">
        <v>0</v>
      </c>
      <c r="D826" s="4">
        <v>682.47399999999993</v>
      </c>
      <c r="E826" s="79">
        <v>215.4</v>
      </c>
      <c r="F826" s="79">
        <f>SUM(BASE_DATOS[[#This Row],[Capital($)]:[Interés
Resarcitorio($)]])</f>
        <v>897.87399999999991</v>
      </c>
      <c r="G826" s="8">
        <v>45256</v>
      </c>
      <c r="H826" s="80" t="s">
        <v>54</v>
      </c>
      <c r="I826" s="79" t="s">
        <v>7</v>
      </c>
      <c r="J826" s="81">
        <v>60</v>
      </c>
      <c r="K826" t="s">
        <v>46</v>
      </c>
    </row>
    <row r="827" spans="2:11" x14ac:dyDescent="0.25">
      <c r="B827" s="2">
        <v>43</v>
      </c>
      <c r="C827" s="4">
        <v>410.93100000000004</v>
      </c>
      <c r="D827" s="4">
        <v>713.70500000000004</v>
      </c>
      <c r="E827" s="79">
        <v>0</v>
      </c>
      <c r="F827" s="79">
        <f>SUM(BASE_DATOS[[#This Row],[Capital($)]:[Interés
Resarcitorio($)]])</f>
        <v>1124.636</v>
      </c>
      <c r="G827" s="8">
        <v>45276</v>
      </c>
      <c r="H827" s="80" t="s">
        <v>54</v>
      </c>
      <c r="I827" s="79" t="s">
        <v>9</v>
      </c>
      <c r="J827" s="81">
        <v>60</v>
      </c>
      <c r="K827" t="s">
        <v>46</v>
      </c>
    </row>
    <row r="828" spans="2:11" x14ac:dyDescent="0.25">
      <c r="B828" s="2">
        <f>+B827</f>
        <v>43</v>
      </c>
      <c r="C828" s="4">
        <v>0</v>
      </c>
      <c r="D828" s="4">
        <v>713.70500000000004</v>
      </c>
      <c r="E828" s="79">
        <v>221.55</v>
      </c>
      <c r="F828" s="79">
        <f>SUM(BASE_DATOS[[#This Row],[Capital($)]:[Interés
Resarcitorio($)]])</f>
        <v>935.25500000000011</v>
      </c>
      <c r="G828" s="8">
        <v>45286</v>
      </c>
      <c r="H828" s="80" t="s">
        <v>54</v>
      </c>
      <c r="I828" s="79" t="s">
        <v>7</v>
      </c>
      <c r="J828" s="81">
        <v>60</v>
      </c>
      <c r="K828" t="s">
        <v>46</v>
      </c>
    </row>
    <row r="829" spans="2:11" x14ac:dyDescent="0.25">
      <c r="B829" s="2">
        <v>44</v>
      </c>
      <c r="C829" s="4">
        <v>410.93100000000004</v>
      </c>
      <c r="D829" s="4">
        <v>744.93599999999992</v>
      </c>
      <c r="E829" s="79">
        <v>0</v>
      </c>
      <c r="F829" s="79">
        <f>SUM(BASE_DATOS[[#This Row],[Capital($)]:[Interés
Resarcitorio($)]])</f>
        <v>1155.867</v>
      </c>
      <c r="G829" s="8">
        <v>45307</v>
      </c>
      <c r="H829" s="80" t="s">
        <v>54</v>
      </c>
      <c r="I829" s="79" t="s">
        <v>9</v>
      </c>
      <c r="J829" s="81">
        <v>60</v>
      </c>
      <c r="K829" t="s">
        <v>46</v>
      </c>
    </row>
    <row r="830" spans="2:11" x14ac:dyDescent="0.25">
      <c r="B830" s="2">
        <f>+B829</f>
        <v>44</v>
      </c>
      <c r="C830" s="4">
        <v>0</v>
      </c>
      <c r="D830" s="4">
        <v>744.93599999999992</v>
      </c>
      <c r="E830" s="79">
        <v>227.7</v>
      </c>
      <c r="F830" s="79">
        <f>SUM(BASE_DATOS[[#This Row],[Capital($)]:[Interés
Resarcitorio($)]])</f>
        <v>972.63599999999997</v>
      </c>
      <c r="G830" s="8">
        <v>45317</v>
      </c>
      <c r="H830" s="80" t="s">
        <v>54</v>
      </c>
      <c r="I830" s="79" t="s">
        <v>7</v>
      </c>
      <c r="J830" s="81">
        <v>60</v>
      </c>
      <c r="K830" t="s">
        <v>46</v>
      </c>
    </row>
    <row r="831" spans="2:11" x14ac:dyDescent="0.25">
      <c r="B831" s="2">
        <v>45</v>
      </c>
      <c r="C831" s="4">
        <v>410.93100000000004</v>
      </c>
      <c r="D831" s="4">
        <v>782.495</v>
      </c>
      <c r="E831" s="79">
        <v>0</v>
      </c>
      <c r="F831" s="79">
        <f>SUM(BASE_DATOS[[#This Row],[Capital($)]:[Interés
Resarcitorio($)]])</f>
        <v>1193.4259999999999</v>
      </c>
      <c r="G831" s="8">
        <v>45338</v>
      </c>
      <c r="H831" s="80" t="s">
        <v>54</v>
      </c>
      <c r="I831" s="79" t="s">
        <v>9</v>
      </c>
      <c r="J831" s="81">
        <v>60</v>
      </c>
      <c r="K831" t="s">
        <v>46</v>
      </c>
    </row>
    <row r="832" spans="2:11" x14ac:dyDescent="0.25">
      <c r="B832" s="2">
        <f>+B831</f>
        <v>45</v>
      </c>
      <c r="C832" s="4">
        <v>0</v>
      </c>
      <c r="D832" s="4">
        <v>782.495</v>
      </c>
      <c r="E832" s="79">
        <v>607.45000000000005</v>
      </c>
      <c r="F832" s="79">
        <f>SUM(BASE_DATOS[[#This Row],[Capital($)]:[Interés
Resarcitorio($)]])</f>
        <v>1389.9450000000002</v>
      </c>
      <c r="G832" s="8">
        <v>45348</v>
      </c>
      <c r="H832" s="80" t="s">
        <v>54</v>
      </c>
      <c r="I832" s="79" t="s">
        <v>7</v>
      </c>
      <c r="J832" s="81">
        <v>60</v>
      </c>
      <c r="K832" t="s">
        <v>46</v>
      </c>
    </row>
    <row r="833" spans="2:11" x14ac:dyDescent="0.25">
      <c r="B833" s="2">
        <v>46</v>
      </c>
      <c r="C833" s="4">
        <v>410.93100000000004</v>
      </c>
      <c r="D833" s="4">
        <v>820.05400000000009</v>
      </c>
      <c r="E833" s="79">
        <v>0</v>
      </c>
      <c r="F833" s="79">
        <f>SUM(BASE_DATOS[[#This Row],[Capital($)]:[Interés
Resarcitorio($)]])</f>
        <v>1230.9850000000001</v>
      </c>
      <c r="G833" s="8">
        <v>45367</v>
      </c>
      <c r="H833" s="80" t="s">
        <v>54</v>
      </c>
      <c r="I833" s="79" t="s">
        <v>9</v>
      </c>
      <c r="J833" s="81">
        <v>60</v>
      </c>
      <c r="K833" t="s">
        <v>46</v>
      </c>
    </row>
    <row r="834" spans="2:11" x14ac:dyDescent="0.25">
      <c r="B834" s="2">
        <f>+B833</f>
        <v>46</v>
      </c>
      <c r="C834" s="4">
        <v>0</v>
      </c>
      <c r="D834" s="4">
        <v>820.05400000000009</v>
      </c>
      <c r="E834" s="79">
        <v>626.58000000000004</v>
      </c>
      <c r="F834" s="79">
        <f>SUM(BASE_DATOS[[#This Row],[Capital($)]:[Interés
Resarcitorio($)]])</f>
        <v>1446.634</v>
      </c>
      <c r="G834" s="8">
        <v>45377</v>
      </c>
      <c r="H834" s="80" t="s">
        <v>54</v>
      </c>
      <c r="I834" s="79" t="s">
        <v>7</v>
      </c>
      <c r="J834" s="81">
        <v>60</v>
      </c>
      <c r="K834" t="s">
        <v>46</v>
      </c>
    </row>
    <row r="835" spans="2:11" x14ac:dyDescent="0.25">
      <c r="B835" s="2">
        <v>47</v>
      </c>
      <c r="C835" s="4">
        <v>410.93100000000004</v>
      </c>
      <c r="D835" s="4">
        <v>857.61299999999994</v>
      </c>
      <c r="E835" s="79">
        <v>0</v>
      </c>
      <c r="F835" s="79">
        <f>SUM(BASE_DATOS[[#This Row],[Capital($)]:[Interés
Resarcitorio($)]])</f>
        <v>1268.5439999999999</v>
      </c>
      <c r="G835" s="8">
        <v>45398</v>
      </c>
      <c r="H835" s="80" t="s">
        <v>54</v>
      </c>
      <c r="I835" s="79" t="s">
        <v>9</v>
      </c>
      <c r="J835" s="81">
        <v>60</v>
      </c>
      <c r="K835" t="s">
        <v>46</v>
      </c>
    </row>
    <row r="836" spans="2:11" x14ac:dyDescent="0.25">
      <c r="B836" s="2">
        <f>+B835</f>
        <v>47</v>
      </c>
      <c r="C836" s="4">
        <v>0</v>
      </c>
      <c r="D836" s="4">
        <v>857.61299999999994</v>
      </c>
      <c r="E836" s="79">
        <v>510.38</v>
      </c>
      <c r="F836" s="79">
        <f>SUM(BASE_DATOS[[#This Row],[Capital($)]:[Interés
Resarcitorio($)]])</f>
        <v>1367.9929999999999</v>
      </c>
      <c r="G836" s="8">
        <v>45408</v>
      </c>
      <c r="H836" s="80" t="s">
        <v>54</v>
      </c>
      <c r="I836" s="79" t="s">
        <v>7</v>
      </c>
      <c r="J836" s="81">
        <v>60</v>
      </c>
      <c r="K836" t="s">
        <v>46</v>
      </c>
    </row>
    <row r="837" spans="2:11" x14ac:dyDescent="0.25">
      <c r="B837" s="2">
        <v>48</v>
      </c>
      <c r="C837" s="4">
        <v>410.93100000000004</v>
      </c>
      <c r="D837" s="4">
        <v>895.17199999999991</v>
      </c>
      <c r="E837" s="79">
        <v>0</v>
      </c>
      <c r="F837" s="79">
        <f>SUM(BASE_DATOS[[#This Row],[Capital($)]:[Interés
Resarcitorio($)]])</f>
        <v>1306.1030000000001</v>
      </c>
      <c r="G837" s="8">
        <v>45428</v>
      </c>
      <c r="H837" s="80" t="s">
        <v>54</v>
      </c>
      <c r="I837" s="79" t="s">
        <v>9</v>
      </c>
      <c r="J837" s="81">
        <v>60</v>
      </c>
      <c r="K837" t="s">
        <v>46</v>
      </c>
    </row>
    <row r="838" spans="2:11" x14ac:dyDescent="0.25">
      <c r="B838" s="2">
        <f>+B837</f>
        <v>48</v>
      </c>
      <c r="C838" s="4">
        <v>0</v>
      </c>
      <c r="D838" s="4">
        <v>895.17199999999991</v>
      </c>
      <c r="E838" s="79">
        <v>525.49</v>
      </c>
      <c r="F838" s="79">
        <f>SUM(BASE_DATOS[[#This Row],[Capital($)]:[Interés
Resarcitorio($)]])</f>
        <v>1420.6619999999998</v>
      </c>
      <c r="G838" s="8">
        <v>45438</v>
      </c>
      <c r="H838" s="80" t="s">
        <v>54</v>
      </c>
      <c r="I838" s="79" t="s">
        <v>7</v>
      </c>
      <c r="J838" s="81">
        <v>60</v>
      </c>
      <c r="K838" t="s">
        <v>46</v>
      </c>
    </row>
    <row r="839" spans="2:11" x14ac:dyDescent="0.25">
      <c r="B839" s="2">
        <v>49</v>
      </c>
      <c r="C839" s="4">
        <v>410.93100000000004</v>
      </c>
      <c r="D839" s="4">
        <v>932.73199999999997</v>
      </c>
      <c r="E839" s="79">
        <v>0</v>
      </c>
      <c r="F839" s="79">
        <f>SUM(BASE_DATOS[[#This Row],[Capital($)]:[Interés
Resarcitorio($)]])</f>
        <v>1343.663</v>
      </c>
      <c r="G839" s="8">
        <v>45459</v>
      </c>
      <c r="H839" s="80" t="s">
        <v>54</v>
      </c>
      <c r="I839" s="79" t="s">
        <v>9</v>
      </c>
      <c r="J839" s="81">
        <v>60</v>
      </c>
      <c r="K839" t="s">
        <v>46</v>
      </c>
    </row>
    <row r="840" spans="2:11" x14ac:dyDescent="0.25">
      <c r="B840" s="2">
        <f>+B839</f>
        <v>49</v>
      </c>
      <c r="C840" s="4">
        <v>0</v>
      </c>
      <c r="D840" s="4">
        <v>932.73199999999997</v>
      </c>
      <c r="E840" s="79">
        <v>287.10000000000002</v>
      </c>
      <c r="F840" s="79">
        <f>SUM(BASE_DATOS[[#This Row],[Capital($)]:[Interés
Resarcitorio($)]])</f>
        <v>1219.8319999999999</v>
      </c>
      <c r="G840" s="8">
        <v>45469</v>
      </c>
      <c r="H840" s="80" t="s">
        <v>54</v>
      </c>
      <c r="I840" s="79" t="s">
        <v>7</v>
      </c>
      <c r="J840" s="81">
        <v>60</v>
      </c>
      <c r="K840" t="s">
        <v>46</v>
      </c>
    </row>
    <row r="841" spans="2:11" x14ac:dyDescent="0.25">
      <c r="B841" s="2">
        <v>50</v>
      </c>
      <c r="C841" s="4">
        <v>410.93100000000004</v>
      </c>
      <c r="D841" s="4">
        <v>970.29</v>
      </c>
      <c r="E841" s="79">
        <v>0</v>
      </c>
      <c r="F841" s="79">
        <f>SUM(BASE_DATOS[[#This Row],[Capital($)]:[Interés
Resarcitorio($)]])</f>
        <v>1381.221</v>
      </c>
      <c r="G841" s="8">
        <v>45489</v>
      </c>
      <c r="H841" s="80" t="s">
        <v>54</v>
      </c>
      <c r="I841" s="79" t="s">
        <v>9</v>
      </c>
      <c r="J841" s="81">
        <v>60</v>
      </c>
      <c r="K841" t="s">
        <v>46</v>
      </c>
    </row>
    <row r="842" spans="2:11" x14ac:dyDescent="0.25">
      <c r="B842" s="2">
        <f>+B841</f>
        <v>50</v>
      </c>
      <c r="C842" s="4">
        <v>0</v>
      </c>
      <c r="D842" s="4">
        <v>970.29</v>
      </c>
      <c r="E842" s="79">
        <v>295.12</v>
      </c>
      <c r="F842" s="79">
        <f>SUM(BASE_DATOS[[#This Row],[Capital($)]:[Interés
Resarcitorio($)]])</f>
        <v>1265.4099999999999</v>
      </c>
      <c r="G842" s="8">
        <v>45499</v>
      </c>
      <c r="H842" s="80" t="s">
        <v>54</v>
      </c>
      <c r="I842" s="79" t="s">
        <v>7</v>
      </c>
      <c r="J842" s="81">
        <v>60</v>
      </c>
      <c r="K842" t="s">
        <v>46</v>
      </c>
    </row>
    <row r="843" spans="2:11" x14ac:dyDescent="0.25">
      <c r="B843" s="2">
        <v>51</v>
      </c>
      <c r="C843" s="4">
        <v>410.93100000000004</v>
      </c>
      <c r="D843" s="4">
        <v>687.85699999999997</v>
      </c>
      <c r="E843" s="79">
        <v>0</v>
      </c>
      <c r="F843" s="79">
        <f>SUM(BASE_DATOS[[#This Row],[Capital($)]:[Interés
Resarcitorio($)]])</f>
        <v>1098.788</v>
      </c>
      <c r="G843" s="8">
        <v>45520</v>
      </c>
      <c r="H843" s="80" t="s">
        <v>54</v>
      </c>
      <c r="I843" s="79" t="s">
        <v>9</v>
      </c>
      <c r="J843" s="81">
        <v>60</v>
      </c>
      <c r="K843" t="s">
        <v>46</v>
      </c>
    </row>
    <row r="844" spans="2:11" x14ac:dyDescent="0.25">
      <c r="B844" s="2">
        <f>+B843</f>
        <v>51</v>
      </c>
      <c r="C844" s="4">
        <v>0</v>
      </c>
      <c r="D844" s="4">
        <v>687.85699999999997</v>
      </c>
      <c r="E844" s="79">
        <v>234.77</v>
      </c>
      <c r="F844" s="79">
        <f>SUM(BASE_DATOS[[#This Row],[Capital($)]:[Interés
Resarcitorio($)]])</f>
        <v>922.62699999999995</v>
      </c>
      <c r="G844" s="8">
        <v>45530</v>
      </c>
      <c r="H844" s="80" t="s">
        <v>54</v>
      </c>
      <c r="I844" s="79" t="s">
        <v>7</v>
      </c>
      <c r="J844" s="81">
        <v>60</v>
      </c>
      <c r="K844" t="s">
        <v>46</v>
      </c>
    </row>
    <row r="845" spans="2:11" x14ac:dyDescent="0.25">
      <c r="B845" s="2">
        <v>52</v>
      </c>
      <c r="C845" s="4">
        <v>410.93100000000004</v>
      </c>
      <c r="D845" s="4">
        <v>700.80200000000002</v>
      </c>
      <c r="E845" s="79">
        <v>0</v>
      </c>
      <c r="F845" s="79">
        <f>SUM(BASE_DATOS[[#This Row],[Capital($)]:[Interés
Resarcitorio($)]])</f>
        <v>1111.7330000000002</v>
      </c>
      <c r="G845" s="8">
        <v>45551</v>
      </c>
      <c r="H845" s="80" t="s">
        <v>54</v>
      </c>
      <c r="I845" s="79" t="s">
        <v>9</v>
      </c>
      <c r="J845" s="81">
        <v>60</v>
      </c>
      <c r="K845" t="s">
        <v>46</v>
      </c>
    </row>
    <row r="846" spans="2:11" x14ac:dyDescent="0.25">
      <c r="B846" s="2">
        <f>+B845</f>
        <v>52</v>
      </c>
      <c r="C846" s="4">
        <v>0</v>
      </c>
      <c r="D846" s="4">
        <v>700.80200000000002</v>
      </c>
      <c r="E846" s="79">
        <v>237.54</v>
      </c>
      <c r="F846" s="79">
        <f>SUM(BASE_DATOS[[#This Row],[Capital($)]:[Interés
Resarcitorio($)]])</f>
        <v>938.34199999999998</v>
      </c>
      <c r="G846" s="8">
        <v>45561</v>
      </c>
      <c r="H846" s="80" t="s">
        <v>54</v>
      </c>
      <c r="I846" s="79" t="s">
        <v>7</v>
      </c>
      <c r="J846" s="81">
        <v>60</v>
      </c>
      <c r="K846" t="s">
        <v>46</v>
      </c>
    </row>
    <row r="847" spans="2:11" x14ac:dyDescent="0.25">
      <c r="B847" s="2">
        <v>53</v>
      </c>
      <c r="C847" s="4">
        <v>410.93100000000004</v>
      </c>
      <c r="D847" s="4">
        <v>713.74599999999998</v>
      </c>
      <c r="E847" s="79">
        <v>0</v>
      </c>
      <c r="F847" s="79">
        <f>SUM(BASE_DATOS[[#This Row],[Capital($)]:[Interés
Resarcitorio($)]])</f>
        <v>1124.6770000000001</v>
      </c>
      <c r="G847" s="8">
        <v>45581</v>
      </c>
      <c r="H847" s="80" t="s">
        <v>54</v>
      </c>
      <c r="I847" s="79" t="s">
        <v>9</v>
      </c>
      <c r="J847" s="81">
        <v>60</v>
      </c>
      <c r="K847" t="s">
        <v>46</v>
      </c>
    </row>
    <row r="848" spans="2:11" x14ac:dyDescent="0.25">
      <c r="B848" s="2">
        <f>+B847</f>
        <v>53</v>
      </c>
      <c r="C848" s="4">
        <v>0</v>
      </c>
      <c r="D848" s="4">
        <v>713.74599999999998</v>
      </c>
      <c r="E848" s="79">
        <v>240.31</v>
      </c>
      <c r="F848" s="79">
        <f>SUM(BASE_DATOS[[#This Row],[Capital($)]:[Interés
Resarcitorio($)]])</f>
        <v>954.05600000000004</v>
      </c>
      <c r="G848" s="8">
        <v>45591</v>
      </c>
      <c r="H848" s="80" t="s">
        <v>54</v>
      </c>
      <c r="I848" s="79" t="s">
        <v>7</v>
      </c>
      <c r="J848" s="81">
        <v>60</v>
      </c>
      <c r="K848" t="s">
        <v>46</v>
      </c>
    </row>
    <row r="849" spans="2:11" x14ac:dyDescent="0.25">
      <c r="B849" s="2">
        <v>54</v>
      </c>
      <c r="C849" s="4">
        <v>410.93100000000004</v>
      </c>
      <c r="D849" s="4">
        <v>726.68999999999994</v>
      </c>
      <c r="E849" s="79">
        <v>0</v>
      </c>
      <c r="F849" s="79">
        <f>SUM(BASE_DATOS[[#This Row],[Capital($)]:[Interés
Resarcitorio($)]])</f>
        <v>1137.6210000000001</v>
      </c>
      <c r="G849" s="8">
        <v>45612</v>
      </c>
      <c r="H849" s="80" t="s">
        <v>54</v>
      </c>
      <c r="I849" s="79" t="s">
        <v>9</v>
      </c>
      <c r="J849" s="81">
        <v>60</v>
      </c>
      <c r="K849" t="s">
        <v>46</v>
      </c>
    </row>
    <row r="850" spans="2:11" x14ac:dyDescent="0.25">
      <c r="B850" s="2">
        <f>+B849</f>
        <v>54</v>
      </c>
      <c r="C850" s="4">
        <v>0</v>
      </c>
      <c r="D850" s="4">
        <v>726.68999999999994</v>
      </c>
      <c r="E850" s="79">
        <v>243.08</v>
      </c>
      <c r="F850" s="79">
        <f>SUM(BASE_DATOS[[#This Row],[Capital($)]:[Interés
Resarcitorio($)]])</f>
        <v>969.77</v>
      </c>
      <c r="G850" s="8">
        <v>45622</v>
      </c>
      <c r="H850" s="80" t="s">
        <v>54</v>
      </c>
      <c r="I850" s="79" t="s">
        <v>7</v>
      </c>
      <c r="J850" s="81">
        <v>60</v>
      </c>
      <c r="K850" t="s">
        <v>46</v>
      </c>
    </row>
    <row r="851" spans="2:11" x14ac:dyDescent="0.25">
      <c r="B851" s="2">
        <v>55</v>
      </c>
      <c r="C851" s="4">
        <v>410.93100000000004</v>
      </c>
      <c r="D851" s="4">
        <v>739.63499999999999</v>
      </c>
      <c r="E851" s="79">
        <v>0</v>
      </c>
      <c r="F851" s="79">
        <f>SUM(BASE_DATOS[[#This Row],[Capital($)]:[Interés
Resarcitorio($)]])</f>
        <v>1150.566</v>
      </c>
      <c r="G851" s="8">
        <v>45642</v>
      </c>
      <c r="H851" s="80" t="s">
        <v>54</v>
      </c>
      <c r="I851" s="79" t="s">
        <v>9</v>
      </c>
      <c r="J851" s="81">
        <v>60</v>
      </c>
      <c r="K851" t="s">
        <v>46</v>
      </c>
    </row>
    <row r="852" spans="2:11" x14ac:dyDescent="0.25">
      <c r="B852" s="2">
        <f>+B851</f>
        <v>55</v>
      </c>
      <c r="C852" s="4">
        <v>0</v>
      </c>
      <c r="D852" s="4">
        <v>739.63499999999999</v>
      </c>
      <c r="E852" s="79">
        <v>286.49</v>
      </c>
      <c r="F852" s="79">
        <f>SUM(BASE_DATOS[[#This Row],[Capital($)]:[Interés
Resarcitorio($)]])</f>
        <v>1026.125</v>
      </c>
      <c r="G852" s="8">
        <v>45652</v>
      </c>
      <c r="H852" s="80" t="s">
        <v>54</v>
      </c>
      <c r="I852" s="79" t="s">
        <v>7</v>
      </c>
      <c r="J852" s="81">
        <v>60</v>
      </c>
      <c r="K852" t="s">
        <v>46</v>
      </c>
    </row>
    <row r="853" spans="2:11" x14ac:dyDescent="0.25">
      <c r="B853" s="2">
        <v>56</v>
      </c>
      <c r="C853" s="4">
        <v>410.93100000000004</v>
      </c>
      <c r="D853" s="4">
        <v>752.57899999999995</v>
      </c>
      <c r="E853" s="79">
        <v>0</v>
      </c>
      <c r="F853" s="79">
        <f>SUM(BASE_DATOS[[#This Row],[Capital($)]:[Interés
Resarcitorio($)]])</f>
        <v>1163.51</v>
      </c>
      <c r="G853" s="8">
        <v>45673</v>
      </c>
      <c r="H853" s="80" t="s">
        <v>54</v>
      </c>
      <c r="I853" s="79" t="s">
        <v>9</v>
      </c>
      <c r="J853" s="81">
        <v>60</v>
      </c>
      <c r="K853" t="s">
        <v>46</v>
      </c>
    </row>
    <row r="854" spans="2:11" x14ac:dyDescent="0.25">
      <c r="B854" s="2">
        <f>+B853</f>
        <v>56</v>
      </c>
      <c r="C854" s="4">
        <v>0</v>
      </c>
      <c r="D854" s="4">
        <v>752.57899999999995</v>
      </c>
      <c r="E854" s="79">
        <v>289.72000000000003</v>
      </c>
      <c r="F854" s="79">
        <f>SUM(BASE_DATOS[[#This Row],[Capital($)]:[Interés
Resarcitorio($)]])</f>
        <v>1042.299</v>
      </c>
      <c r="G854" s="8">
        <v>45683</v>
      </c>
      <c r="H854" s="80" t="s">
        <v>54</v>
      </c>
      <c r="I854" s="79" t="s">
        <v>7</v>
      </c>
      <c r="J854" s="81">
        <v>60</v>
      </c>
      <c r="K854" t="s">
        <v>46</v>
      </c>
    </row>
    <row r="855" spans="2:11" x14ac:dyDescent="0.25">
      <c r="B855" s="2">
        <v>57</v>
      </c>
      <c r="C855" s="4">
        <v>410.93100000000004</v>
      </c>
      <c r="D855" s="4">
        <v>763.14</v>
      </c>
      <c r="E855" s="79">
        <v>0</v>
      </c>
      <c r="F855" s="79">
        <f>SUM(BASE_DATOS[[#This Row],[Capital($)]:[Interés
Resarcitorio($)]])</f>
        <v>1174.0709999999999</v>
      </c>
      <c r="G855" s="8">
        <v>45704</v>
      </c>
      <c r="H855" s="80" t="s">
        <v>54</v>
      </c>
      <c r="I855" s="79" t="s">
        <v>9</v>
      </c>
      <c r="J855" s="81">
        <v>60</v>
      </c>
      <c r="K855" t="s">
        <v>46</v>
      </c>
    </row>
    <row r="856" spans="2:11" x14ac:dyDescent="0.25">
      <c r="B856" s="2">
        <f>+B855</f>
        <v>57</v>
      </c>
      <c r="C856" s="4">
        <v>0</v>
      </c>
      <c r="D856" s="4">
        <v>763.14</v>
      </c>
      <c r="E856" s="79">
        <v>284.13</v>
      </c>
      <c r="F856" s="79">
        <f>SUM(BASE_DATOS[[#This Row],[Capital($)]:[Interés
Resarcitorio($)]])</f>
        <v>1047.27</v>
      </c>
      <c r="G856" s="8">
        <v>45714</v>
      </c>
      <c r="H856" s="80" t="s">
        <v>54</v>
      </c>
      <c r="I856" s="79" t="s">
        <v>7</v>
      </c>
      <c r="J856" s="81">
        <v>60</v>
      </c>
      <c r="K856" t="s">
        <v>46</v>
      </c>
    </row>
    <row r="857" spans="2:11" x14ac:dyDescent="0.25">
      <c r="B857" s="2">
        <v>58</v>
      </c>
      <c r="C857" s="4">
        <v>410.93100000000004</v>
      </c>
      <c r="D857" s="4">
        <v>773.70100000000002</v>
      </c>
      <c r="E857" s="79">
        <v>0</v>
      </c>
      <c r="F857" s="79">
        <f>SUM(BASE_DATOS[[#This Row],[Capital($)]:[Interés
Resarcitorio($)]])</f>
        <v>1184.6320000000001</v>
      </c>
      <c r="G857" s="8">
        <v>45732</v>
      </c>
      <c r="H857" s="80" t="s">
        <v>54</v>
      </c>
      <c r="I857" s="79" t="s">
        <v>9</v>
      </c>
      <c r="J857" s="81">
        <v>60</v>
      </c>
      <c r="K857" t="s">
        <v>46</v>
      </c>
    </row>
    <row r="858" spans="2:11" x14ac:dyDescent="0.25">
      <c r="B858" s="2">
        <f>+B857</f>
        <v>58</v>
      </c>
      <c r="C858" s="4">
        <v>0</v>
      </c>
      <c r="D858" s="4">
        <v>773.70100000000002</v>
      </c>
      <c r="E858" s="79">
        <v>157.94999999999999</v>
      </c>
      <c r="F858" s="79">
        <f>SUM(BASE_DATOS[[#This Row],[Capital($)]:[Interés
Resarcitorio($)]])</f>
        <v>931.65100000000007</v>
      </c>
      <c r="G858" s="8">
        <v>45742</v>
      </c>
      <c r="H858" s="80" t="s">
        <v>54</v>
      </c>
      <c r="I858" s="79" t="s">
        <v>7</v>
      </c>
      <c r="J858" s="81">
        <v>60</v>
      </c>
      <c r="K858" t="s">
        <v>46</v>
      </c>
    </row>
    <row r="859" spans="2:11" x14ac:dyDescent="0.25">
      <c r="B859" s="2">
        <v>59</v>
      </c>
      <c r="C859" s="4">
        <v>410.93100000000004</v>
      </c>
      <c r="D859" s="4">
        <v>784.26199999999994</v>
      </c>
      <c r="E859" s="79">
        <v>0</v>
      </c>
      <c r="F859" s="79">
        <f>SUM(BASE_DATOS[[#This Row],[Capital($)]:[Interés
Resarcitorio($)]])</f>
        <v>1195.193</v>
      </c>
      <c r="G859" s="8">
        <v>45763</v>
      </c>
      <c r="H859" s="80" t="s">
        <v>54</v>
      </c>
      <c r="I859" s="79" t="s">
        <v>9</v>
      </c>
      <c r="J859" s="81">
        <v>60</v>
      </c>
      <c r="K859" t="s">
        <v>46</v>
      </c>
    </row>
    <row r="860" spans="2:11" x14ac:dyDescent="0.25">
      <c r="B860" s="2">
        <f>+B859</f>
        <v>59</v>
      </c>
      <c r="C860" s="4">
        <v>0</v>
      </c>
      <c r="D860" s="4">
        <v>784.26199999999994</v>
      </c>
      <c r="E860" s="79">
        <v>159.36000000000001</v>
      </c>
      <c r="F860" s="79">
        <f>SUM(BASE_DATOS[[#This Row],[Capital($)]:[Interés
Resarcitorio($)]])</f>
        <v>943.62199999999996</v>
      </c>
      <c r="G860" s="8">
        <v>45773</v>
      </c>
      <c r="H860" s="80" t="s">
        <v>54</v>
      </c>
      <c r="I860" s="79" t="s">
        <v>7</v>
      </c>
      <c r="J860" s="81">
        <v>60</v>
      </c>
      <c r="K860" t="s">
        <v>46</v>
      </c>
    </row>
    <row r="861" spans="2:11" x14ac:dyDescent="0.25">
      <c r="B861" s="2">
        <v>60</v>
      </c>
      <c r="C861" s="4">
        <v>410.95400000000001</v>
      </c>
      <c r="D861" s="4">
        <v>794.86800000000005</v>
      </c>
      <c r="E861" s="79">
        <v>0</v>
      </c>
      <c r="F861" s="79">
        <f>SUM(BASE_DATOS[[#This Row],[Capital($)]:[Interés
Resarcitorio($)]])</f>
        <v>1205.8220000000001</v>
      </c>
      <c r="G861" s="8">
        <v>45793</v>
      </c>
      <c r="H861" s="80" t="s">
        <v>54</v>
      </c>
      <c r="I861" s="79" t="s">
        <v>9</v>
      </c>
      <c r="J861" s="81">
        <v>60</v>
      </c>
      <c r="K861" t="s">
        <v>46</v>
      </c>
    </row>
    <row r="862" spans="2:11" x14ac:dyDescent="0.25">
      <c r="B862" s="2">
        <f>+B861</f>
        <v>60</v>
      </c>
      <c r="C862" s="4">
        <v>0</v>
      </c>
      <c r="D862" s="4">
        <v>794.86800000000005</v>
      </c>
      <c r="E862" s="79">
        <v>160.78</v>
      </c>
      <c r="F862" s="79">
        <f>SUM(BASE_DATOS[[#This Row],[Capital($)]:[Interés
Resarcitorio($)]])</f>
        <v>955.64800000000002</v>
      </c>
      <c r="G862" s="8">
        <v>45803</v>
      </c>
      <c r="H862" s="80" t="s">
        <v>54</v>
      </c>
      <c r="I862" s="79" t="s">
        <v>7</v>
      </c>
      <c r="J862" s="81">
        <v>60</v>
      </c>
      <c r="K862" t="s">
        <v>46</v>
      </c>
    </row>
    <row r="863" spans="2:11" x14ac:dyDescent="0.25">
      <c r="B863" s="2">
        <v>1</v>
      </c>
      <c r="C863" s="4">
        <v>703.97</v>
      </c>
      <c r="D863" s="4">
        <v>14.080000000000002</v>
      </c>
      <c r="E863" s="79">
        <v>0</v>
      </c>
      <c r="F863" s="79">
        <f>SUM(BASE_DATOS[[#This Row],[Capital($)]:[Interés
Resarcitorio($)]])</f>
        <v>718.05000000000007</v>
      </c>
      <c r="G863" s="8">
        <v>43998</v>
      </c>
      <c r="H863" s="80" t="s">
        <v>55</v>
      </c>
      <c r="I863" s="79" t="s">
        <v>9</v>
      </c>
      <c r="J863" s="81">
        <v>60</v>
      </c>
      <c r="K863" t="s">
        <v>46</v>
      </c>
    </row>
    <row r="864" spans="2:11" x14ac:dyDescent="0.25">
      <c r="B864" s="2">
        <f>+B863</f>
        <v>1</v>
      </c>
      <c r="C864" s="4">
        <v>703.97</v>
      </c>
      <c r="D864" s="4">
        <v>14.080000000000002</v>
      </c>
      <c r="E864" s="79">
        <v>59.84</v>
      </c>
      <c r="F864" s="79">
        <f>SUM(BASE_DATOS[[#This Row],[Capital($)]:[Interés
Resarcitorio($)]])</f>
        <v>777.8900000000001</v>
      </c>
      <c r="G864" s="8">
        <v>44008</v>
      </c>
      <c r="H864" s="80" t="s">
        <v>55</v>
      </c>
      <c r="I864" s="79" t="s">
        <v>7</v>
      </c>
      <c r="J864" s="81">
        <v>60</v>
      </c>
      <c r="K864" t="s">
        <v>46</v>
      </c>
    </row>
    <row r="865" spans="2:11" x14ac:dyDescent="0.25">
      <c r="B865" s="2">
        <v>2</v>
      </c>
      <c r="C865" s="4">
        <v>703.97</v>
      </c>
      <c r="D865" s="4">
        <v>34.494</v>
      </c>
      <c r="E865" s="79">
        <v>0</v>
      </c>
      <c r="F865" s="79">
        <f>SUM(BASE_DATOS[[#This Row],[Capital($)]:[Interés
Resarcitorio($)]])</f>
        <v>738.46400000000006</v>
      </c>
      <c r="G865" s="8">
        <v>44028</v>
      </c>
      <c r="H865" s="80" t="s">
        <v>55</v>
      </c>
      <c r="I865" s="79" t="s">
        <v>9</v>
      </c>
      <c r="J865" s="81">
        <v>60</v>
      </c>
      <c r="K865" t="s">
        <v>46</v>
      </c>
    </row>
    <row r="866" spans="2:11" x14ac:dyDescent="0.25">
      <c r="B866" s="2">
        <f>+B865</f>
        <v>2</v>
      </c>
      <c r="C866" s="4">
        <v>703.97</v>
      </c>
      <c r="D866" s="4">
        <v>34.494</v>
      </c>
      <c r="E866" s="79">
        <v>67.94</v>
      </c>
      <c r="F866" s="79">
        <f>SUM(BASE_DATOS[[#This Row],[Capital($)]:[Interés
Resarcitorio($)]])</f>
        <v>806.404</v>
      </c>
      <c r="G866" s="8">
        <v>44038</v>
      </c>
      <c r="H866" s="80" t="s">
        <v>55</v>
      </c>
      <c r="I866" s="79" t="s">
        <v>7</v>
      </c>
      <c r="J866" s="81">
        <v>60</v>
      </c>
      <c r="K866" t="s">
        <v>46</v>
      </c>
    </row>
    <row r="867" spans="2:11" x14ac:dyDescent="0.25">
      <c r="B867" s="2">
        <v>3</v>
      </c>
      <c r="C867" s="4">
        <v>703.97</v>
      </c>
      <c r="D867" s="4">
        <v>56.316999999999993</v>
      </c>
      <c r="E867" s="79">
        <v>0</v>
      </c>
      <c r="F867" s="79">
        <f>SUM(BASE_DATOS[[#This Row],[Capital($)]:[Interés
Resarcitorio($)]])</f>
        <v>760.28700000000003</v>
      </c>
      <c r="G867" s="8">
        <v>44059</v>
      </c>
      <c r="H867" s="80" t="s">
        <v>55</v>
      </c>
      <c r="I867" s="79" t="s">
        <v>9</v>
      </c>
      <c r="J867" s="81">
        <v>60</v>
      </c>
      <c r="K867" t="s">
        <v>46</v>
      </c>
    </row>
    <row r="868" spans="2:11" x14ac:dyDescent="0.25">
      <c r="B868" s="2">
        <f>+B867</f>
        <v>3</v>
      </c>
      <c r="C868" s="4">
        <v>703.97</v>
      </c>
      <c r="D868" s="4">
        <v>56.316999999999993</v>
      </c>
      <c r="E868" s="79">
        <v>69.95</v>
      </c>
      <c r="F868" s="79">
        <f>SUM(BASE_DATOS[[#This Row],[Capital($)]:[Interés
Resarcitorio($)]])</f>
        <v>830.23700000000008</v>
      </c>
      <c r="G868" s="8">
        <v>44069</v>
      </c>
      <c r="H868" s="80" t="s">
        <v>55</v>
      </c>
      <c r="I868" s="79" t="s">
        <v>7</v>
      </c>
      <c r="J868" s="81">
        <v>60</v>
      </c>
      <c r="K868" t="s">
        <v>46</v>
      </c>
    </row>
    <row r="869" spans="2:11" x14ac:dyDescent="0.25">
      <c r="B869" s="2">
        <v>4</v>
      </c>
      <c r="C869" s="4">
        <v>703.97</v>
      </c>
      <c r="D869" s="4">
        <v>77.436999999999998</v>
      </c>
      <c r="E869" s="79">
        <v>0</v>
      </c>
      <c r="F869" s="79">
        <f>SUM(BASE_DATOS[[#This Row],[Capital($)]:[Interés
Resarcitorio($)]])</f>
        <v>781.40700000000004</v>
      </c>
      <c r="G869" s="8">
        <v>44090</v>
      </c>
      <c r="H869" s="80" t="s">
        <v>55</v>
      </c>
      <c r="I869" s="79" t="s">
        <v>9</v>
      </c>
      <c r="J869" s="81">
        <v>60</v>
      </c>
      <c r="K869" t="s">
        <v>46</v>
      </c>
    </row>
    <row r="870" spans="2:11" x14ac:dyDescent="0.25">
      <c r="B870" s="2">
        <f>+B869</f>
        <v>4</v>
      </c>
      <c r="C870" s="4">
        <v>703.97</v>
      </c>
      <c r="D870" s="4">
        <v>77.436999999999998</v>
      </c>
      <c r="E870" s="79">
        <v>71.89</v>
      </c>
      <c r="F870" s="79">
        <f>SUM(BASE_DATOS[[#This Row],[Capital($)]:[Interés
Resarcitorio($)]])</f>
        <v>853.29700000000003</v>
      </c>
      <c r="G870" s="8">
        <v>44100</v>
      </c>
      <c r="H870" s="80" t="s">
        <v>55</v>
      </c>
      <c r="I870" s="79" t="s">
        <v>7</v>
      </c>
      <c r="J870" s="81">
        <v>60</v>
      </c>
      <c r="K870" t="s">
        <v>46</v>
      </c>
    </row>
    <row r="871" spans="2:11" x14ac:dyDescent="0.25">
      <c r="B871" s="2">
        <v>5</v>
      </c>
      <c r="C871" s="4">
        <v>703.97</v>
      </c>
      <c r="D871" s="4">
        <v>97.850999999999999</v>
      </c>
      <c r="E871" s="79">
        <v>0</v>
      </c>
      <c r="F871" s="79">
        <f>SUM(BASE_DATOS[[#This Row],[Capital($)]:[Interés
Resarcitorio($)]])</f>
        <v>801.82100000000003</v>
      </c>
      <c r="G871" s="8">
        <v>44120</v>
      </c>
      <c r="H871" s="80" t="s">
        <v>55</v>
      </c>
      <c r="I871" s="79" t="s">
        <v>9</v>
      </c>
      <c r="J871" s="81">
        <v>60</v>
      </c>
      <c r="K871" t="s">
        <v>46</v>
      </c>
    </row>
    <row r="872" spans="2:11" x14ac:dyDescent="0.25">
      <c r="B872" s="2">
        <f>+B871</f>
        <v>5</v>
      </c>
      <c r="C872" s="4">
        <v>703.97</v>
      </c>
      <c r="D872" s="4">
        <v>97.850999999999999</v>
      </c>
      <c r="E872" s="79">
        <v>80.72</v>
      </c>
      <c r="F872" s="79">
        <f>SUM(BASE_DATOS[[#This Row],[Capital($)]:[Interés
Resarcitorio($)]])</f>
        <v>882.54100000000005</v>
      </c>
      <c r="G872" s="8">
        <v>44130</v>
      </c>
      <c r="H872" s="80" t="s">
        <v>55</v>
      </c>
      <c r="I872" s="79" t="s">
        <v>7</v>
      </c>
      <c r="J872" s="81">
        <v>60</v>
      </c>
      <c r="K872" t="s">
        <v>46</v>
      </c>
    </row>
    <row r="873" spans="2:11" x14ac:dyDescent="0.25">
      <c r="B873" s="2">
        <v>6</v>
      </c>
      <c r="C873" s="4">
        <v>703.97</v>
      </c>
      <c r="D873" s="4">
        <v>119.675</v>
      </c>
      <c r="E873" s="79">
        <v>0</v>
      </c>
      <c r="F873" s="79">
        <f>SUM(BASE_DATOS[[#This Row],[Capital($)]:[Interés
Resarcitorio($)]])</f>
        <v>823.64499999999998</v>
      </c>
      <c r="G873" s="8">
        <v>44151</v>
      </c>
      <c r="H873" s="80" t="s">
        <v>55</v>
      </c>
      <c r="I873" s="79" t="s">
        <v>9</v>
      </c>
      <c r="J873" s="81">
        <v>60</v>
      </c>
      <c r="K873" t="s">
        <v>46</v>
      </c>
    </row>
    <row r="874" spans="2:11" x14ac:dyDescent="0.25">
      <c r="B874" s="2">
        <f>+B873</f>
        <v>6</v>
      </c>
      <c r="C874" s="4">
        <v>703.97</v>
      </c>
      <c r="D874" s="4">
        <v>119.675</v>
      </c>
      <c r="E874" s="79">
        <v>82.91</v>
      </c>
      <c r="F874" s="79">
        <f>SUM(BASE_DATOS[[#This Row],[Capital($)]:[Interés
Resarcitorio($)]])</f>
        <v>906.55499999999995</v>
      </c>
      <c r="G874" s="8">
        <v>44161</v>
      </c>
      <c r="H874" s="80" t="s">
        <v>55</v>
      </c>
      <c r="I874" s="79" t="s">
        <v>7</v>
      </c>
      <c r="J874" s="81">
        <v>60</v>
      </c>
      <c r="K874" t="s">
        <v>46</v>
      </c>
    </row>
    <row r="875" spans="2:11" x14ac:dyDescent="0.25">
      <c r="B875" s="2">
        <v>7</v>
      </c>
      <c r="C875" s="4">
        <v>703.97</v>
      </c>
      <c r="D875" s="4">
        <v>140.09</v>
      </c>
      <c r="E875" s="79">
        <v>0</v>
      </c>
      <c r="F875" s="79">
        <f>SUM(BASE_DATOS[[#This Row],[Capital($)]:[Interés
Resarcitorio($)]])</f>
        <v>844.06000000000006</v>
      </c>
      <c r="G875" s="8">
        <v>44181</v>
      </c>
      <c r="H875" s="80" t="s">
        <v>55</v>
      </c>
      <c r="I875" s="79" t="s">
        <v>9</v>
      </c>
      <c r="J875" s="81">
        <v>60</v>
      </c>
      <c r="K875" t="s">
        <v>46</v>
      </c>
    </row>
    <row r="876" spans="2:11" x14ac:dyDescent="0.25">
      <c r="B876" s="2">
        <f>+B875</f>
        <v>7</v>
      </c>
      <c r="C876" s="4">
        <v>703.97</v>
      </c>
      <c r="D876" s="4">
        <v>140.09</v>
      </c>
      <c r="E876" s="79">
        <v>84.97</v>
      </c>
      <c r="F876" s="79">
        <f>SUM(BASE_DATOS[[#This Row],[Capital($)]:[Interés
Resarcitorio($)]])</f>
        <v>929.03000000000009</v>
      </c>
      <c r="G876" s="8">
        <v>44191</v>
      </c>
      <c r="H876" s="80" t="s">
        <v>55</v>
      </c>
      <c r="I876" s="79" t="s">
        <v>7</v>
      </c>
      <c r="J876" s="81">
        <v>60</v>
      </c>
      <c r="K876" t="s">
        <v>46</v>
      </c>
    </row>
    <row r="877" spans="2:11" x14ac:dyDescent="0.25">
      <c r="B877" s="2">
        <v>8</v>
      </c>
      <c r="C877" s="4">
        <v>703.97</v>
      </c>
      <c r="D877" s="4">
        <v>161.91300000000001</v>
      </c>
      <c r="E877" s="79">
        <v>0</v>
      </c>
      <c r="F877" s="79">
        <f>SUM(BASE_DATOS[[#This Row],[Capital($)]:[Interés
Resarcitorio($)]])</f>
        <v>865.88300000000004</v>
      </c>
      <c r="G877" s="8">
        <v>44212</v>
      </c>
      <c r="H877" s="80" t="s">
        <v>55</v>
      </c>
      <c r="I877" s="79" t="s">
        <v>9</v>
      </c>
      <c r="J877" s="81">
        <v>60</v>
      </c>
      <c r="K877" t="s">
        <v>46</v>
      </c>
    </row>
    <row r="878" spans="2:11" x14ac:dyDescent="0.25">
      <c r="B878" s="2">
        <f>+B877</f>
        <v>8</v>
      </c>
      <c r="C878" s="4">
        <v>703.97</v>
      </c>
      <c r="D878" s="4">
        <v>161.91300000000001</v>
      </c>
      <c r="E878" s="79">
        <v>96.69</v>
      </c>
      <c r="F878" s="79">
        <f>SUM(BASE_DATOS[[#This Row],[Capital($)]:[Interés
Resarcitorio($)]])</f>
        <v>962.57300000000009</v>
      </c>
      <c r="G878" s="8">
        <v>44222</v>
      </c>
      <c r="H878" s="80" t="s">
        <v>55</v>
      </c>
      <c r="I878" s="79" t="s">
        <v>7</v>
      </c>
      <c r="J878" s="81">
        <v>60</v>
      </c>
      <c r="K878" t="s">
        <v>46</v>
      </c>
    </row>
    <row r="879" spans="2:11" x14ac:dyDescent="0.25">
      <c r="B879" s="2">
        <v>9</v>
      </c>
      <c r="C879" s="4">
        <v>703.97</v>
      </c>
      <c r="D879" s="4">
        <v>181.976</v>
      </c>
      <c r="E879" s="79">
        <v>0</v>
      </c>
      <c r="F879" s="79">
        <f>SUM(BASE_DATOS[[#This Row],[Capital($)]:[Interés
Resarcitorio($)]])</f>
        <v>885.94600000000003</v>
      </c>
      <c r="G879" s="8">
        <v>44243</v>
      </c>
      <c r="H879" s="80" t="s">
        <v>55</v>
      </c>
      <c r="I879" s="79" t="s">
        <v>9</v>
      </c>
      <c r="J879" s="81">
        <v>60</v>
      </c>
      <c r="K879" t="s">
        <v>46</v>
      </c>
    </row>
    <row r="880" spans="2:11" x14ac:dyDescent="0.25">
      <c r="B880" s="2">
        <f>+B879</f>
        <v>9</v>
      </c>
      <c r="C880" s="4">
        <v>703.97</v>
      </c>
      <c r="D880" s="4">
        <v>181.976</v>
      </c>
      <c r="E880" s="79">
        <v>98.93</v>
      </c>
      <c r="F880" s="79">
        <f>SUM(BASE_DATOS[[#This Row],[Capital($)]:[Interés
Resarcitorio($)]])</f>
        <v>984.87599999999998</v>
      </c>
      <c r="G880" s="8">
        <v>44253</v>
      </c>
      <c r="H880" s="80" t="s">
        <v>55</v>
      </c>
      <c r="I880" s="79" t="s">
        <v>7</v>
      </c>
      <c r="J880" s="81">
        <v>60</v>
      </c>
      <c r="K880" t="s">
        <v>46</v>
      </c>
    </row>
    <row r="881" spans="2:11" x14ac:dyDescent="0.25">
      <c r="B881" s="2">
        <v>10</v>
      </c>
      <c r="C881" s="4">
        <v>703.97</v>
      </c>
      <c r="D881" s="4">
        <v>202.04000000000002</v>
      </c>
      <c r="E881" s="79">
        <v>0</v>
      </c>
      <c r="F881" s="79">
        <f>SUM(BASE_DATOS[[#This Row],[Capital($)]:[Interés
Resarcitorio($)]])</f>
        <v>906.01</v>
      </c>
      <c r="G881" s="8">
        <v>44271</v>
      </c>
      <c r="H881" s="80" t="s">
        <v>55</v>
      </c>
      <c r="I881" s="79" t="s">
        <v>9</v>
      </c>
      <c r="J881" s="81">
        <v>60</v>
      </c>
      <c r="K881" t="s">
        <v>46</v>
      </c>
    </row>
    <row r="882" spans="2:11" x14ac:dyDescent="0.25">
      <c r="B882" s="2">
        <f>+B881</f>
        <v>10</v>
      </c>
      <c r="C882" s="4">
        <v>703.97</v>
      </c>
      <c r="D882" s="4">
        <v>202.04000000000002</v>
      </c>
      <c r="E882" s="79">
        <v>101.18</v>
      </c>
      <c r="F882" s="79">
        <f>SUM(BASE_DATOS[[#This Row],[Capital($)]:[Interés
Resarcitorio($)]])</f>
        <v>1007.19</v>
      </c>
      <c r="G882" s="8">
        <v>44281</v>
      </c>
      <c r="H882" s="80" t="s">
        <v>55</v>
      </c>
      <c r="I882" s="79" t="s">
        <v>7</v>
      </c>
      <c r="J882" s="81">
        <v>60</v>
      </c>
      <c r="K882" t="s">
        <v>46</v>
      </c>
    </row>
    <row r="883" spans="2:11" x14ac:dyDescent="0.25">
      <c r="B883" s="2">
        <v>11</v>
      </c>
      <c r="C883" s="4">
        <v>703.97</v>
      </c>
      <c r="D883" s="4">
        <v>222.10300000000001</v>
      </c>
      <c r="E883" s="79">
        <v>0</v>
      </c>
      <c r="F883" s="79">
        <f>SUM(BASE_DATOS[[#This Row],[Capital($)]:[Interés
Resarcitorio($)]])</f>
        <v>926.07300000000009</v>
      </c>
      <c r="G883" s="8">
        <v>44302</v>
      </c>
      <c r="H883" s="80" t="s">
        <v>55</v>
      </c>
      <c r="I883" s="79" t="s">
        <v>9</v>
      </c>
      <c r="J883" s="81">
        <v>60</v>
      </c>
      <c r="K883" t="s">
        <v>46</v>
      </c>
    </row>
    <row r="884" spans="2:11" x14ac:dyDescent="0.25">
      <c r="B884" s="2">
        <f>+B883</f>
        <v>11</v>
      </c>
      <c r="C884" s="4">
        <v>703.97</v>
      </c>
      <c r="D884" s="4">
        <v>222.10300000000001</v>
      </c>
      <c r="E884" s="79">
        <v>103.41</v>
      </c>
      <c r="F884" s="79">
        <f>SUM(BASE_DATOS[[#This Row],[Capital($)]:[Interés
Resarcitorio($)]])</f>
        <v>1029.4830000000002</v>
      </c>
      <c r="G884" s="8">
        <v>44312</v>
      </c>
      <c r="H884" s="80" t="s">
        <v>55</v>
      </c>
      <c r="I884" s="79" t="s">
        <v>7</v>
      </c>
      <c r="J884" s="81">
        <v>60</v>
      </c>
      <c r="K884" t="s">
        <v>46</v>
      </c>
    </row>
    <row r="885" spans="2:11" x14ac:dyDescent="0.25">
      <c r="B885" s="2">
        <v>12</v>
      </c>
      <c r="C885" s="4">
        <v>703.97</v>
      </c>
      <c r="D885" s="4">
        <v>242.16500000000002</v>
      </c>
      <c r="E885" s="79">
        <v>0</v>
      </c>
      <c r="F885" s="79">
        <f>SUM(BASE_DATOS[[#This Row],[Capital($)]:[Interés
Resarcitorio($)]])</f>
        <v>946.13499999999999</v>
      </c>
      <c r="G885" s="8">
        <v>44332</v>
      </c>
      <c r="H885" s="80" t="s">
        <v>55</v>
      </c>
      <c r="I885" s="79" t="s">
        <v>9</v>
      </c>
      <c r="J885" s="81">
        <v>60</v>
      </c>
      <c r="K885" t="s">
        <v>46</v>
      </c>
    </row>
    <row r="886" spans="2:11" x14ac:dyDescent="0.25">
      <c r="B886" s="2">
        <f>+B885</f>
        <v>12</v>
      </c>
      <c r="C886" s="4">
        <v>703.97</v>
      </c>
      <c r="D886" s="4">
        <v>242.16500000000002</v>
      </c>
      <c r="E886" s="79">
        <v>105.65</v>
      </c>
      <c r="F886" s="79">
        <f>SUM(BASE_DATOS[[#This Row],[Capital($)]:[Interés
Resarcitorio($)]])</f>
        <v>1051.7850000000001</v>
      </c>
      <c r="G886" s="8">
        <v>44342</v>
      </c>
      <c r="H886" s="80" t="s">
        <v>55</v>
      </c>
      <c r="I886" s="79" t="s">
        <v>7</v>
      </c>
      <c r="J886" s="81">
        <v>60</v>
      </c>
      <c r="K886" t="s">
        <v>46</v>
      </c>
    </row>
    <row r="887" spans="2:11" x14ac:dyDescent="0.25">
      <c r="B887" s="2">
        <v>13</v>
      </c>
      <c r="C887" s="4">
        <v>703.97</v>
      </c>
      <c r="D887" s="4">
        <v>262.22899999999998</v>
      </c>
      <c r="E887" s="79">
        <v>0</v>
      </c>
      <c r="F887" s="79">
        <f>SUM(BASE_DATOS[[#This Row],[Capital($)]:[Interés
Resarcitorio($)]])</f>
        <v>966.19900000000007</v>
      </c>
      <c r="G887" s="8">
        <v>44363</v>
      </c>
      <c r="H887" s="80" t="s">
        <v>55</v>
      </c>
      <c r="I887" s="79" t="s">
        <v>9</v>
      </c>
      <c r="J887" s="81">
        <v>60</v>
      </c>
      <c r="K887" t="s">
        <v>46</v>
      </c>
    </row>
    <row r="888" spans="2:11" x14ac:dyDescent="0.25">
      <c r="B888" s="2">
        <f>+B887</f>
        <v>13</v>
      </c>
      <c r="C888" s="4">
        <v>703.97</v>
      </c>
      <c r="D888" s="4">
        <v>262.22899999999998</v>
      </c>
      <c r="E888" s="79">
        <v>107.9</v>
      </c>
      <c r="F888" s="79">
        <f>SUM(BASE_DATOS[[#This Row],[Capital($)]:[Interés
Resarcitorio($)]])</f>
        <v>1074.0990000000002</v>
      </c>
      <c r="G888" s="8">
        <v>44373</v>
      </c>
      <c r="H888" s="80" t="s">
        <v>55</v>
      </c>
      <c r="I888" s="79" t="s">
        <v>7</v>
      </c>
      <c r="J888" s="81">
        <v>60</v>
      </c>
      <c r="K888" t="s">
        <v>46</v>
      </c>
    </row>
    <row r="889" spans="2:11" x14ac:dyDescent="0.25">
      <c r="B889" s="2">
        <v>14</v>
      </c>
      <c r="C889" s="4">
        <v>703.97</v>
      </c>
      <c r="D889" s="4">
        <v>282.29200000000003</v>
      </c>
      <c r="E889" s="79">
        <v>0</v>
      </c>
      <c r="F889" s="79">
        <f>SUM(BASE_DATOS[[#This Row],[Capital($)]:[Interés
Resarcitorio($)]])</f>
        <v>986.26200000000006</v>
      </c>
      <c r="G889" s="8">
        <v>44393</v>
      </c>
      <c r="H889" s="80" t="s">
        <v>55</v>
      </c>
      <c r="I889" s="79" t="s">
        <v>9</v>
      </c>
      <c r="J889" s="81">
        <v>60</v>
      </c>
      <c r="K889" t="s">
        <v>46</v>
      </c>
    </row>
    <row r="890" spans="2:11" x14ac:dyDescent="0.25">
      <c r="B890" s="2">
        <f>+B889</f>
        <v>14</v>
      </c>
      <c r="C890" s="4">
        <v>703.97</v>
      </c>
      <c r="D890" s="4">
        <v>282.29200000000003</v>
      </c>
      <c r="E890" s="79">
        <v>110.13</v>
      </c>
      <c r="F890" s="79">
        <f>SUM(BASE_DATOS[[#This Row],[Capital($)]:[Interés
Resarcitorio($)]])</f>
        <v>1096.3920000000001</v>
      </c>
      <c r="G890" s="8">
        <v>44403</v>
      </c>
      <c r="H890" s="80" t="s">
        <v>55</v>
      </c>
      <c r="I890" s="79" t="s">
        <v>7</v>
      </c>
      <c r="J890" s="81">
        <v>60</v>
      </c>
      <c r="K890" t="s">
        <v>46</v>
      </c>
    </row>
    <row r="891" spans="2:11" x14ac:dyDescent="0.25">
      <c r="B891" s="2">
        <v>15</v>
      </c>
      <c r="C891" s="4">
        <v>703.97</v>
      </c>
      <c r="D891" s="4">
        <v>302.28499999999997</v>
      </c>
      <c r="E891" s="79">
        <v>0</v>
      </c>
      <c r="F891" s="79">
        <f>SUM(BASE_DATOS[[#This Row],[Capital($)]:[Interés
Resarcitorio($)]])</f>
        <v>1006.255</v>
      </c>
      <c r="G891" s="8">
        <v>44424</v>
      </c>
      <c r="H891" s="80" t="s">
        <v>55</v>
      </c>
      <c r="I891" s="79" t="s">
        <v>9</v>
      </c>
      <c r="J891" s="81">
        <v>60</v>
      </c>
      <c r="K891" t="s">
        <v>46</v>
      </c>
    </row>
    <row r="892" spans="2:11" x14ac:dyDescent="0.25">
      <c r="B892" s="2">
        <f>+B891</f>
        <v>15</v>
      </c>
      <c r="C892" s="4">
        <v>703.97</v>
      </c>
      <c r="D892" s="4">
        <v>302.28499999999997</v>
      </c>
      <c r="E892" s="79">
        <v>112.36</v>
      </c>
      <c r="F892" s="79">
        <f>SUM(BASE_DATOS[[#This Row],[Capital($)]:[Interés
Resarcitorio($)]])</f>
        <v>1118.615</v>
      </c>
      <c r="G892" s="8">
        <v>44434</v>
      </c>
      <c r="H892" s="80" t="s">
        <v>55</v>
      </c>
      <c r="I892" s="79" t="s">
        <v>7</v>
      </c>
      <c r="J892" s="81">
        <v>60</v>
      </c>
      <c r="K892" t="s">
        <v>46</v>
      </c>
    </row>
    <row r="893" spans="2:11" x14ac:dyDescent="0.25">
      <c r="B893" s="2">
        <v>16</v>
      </c>
      <c r="C893" s="4">
        <v>703.97</v>
      </c>
      <c r="D893" s="4">
        <v>322.27800000000002</v>
      </c>
      <c r="E893" s="79">
        <v>0</v>
      </c>
      <c r="F893" s="79">
        <f>SUM(BASE_DATOS[[#This Row],[Capital($)]:[Interés
Resarcitorio($)]])</f>
        <v>1026.248</v>
      </c>
      <c r="G893" s="8">
        <v>44455</v>
      </c>
      <c r="H893" s="80" t="s">
        <v>55</v>
      </c>
      <c r="I893" s="79" t="s">
        <v>9</v>
      </c>
      <c r="J893" s="81">
        <v>60</v>
      </c>
      <c r="K893" t="s">
        <v>46</v>
      </c>
    </row>
    <row r="894" spans="2:11" x14ac:dyDescent="0.25">
      <c r="B894" s="2">
        <f>+B893</f>
        <v>16</v>
      </c>
      <c r="C894" s="4">
        <v>703.97</v>
      </c>
      <c r="D894" s="4">
        <v>322.27800000000002</v>
      </c>
      <c r="E894" s="79">
        <v>114.6</v>
      </c>
      <c r="F894" s="79">
        <f>SUM(BASE_DATOS[[#This Row],[Capital($)]:[Interés
Resarcitorio($)]])</f>
        <v>1140.848</v>
      </c>
      <c r="G894" s="8">
        <v>44465</v>
      </c>
      <c r="H894" s="80" t="s">
        <v>55</v>
      </c>
      <c r="I894" s="79" t="s">
        <v>7</v>
      </c>
      <c r="J894" s="81">
        <v>60</v>
      </c>
      <c r="K894" t="s">
        <v>46</v>
      </c>
    </row>
    <row r="895" spans="2:11" x14ac:dyDescent="0.25">
      <c r="B895" s="2">
        <v>17</v>
      </c>
      <c r="C895" s="4">
        <v>703.97</v>
      </c>
      <c r="D895" s="4">
        <v>342.27</v>
      </c>
      <c r="E895" s="79">
        <v>0</v>
      </c>
      <c r="F895" s="79">
        <f>SUM(BASE_DATOS[[#This Row],[Capital($)]:[Interés
Resarcitorio($)]])</f>
        <v>1046.24</v>
      </c>
      <c r="G895" s="8">
        <v>44485</v>
      </c>
      <c r="H895" s="80" t="s">
        <v>55</v>
      </c>
      <c r="I895" s="79" t="s">
        <v>9</v>
      </c>
      <c r="J895" s="81">
        <v>60</v>
      </c>
      <c r="K895" t="s">
        <v>46</v>
      </c>
    </row>
    <row r="896" spans="2:11" x14ac:dyDescent="0.25">
      <c r="B896" s="2">
        <f>+B895</f>
        <v>17</v>
      </c>
      <c r="C896" s="4">
        <v>703.97</v>
      </c>
      <c r="D896" s="4">
        <v>342.27</v>
      </c>
      <c r="E896" s="79">
        <v>116.83</v>
      </c>
      <c r="F896" s="79">
        <f>SUM(BASE_DATOS[[#This Row],[Capital($)]:[Interés
Resarcitorio($)]])</f>
        <v>1163.07</v>
      </c>
      <c r="G896" s="8">
        <v>44495</v>
      </c>
      <c r="H896" s="80" t="s">
        <v>55</v>
      </c>
      <c r="I896" s="79" t="s">
        <v>7</v>
      </c>
      <c r="J896" s="81">
        <v>60</v>
      </c>
      <c r="K896" t="s">
        <v>46</v>
      </c>
    </row>
    <row r="897" spans="2:11" x14ac:dyDescent="0.25">
      <c r="B897" s="2">
        <v>18</v>
      </c>
      <c r="C897" s="4">
        <v>703.97</v>
      </c>
      <c r="D897" s="4">
        <v>362.26300000000003</v>
      </c>
      <c r="E897" s="79">
        <v>0</v>
      </c>
      <c r="F897" s="79">
        <f>SUM(BASE_DATOS[[#This Row],[Capital($)]:[Interés
Resarcitorio($)]])</f>
        <v>1066.2330000000002</v>
      </c>
      <c r="G897" s="8">
        <v>44516</v>
      </c>
      <c r="H897" s="80" t="s">
        <v>55</v>
      </c>
      <c r="I897" s="79" t="s">
        <v>9</v>
      </c>
      <c r="J897" s="81">
        <v>60</v>
      </c>
      <c r="K897" t="s">
        <v>46</v>
      </c>
    </row>
    <row r="898" spans="2:11" x14ac:dyDescent="0.25">
      <c r="B898" s="2">
        <f>+B897</f>
        <v>18</v>
      </c>
      <c r="C898" s="4">
        <v>703.97</v>
      </c>
      <c r="D898" s="4">
        <v>362.26300000000003</v>
      </c>
      <c r="E898" s="79">
        <v>119.06</v>
      </c>
      <c r="F898" s="79">
        <f>SUM(BASE_DATOS[[#This Row],[Capital($)]:[Interés
Resarcitorio($)]])</f>
        <v>1185.2930000000001</v>
      </c>
      <c r="G898" s="8">
        <v>44526</v>
      </c>
      <c r="H898" s="80" t="s">
        <v>55</v>
      </c>
      <c r="I898" s="79" t="s">
        <v>7</v>
      </c>
      <c r="J898" s="81">
        <v>60</v>
      </c>
      <c r="K898" t="s">
        <v>46</v>
      </c>
    </row>
    <row r="899" spans="2:11" x14ac:dyDescent="0.25">
      <c r="B899" s="2">
        <v>19</v>
      </c>
      <c r="C899" s="4">
        <v>703.97</v>
      </c>
      <c r="D899" s="4">
        <v>382.25599999999997</v>
      </c>
      <c r="E899" s="79">
        <v>0</v>
      </c>
      <c r="F899" s="79">
        <f>SUM(BASE_DATOS[[#This Row],[Capital($)]:[Interés
Resarcitorio($)]])</f>
        <v>1086.2260000000001</v>
      </c>
      <c r="G899" s="8">
        <v>44546</v>
      </c>
      <c r="H899" s="80" t="s">
        <v>55</v>
      </c>
      <c r="I899" s="79" t="s">
        <v>9</v>
      </c>
      <c r="J899" s="81">
        <v>60</v>
      </c>
      <c r="K899" t="s">
        <v>46</v>
      </c>
    </row>
    <row r="900" spans="2:11" x14ac:dyDescent="0.25">
      <c r="B900" s="2">
        <f>+B899</f>
        <v>19</v>
      </c>
      <c r="C900" s="4">
        <v>703.97</v>
      </c>
      <c r="D900" s="4">
        <v>382.25599999999997</v>
      </c>
      <c r="E900" s="79">
        <v>121.29</v>
      </c>
      <c r="F900" s="79">
        <f>SUM(BASE_DATOS[[#This Row],[Capital($)]:[Interés
Resarcitorio($)]])</f>
        <v>1207.5160000000001</v>
      </c>
      <c r="G900" s="8">
        <v>44556</v>
      </c>
      <c r="H900" s="80" t="s">
        <v>55</v>
      </c>
      <c r="I900" s="79" t="s">
        <v>7</v>
      </c>
      <c r="J900" s="81">
        <v>60</v>
      </c>
      <c r="K900" t="s">
        <v>46</v>
      </c>
    </row>
    <row r="901" spans="2:11" x14ac:dyDescent="0.25">
      <c r="B901" s="2">
        <v>20</v>
      </c>
      <c r="C901" s="4">
        <v>703.97</v>
      </c>
      <c r="D901" s="4">
        <v>402.24799999999999</v>
      </c>
      <c r="E901" s="79">
        <v>0</v>
      </c>
      <c r="F901" s="79">
        <f>SUM(BASE_DATOS[[#This Row],[Capital($)]:[Interés
Resarcitorio($)]])</f>
        <v>1106.2180000000001</v>
      </c>
      <c r="G901" s="8">
        <v>44577</v>
      </c>
      <c r="H901" s="80" t="s">
        <v>55</v>
      </c>
      <c r="I901" s="79" t="s">
        <v>9</v>
      </c>
      <c r="J901" s="81">
        <v>60</v>
      </c>
      <c r="K901" t="s">
        <v>46</v>
      </c>
    </row>
    <row r="902" spans="2:11" x14ac:dyDescent="0.25">
      <c r="B902" s="2">
        <f>+B901</f>
        <v>20</v>
      </c>
      <c r="C902" s="4">
        <v>703.97</v>
      </c>
      <c r="D902" s="4">
        <v>402.24799999999999</v>
      </c>
      <c r="E902" s="79">
        <v>123.53</v>
      </c>
      <c r="F902" s="79">
        <f>SUM(BASE_DATOS[[#This Row],[Capital($)]:[Interés
Resarcitorio($)]])</f>
        <v>1229.748</v>
      </c>
      <c r="G902" s="8">
        <v>44587</v>
      </c>
      <c r="H902" s="80" t="s">
        <v>55</v>
      </c>
      <c r="I902" s="79" t="s">
        <v>7</v>
      </c>
      <c r="J902" s="81">
        <v>60</v>
      </c>
      <c r="K902" t="s">
        <v>46</v>
      </c>
    </row>
    <row r="903" spans="2:11" x14ac:dyDescent="0.25">
      <c r="B903" s="2">
        <v>21</v>
      </c>
      <c r="C903" s="4">
        <v>703.97</v>
      </c>
      <c r="D903" s="4">
        <v>424.28300000000002</v>
      </c>
      <c r="E903" s="79">
        <v>0</v>
      </c>
      <c r="F903" s="79">
        <f>SUM(BASE_DATOS[[#This Row],[Capital($)]:[Interés
Resarcitorio($)]])</f>
        <v>1128.2530000000002</v>
      </c>
      <c r="G903" s="8">
        <v>44608</v>
      </c>
      <c r="H903" s="80" t="s">
        <v>55</v>
      </c>
      <c r="I903" s="79" t="s">
        <v>9</v>
      </c>
      <c r="J903" s="81">
        <v>60</v>
      </c>
      <c r="K903" t="s">
        <v>46</v>
      </c>
    </row>
    <row r="904" spans="2:11" x14ac:dyDescent="0.25">
      <c r="B904" s="2">
        <f>+B903</f>
        <v>21</v>
      </c>
      <c r="C904" s="4">
        <v>703.97</v>
      </c>
      <c r="D904" s="4">
        <v>424.28300000000002</v>
      </c>
      <c r="E904" s="79">
        <v>125.99</v>
      </c>
      <c r="F904" s="79">
        <f>SUM(BASE_DATOS[[#This Row],[Capital($)]:[Interés
Resarcitorio($)]])</f>
        <v>1254.2430000000002</v>
      </c>
      <c r="G904" s="8">
        <v>44618</v>
      </c>
      <c r="H904" s="80" t="s">
        <v>55</v>
      </c>
      <c r="I904" s="79" t="s">
        <v>7</v>
      </c>
      <c r="J904" s="81">
        <v>60</v>
      </c>
      <c r="K904" t="s">
        <v>46</v>
      </c>
    </row>
    <row r="905" spans="2:11" x14ac:dyDescent="0.25">
      <c r="B905" s="2">
        <v>22</v>
      </c>
      <c r="C905" s="4">
        <v>703.97</v>
      </c>
      <c r="D905" s="4">
        <v>446.31700000000001</v>
      </c>
      <c r="E905" s="79">
        <v>0</v>
      </c>
      <c r="F905" s="79">
        <f>SUM(BASE_DATOS[[#This Row],[Capital($)]:[Interés
Resarcitorio($)]])</f>
        <v>1150.287</v>
      </c>
      <c r="G905" s="8">
        <v>44636</v>
      </c>
      <c r="H905" s="80" t="s">
        <v>55</v>
      </c>
      <c r="I905" s="79" t="s">
        <v>9</v>
      </c>
      <c r="J905" s="81">
        <v>60</v>
      </c>
      <c r="K905" t="s">
        <v>46</v>
      </c>
    </row>
    <row r="906" spans="2:11" x14ac:dyDescent="0.25">
      <c r="B906" s="2">
        <f>+B905</f>
        <v>22</v>
      </c>
      <c r="C906" s="4">
        <v>703.97</v>
      </c>
      <c r="D906" s="4">
        <v>446.31700000000001</v>
      </c>
      <c r="E906" s="79">
        <v>128.44</v>
      </c>
      <c r="F906" s="79">
        <f>SUM(BASE_DATOS[[#This Row],[Capital($)]:[Interés
Resarcitorio($)]])</f>
        <v>1278.7270000000001</v>
      </c>
      <c r="G906" s="8">
        <v>44646</v>
      </c>
      <c r="H906" s="80" t="s">
        <v>55</v>
      </c>
      <c r="I906" s="79" t="s">
        <v>7</v>
      </c>
      <c r="J906" s="81">
        <v>60</v>
      </c>
      <c r="K906" t="s">
        <v>46</v>
      </c>
    </row>
    <row r="907" spans="2:11" x14ac:dyDescent="0.25">
      <c r="B907" s="2">
        <v>23</v>
      </c>
      <c r="C907" s="4">
        <v>703.97</v>
      </c>
      <c r="D907" s="4">
        <v>468.351</v>
      </c>
      <c r="E907" s="79">
        <v>0</v>
      </c>
      <c r="F907" s="79">
        <f>SUM(BASE_DATOS[[#This Row],[Capital($)]:[Interés
Resarcitorio($)]])</f>
        <v>1172.3209999999999</v>
      </c>
      <c r="G907" s="8">
        <v>44667</v>
      </c>
      <c r="H907" s="80" t="s">
        <v>55</v>
      </c>
      <c r="I907" s="79" t="s">
        <v>9</v>
      </c>
      <c r="J907" s="81">
        <v>60</v>
      </c>
      <c r="K907" t="s">
        <v>46</v>
      </c>
    </row>
    <row r="908" spans="2:11" x14ac:dyDescent="0.25">
      <c r="B908" s="2">
        <f>+B907</f>
        <v>23</v>
      </c>
      <c r="C908" s="4">
        <v>703.97</v>
      </c>
      <c r="D908" s="4">
        <v>468.351</v>
      </c>
      <c r="E908" s="79">
        <v>145.37</v>
      </c>
      <c r="F908" s="79">
        <f>SUM(BASE_DATOS[[#This Row],[Capital($)]:[Interés
Resarcitorio($)]])</f>
        <v>1317.6909999999998</v>
      </c>
      <c r="G908" s="8">
        <v>44677</v>
      </c>
      <c r="H908" s="80" t="s">
        <v>55</v>
      </c>
      <c r="I908" s="79" t="s">
        <v>7</v>
      </c>
      <c r="J908" s="81">
        <v>60</v>
      </c>
      <c r="K908" t="s">
        <v>46</v>
      </c>
    </row>
    <row r="909" spans="2:11" x14ac:dyDescent="0.25">
      <c r="B909" s="2">
        <v>24</v>
      </c>
      <c r="C909" s="4">
        <v>703.97</v>
      </c>
      <c r="D909" s="4">
        <v>490.38599999999997</v>
      </c>
      <c r="E909" s="79">
        <v>0</v>
      </c>
      <c r="F909" s="79">
        <f>SUM(BASE_DATOS[[#This Row],[Capital($)]:[Interés
Resarcitorio($)]])</f>
        <v>1194.356</v>
      </c>
      <c r="G909" s="8">
        <v>44697</v>
      </c>
      <c r="H909" s="80" t="s">
        <v>55</v>
      </c>
      <c r="I909" s="79" t="s">
        <v>9</v>
      </c>
      <c r="J909" s="81">
        <v>60</v>
      </c>
      <c r="K909" t="s">
        <v>46</v>
      </c>
    </row>
    <row r="910" spans="2:11" x14ac:dyDescent="0.25">
      <c r="B910" s="2">
        <f>+B909</f>
        <v>24</v>
      </c>
      <c r="C910" s="4">
        <v>703.97</v>
      </c>
      <c r="D910" s="4">
        <v>490.38599999999997</v>
      </c>
      <c r="E910" s="79">
        <v>148.1</v>
      </c>
      <c r="F910" s="79">
        <f>SUM(BASE_DATOS[[#This Row],[Capital($)]:[Interés
Resarcitorio($)]])</f>
        <v>1342.4559999999999</v>
      </c>
      <c r="G910" s="8">
        <v>44707</v>
      </c>
      <c r="H910" s="80" t="s">
        <v>55</v>
      </c>
      <c r="I910" s="79" t="s">
        <v>7</v>
      </c>
      <c r="J910" s="81">
        <v>60</v>
      </c>
      <c r="K910" t="s">
        <v>46</v>
      </c>
    </row>
    <row r="911" spans="2:11" x14ac:dyDescent="0.25">
      <c r="B911" s="2">
        <v>25</v>
      </c>
      <c r="C911" s="4">
        <v>703.97</v>
      </c>
      <c r="D911" s="4">
        <v>512.41899999999998</v>
      </c>
      <c r="E911" s="79">
        <v>0</v>
      </c>
      <c r="F911" s="79">
        <f>SUM(BASE_DATOS[[#This Row],[Capital($)]:[Interés
Resarcitorio($)]])</f>
        <v>1216.3890000000001</v>
      </c>
      <c r="G911" s="8">
        <v>44728</v>
      </c>
      <c r="H911" s="80" t="s">
        <v>55</v>
      </c>
      <c r="I911" s="79" t="s">
        <v>9</v>
      </c>
      <c r="J911" s="81">
        <v>60</v>
      </c>
      <c r="K911" t="s">
        <v>46</v>
      </c>
    </row>
    <row r="912" spans="2:11" x14ac:dyDescent="0.25">
      <c r="B912" s="2">
        <f>+B911</f>
        <v>25</v>
      </c>
      <c r="C912" s="4">
        <v>703.97</v>
      </c>
      <c r="D912" s="4">
        <v>512.41899999999998</v>
      </c>
      <c r="E912" s="79">
        <v>150.83000000000001</v>
      </c>
      <c r="F912" s="79">
        <f>SUM(BASE_DATOS[[#This Row],[Capital($)]:[Interés
Resarcitorio($)]])</f>
        <v>1367.2190000000001</v>
      </c>
      <c r="G912" s="8">
        <v>44738</v>
      </c>
      <c r="H912" s="80" t="s">
        <v>55</v>
      </c>
      <c r="I912" s="79" t="s">
        <v>7</v>
      </c>
      <c r="J912" s="81">
        <v>60</v>
      </c>
      <c r="K912" t="s">
        <v>46</v>
      </c>
    </row>
    <row r="913" spans="2:11" x14ac:dyDescent="0.25">
      <c r="B913" s="2">
        <v>26</v>
      </c>
      <c r="C913" s="4">
        <v>703.97</v>
      </c>
      <c r="D913" s="4">
        <v>534.45399999999995</v>
      </c>
      <c r="E913" s="79">
        <v>0</v>
      </c>
      <c r="F913" s="79">
        <f>SUM(BASE_DATOS[[#This Row],[Capital($)]:[Interés
Resarcitorio($)]])</f>
        <v>1238.424</v>
      </c>
      <c r="G913" s="8">
        <v>44758</v>
      </c>
      <c r="H913" s="80" t="s">
        <v>55</v>
      </c>
      <c r="I913" s="79" t="s">
        <v>9</v>
      </c>
      <c r="J913" s="81">
        <v>60</v>
      </c>
      <c r="K913" t="s">
        <v>46</v>
      </c>
    </row>
    <row r="914" spans="2:11" x14ac:dyDescent="0.25">
      <c r="B914" s="2">
        <f>+B913</f>
        <v>26</v>
      </c>
      <c r="C914" s="4">
        <v>703.97</v>
      </c>
      <c r="D914" s="4">
        <v>534.45399999999995</v>
      </c>
      <c r="E914" s="79">
        <v>175.44</v>
      </c>
      <c r="F914" s="79">
        <f>SUM(BASE_DATOS[[#This Row],[Capital($)]:[Interés
Resarcitorio($)]])</f>
        <v>1413.864</v>
      </c>
      <c r="G914" s="8">
        <v>44768</v>
      </c>
      <c r="H914" s="80" t="s">
        <v>55</v>
      </c>
      <c r="I914" s="79" t="s">
        <v>7</v>
      </c>
      <c r="J914" s="81">
        <v>60</v>
      </c>
      <c r="K914" t="s">
        <v>46</v>
      </c>
    </row>
    <row r="915" spans="2:11" x14ac:dyDescent="0.25">
      <c r="B915" s="2">
        <v>27</v>
      </c>
      <c r="C915" s="4">
        <v>703.97</v>
      </c>
      <c r="D915" s="4">
        <v>564.09100000000001</v>
      </c>
      <c r="E915" s="79">
        <v>0</v>
      </c>
      <c r="F915" s="79">
        <f>SUM(BASE_DATOS[[#This Row],[Capital($)]:[Interés
Resarcitorio($)]])</f>
        <v>1268.0610000000001</v>
      </c>
      <c r="G915" s="8">
        <v>44789</v>
      </c>
      <c r="H915" s="80" t="s">
        <v>55</v>
      </c>
      <c r="I915" s="79" t="s">
        <v>9</v>
      </c>
      <c r="J915" s="81">
        <v>60</v>
      </c>
      <c r="K915" t="s">
        <v>46</v>
      </c>
    </row>
    <row r="916" spans="2:11" x14ac:dyDescent="0.25">
      <c r="B916" s="2">
        <f>+B915</f>
        <v>27</v>
      </c>
      <c r="C916" s="4">
        <v>703.97</v>
      </c>
      <c r="D916" s="4">
        <v>564.09100000000001</v>
      </c>
      <c r="E916" s="79">
        <v>179.65</v>
      </c>
      <c r="F916" s="79">
        <f>SUM(BASE_DATOS[[#This Row],[Capital($)]:[Interés
Resarcitorio($)]])</f>
        <v>1447.7110000000002</v>
      </c>
      <c r="G916" s="8">
        <v>44799</v>
      </c>
      <c r="H916" s="80" t="s">
        <v>55</v>
      </c>
      <c r="I916" s="79" t="s">
        <v>7</v>
      </c>
      <c r="J916" s="81">
        <v>60</v>
      </c>
      <c r="K916" t="s">
        <v>46</v>
      </c>
    </row>
    <row r="917" spans="2:11" x14ac:dyDescent="0.25">
      <c r="B917" s="2">
        <v>28</v>
      </c>
      <c r="C917" s="4">
        <v>703.97</v>
      </c>
      <c r="D917" s="4">
        <v>593.72799999999995</v>
      </c>
      <c r="E917" s="79">
        <v>0</v>
      </c>
      <c r="F917" s="79">
        <f>SUM(BASE_DATOS[[#This Row],[Capital($)]:[Interés
Resarcitorio($)]])</f>
        <v>1297.6979999999999</v>
      </c>
      <c r="G917" s="8">
        <v>44820</v>
      </c>
      <c r="H917" s="80" t="s">
        <v>55</v>
      </c>
      <c r="I917" s="79" t="s">
        <v>9</v>
      </c>
      <c r="J917" s="81">
        <v>60</v>
      </c>
      <c r="K917" t="s">
        <v>46</v>
      </c>
    </row>
    <row r="918" spans="2:11" x14ac:dyDescent="0.25">
      <c r="B918" s="2">
        <f>+B917</f>
        <v>28</v>
      </c>
      <c r="C918" s="4">
        <v>703.97</v>
      </c>
      <c r="D918" s="4">
        <v>593.72799999999995</v>
      </c>
      <c r="E918" s="79">
        <v>255.65</v>
      </c>
      <c r="F918" s="79">
        <f>SUM(BASE_DATOS[[#This Row],[Capital($)]:[Interés
Resarcitorio($)]])</f>
        <v>1553.348</v>
      </c>
      <c r="G918" s="8">
        <v>44830</v>
      </c>
      <c r="H918" s="80" t="s">
        <v>55</v>
      </c>
      <c r="I918" s="79" t="s">
        <v>7</v>
      </c>
      <c r="J918" s="81">
        <v>60</v>
      </c>
      <c r="K918" t="s">
        <v>46</v>
      </c>
    </row>
    <row r="919" spans="2:11" x14ac:dyDescent="0.25">
      <c r="B919" s="2">
        <v>29</v>
      </c>
      <c r="C919" s="4">
        <v>703.97</v>
      </c>
      <c r="D919" s="4">
        <v>623.36500000000001</v>
      </c>
      <c r="E919" s="79">
        <v>0</v>
      </c>
      <c r="F919" s="79">
        <f>SUM(BASE_DATOS[[#This Row],[Capital($)]:[Interés
Resarcitorio($)]])</f>
        <v>1327.335</v>
      </c>
      <c r="G919" s="8">
        <v>44850</v>
      </c>
      <c r="H919" s="80" t="s">
        <v>55</v>
      </c>
      <c r="I919" s="79" t="s">
        <v>9</v>
      </c>
      <c r="J919" s="81">
        <v>60</v>
      </c>
      <c r="K919" t="s">
        <v>46</v>
      </c>
    </row>
    <row r="920" spans="2:11" x14ac:dyDescent="0.25">
      <c r="B920" s="2">
        <f>+B919</f>
        <v>29</v>
      </c>
      <c r="C920" s="4">
        <v>703.97</v>
      </c>
      <c r="D920" s="4">
        <v>623.36500000000001</v>
      </c>
      <c r="E920" s="79">
        <v>261.49</v>
      </c>
      <c r="F920" s="79">
        <f>SUM(BASE_DATOS[[#This Row],[Capital($)]:[Interés
Resarcitorio($)]])</f>
        <v>1588.825</v>
      </c>
      <c r="G920" s="8">
        <v>44860</v>
      </c>
      <c r="H920" s="80" t="s">
        <v>55</v>
      </c>
      <c r="I920" s="79" t="s">
        <v>7</v>
      </c>
      <c r="J920" s="81">
        <v>60</v>
      </c>
      <c r="K920" t="s">
        <v>46</v>
      </c>
    </row>
    <row r="921" spans="2:11" x14ac:dyDescent="0.25">
      <c r="B921" s="2">
        <v>30</v>
      </c>
      <c r="C921" s="4">
        <v>703.97</v>
      </c>
      <c r="D921" s="4">
        <v>653.00200000000007</v>
      </c>
      <c r="E921" s="79">
        <v>0</v>
      </c>
      <c r="F921" s="79">
        <f>SUM(BASE_DATOS[[#This Row],[Capital($)]:[Interés
Resarcitorio($)]])</f>
        <v>1356.9720000000002</v>
      </c>
      <c r="G921" s="8">
        <v>44881</v>
      </c>
      <c r="H921" s="80" t="s">
        <v>55</v>
      </c>
      <c r="I921" s="79" t="s">
        <v>9</v>
      </c>
      <c r="J921" s="81">
        <v>60</v>
      </c>
      <c r="K921" t="s">
        <v>46</v>
      </c>
    </row>
    <row r="922" spans="2:11" x14ac:dyDescent="0.25">
      <c r="B922" s="2">
        <f>+B921</f>
        <v>30</v>
      </c>
      <c r="C922" s="4">
        <v>703.97</v>
      </c>
      <c r="D922" s="4">
        <v>653.00200000000007</v>
      </c>
      <c r="E922" s="79">
        <v>267.33</v>
      </c>
      <c r="F922" s="79">
        <f>SUM(BASE_DATOS[[#This Row],[Capital($)]:[Interés
Resarcitorio($)]])</f>
        <v>1624.3020000000001</v>
      </c>
      <c r="G922" s="8">
        <v>44891</v>
      </c>
      <c r="H922" s="80" t="s">
        <v>55</v>
      </c>
      <c r="I922" s="79" t="s">
        <v>7</v>
      </c>
      <c r="J922" s="81">
        <v>60</v>
      </c>
      <c r="K922" t="s">
        <v>46</v>
      </c>
    </row>
    <row r="923" spans="2:11" x14ac:dyDescent="0.25">
      <c r="B923" s="2">
        <v>31</v>
      </c>
      <c r="C923" s="4">
        <v>703.97</v>
      </c>
      <c r="D923" s="4">
        <v>682.64</v>
      </c>
      <c r="E923" s="79">
        <v>0</v>
      </c>
      <c r="F923" s="79">
        <f>SUM(BASE_DATOS[[#This Row],[Capital($)]:[Interés
Resarcitorio($)]])</f>
        <v>1386.6100000000001</v>
      </c>
      <c r="G923" s="8">
        <v>44911</v>
      </c>
      <c r="H923" s="80" t="s">
        <v>55</v>
      </c>
      <c r="I923" s="79" t="s">
        <v>9</v>
      </c>
      <c r="J923" s="81">
        <v>60</v>
      </c>
      <c r="K923" t="s">
        <v>46</v>
      </c>
    </row>
    <row r="924" spans="2:11" x14ac:dyDescent="0.25">
      <c r="B924" s="2">
        <f>+B923</f>
        <v>31</v>
      </c>
      <c r="C924" s="4">
        <v>703.97</v>
      </c>
      <c r="D924" s="4">
        <v>682.64</v>
      </c>
      <c r="E924" s="79">
        <v>273.17</v>
      </c>
      <c r="F924" s="79">
        <f>SUM(BASE_DATOS[[#This Row],[Capital($)]:[Interés
Resarcitorio($)]])</f>
        <v>1659.7800000000002</v>
      </c>
      <c r="G924" s="8">
        <v>44921</v>
      </c>
      <c r="H924" s="80" t="s">
        <v>55</v>
      </c>
      <c r="I924" s="79" t="s">
        <v>7</v>
      </c>
      <c r="J924" s="81">
        <v>60</v>
      </c>
      <c r="K924" t="s">
        <v>46</v>
      </c>
    </row>
    <row r="925" spans="2:11" x14ac:dyDescent="0.25">
      <c r="B925" s="2">
        <v>32</v>
      </c>
      <c r="C925" s="4">
        <v>703.97</v>
      </c>
      <c r="D925" s="4">
        <v>712.27700000000004</v>
      </c>
      <c r="E925" s="79">
        <v>0</v>
      </c>
      <c r="F925" s="79">
        <f>SUM(BASE_DATOS[[#This Row],[Capital($)]:[Interés
Resarcitorio($)]])</f>
        <v>1416.2470000000001</v>
      </c>
      <c r="G925" s="8">
        <v>44942</v>
      </c>
      <c r="H925" s="80" t="s">
        <v>55</v>
      </c>
      <c r="I925" s="79" t="s">
        <v>9</v>
      </c>
      <c r="J925" s="81">
        <v>60</v>
      </c>
      <c r="K925" t="s">
        <v>46</v>
      </c>
    </row>
    <row r="926" spans="2:11" x14ac:dyDescent="0.25">
      <c r="B926" s="2">
        <f>+B925</f>
        <v>32</v>
      </c>
      <c r="C926" s="4">
        <v>703.97</v>
      </c>
      <c r="D926" s="4">
        <v>712.27700000000004</v>
      </c>
      <c r="E926" s="79">
        <v>279</v>
      </c>
      <c r="F926" s="79">
        <f>SUM(BASE_DATOS[[#This Row],[Capital($)]:[Interés
Resarcitorio($)]])</f>
        <v>1695.2470000000001</v>
      </c>
      <c r="G926" s="8">
        <v>44952</v>
      </c>
      <c r="H926" s="80" t="s">
        <v>55</v>
      </c>
      <c r="I926" s="79" t="s">
        <v>7</v>
      </c>
      <c r="J926" s="81">
        <v>60</v>
      </c>
      <c r="K926" t="s">
        <v>46</v>
      </c>
    </row>
    <row r="927" spans="2:11" x14ac:dyDescent="0.25">
      <c r="B927" s="2">
        <v>33</v>
      </c>
      <c r="C927" s="4">
        <v>703.97</v>
      </c>
      <c r="D927" s="4">
        <v>752.755</v>
      </c>
      <c r="E927" s="79">
        <v>0</v>
      </c>
      <c r="F927" s="79">
        <f>SUM(BASE_DATOS[[#This Row],[Capital($)]:[Interés
Resarcitorio($)]])</f>
        <v>1456.7249999999999</v>
      </c>
      <c r="G927" s="8">
        <v>44973</v>
      </c>
      <c r="H927" s="80" t="s">
        <v>55</v>
      </c>
      <c r="I927" s="79" t="s">
        <v>9</v>
      </c>
      <c r="J927" s="81">
        <v>60</v>
      </c>
      <c r="K927" t="s">
        <v>46</v>
      </c>
    </row>
    <row r="928" spans="2:11" x14ac:dyDescent="0.25">
      <c r="B928" s="2">
        <f>+B927</f>
        <v>33</v>
      </c>
      <c r="C928" s="4">
        <v>703.97</v>
      </c>
      <c r="D928" s="4">
        <v>752.755</v>
      </c>
      <c r="E928" s="79">
        <v>286.97000000000003</v>
      </c>
      <c r="F928" s="79">
        <f>SUM(BASE_DATOS[[#This Row],[Capital($)]:[Interés
Resarcitorio($)]])</f>
        <v>1743.6949999999999</v>
      </c>
      <c r="G928" s="8">
        <v>44983</v>
      </c>
      <c r="H928" s="80" t="s">
        <v>55</v>
      </c>
      <c r="I928" s="79" t="s">
        <v>7</v>
      </c>
      <c r="J928" s="81">
        <v>60</v>
      </c>
      <c r="K928" t="s">
        <v>46</v>
      </c>
    </row>
    <row r="929" spans="2:11" x14ac:dyDescent="0.25">
      <c r="B929" s="2">
        <v>34</v>
      </c>
      <c r="C929" s="4">
        <v>703.97</v>
      </c>
      <c r="D929" s="4">
        <v>793.23299999999995</v>
      </c>
      <c r="E929" s="79">
        <v>0</v>
      </c>
      <c r="F929" s="79">
        <f>SUM(BASE_DATOS[[#This Row],[Capital($)]:[Interés
Resarcitorio($)]])</f>
        <v>1497.203</v>
      </c>
      <c r="G929" s="8">
        <v>45001</v>
      </c>
      <c r="H929" s="80" t="s">
        <v>55</v>
      </c>
      <c r="I929" s="79" t="s">
        <v>9</v>
      </c>
      <c r="J929" s="81">
        <v>60</v>
      </c>
      <c r="K929" t="s">
        <v>46</v>
      </c>
    </row>
    <row r="930" spans="2:11" x14ac:dyDescent="0.25">
      <c r="B930" s="2">
        <f>+B929</f>
        <v>34</v>
      </c>
      <c r="C930" s="4">
        <v>703.97</v>
      </c>
      <c r="D930" s="4">
        <v>793.23299999999995</v>
      </c>
      <c r="E930" s="79">
        <v>294.95</v>
      </c>
      <c r="F930" s="79">
        <f>SUM(BASE_DATOS[[#This Row],[Capital($)]:[Interés
Resarcitorio($)]])</f>
        <v>1792.153</v>
      </c>
      <c r="G930" s="8">
        <v>45011</v>
      </c>
      <c r="H930" s="80" t="s">
        <v>55</v>
      </c>
      <c r="I930" s="79" t="s">
        <v>7</v>
      </c>
      <c r="J930" s="81">
        <v>60</v>
      </c>
      <c r="K930" t="s">
        <v>46</v>
      </c>
    </row>
    <row r="931" spans="2:11" x14ac:dyDescent="0.25">
      <c r="B931" s="2">
        <v>35</v>
      </c>
      <c r="C931" s="4">
        <v>703.97</v>
      </c>
      <c r="D931" s="4">
        <v>833.7120000000001</v>
      </c>
      <c r="E931" s="79">
        <v>0</v>
      </c>
      <c r="F931" s="79">
        <f>SUM(BASE_DATOS[[#This Row],[Capital($)]:[Interés
Resarcitorio($)]])</f>
        <v>1537.6820000000002</v>
      </c>
      <c r="G931" s="8">
        <v>45032</v>
      </c>
      <c r="H931" s="80" t="s">
        <v>55</v>
      </c>
      <c r="I931" s="79" t="s">
        <v>9</v>
      </c>
      <c r="J931" s="81">
        <v>60</v>
      </c>
      <c r="K931" t="s">
        <v>46</v>
      </c>
    </row>
    <row r="932" spans="2:11" x14ac:dyDescent="0.25">
      <c r="B932" s="2">
        <f>+B931</f>
        <v>35</v>
      </c>
      <c r="C932" s="4">
        <v>703.97</v>
      </c>
      <c r="D932" s="4">
        <v>833.7120000000001</v>
      </c>
      <c r="E932" s="79">
        <v>302.92</v>
      </c>
      <c r="F932" s="79">
        <f>SUM(BASE_DATOS[[#This Row],[Capital($)]:[Interés
Resarcitorio($)]])</f>
        <v>1840.6020000000003</v>
      </c>
      <c r="G932" s="8">
        <v>45042</v>
      </c>
      <c r="H932" s="80" t="s">
        <v>55</v>
      </c>
      <c r="I932" s="79" t="s">
        <v>7</v>
      </c>
      <c r="J932" s="81">
        <v>60</v>
      </c>
      <c r="K932" t="s">
        <v>46</v>
      </c>
    </row>
    <row r="933" spans="2:11" x14ac:dyDescent="0.25">
      <c r="B933" s="2">
        <v>36</v>
      </c>
      <c r="C933" s="4">
        <v>703.97</v>
      </c>
      <c r="D933" s="4">
        <v>874.18999999999994</v>
      </c>
      <c r="E933" s="79">
        <v>0</v>
      </c>
      <c r="F933" s="79">
        <f>SUM(BASE_DATOS[[#This Row],[Capital($)]:[Interés
Resarcitorio($)]])</f>
        <v>1578.1599999999999</v>
      </c>
      <c r="G933" s="8">
        <v>45062</v>
      </c>
      <c r="H933" s="80" t="s">
        <v>55</v>
      </c>
      <c r="I933" s="79" t="s">
        <v>9</v>
      </c>
      <c r="J933" s="81">
        <v>60</v>
      </c>
      <c r="K933" t="s">
        <v>46</v>
      </c>
    </row>
    <row r="934" spans="2:11" x14ac:dyDescent="0.25">
      <c r="B934" s="2">
        <f>+B933</f>
        <v>36</v>
      </c>
      <c r="C934" s="4">
        <v>703.97</v>
      </c>
      <c r="D934" s="4">
        <v>874.18999999999994</v>
      </c>
      <c r="E934" s="79">
        <v>310.89999999999998</v>
      </c>
      <c r="F934" s="79">
        <f>SUM(BASE_DATOS[[#This Row],[Capital($)]:[Interés
Resarcitorio($)]])</f>
        <v>1889.06</v>
      </c>
      <c r="G934" s="8">
        <v>45072</v>
      </c>
      <c r="H934" s="80" t="s">
        <v>55</v>
      </c>
      <c r="I934" s="79" t="s">
        <v>7</v>
      </c>
      <c r="J934" s="81">
        <v>60</v>
      </c>
      <c r="K934" t="s">
        <v>46</v>
      </c>
    </row>
    <row r="935" spans="2:11" x14ac:dyDescent="0.25">
      <c r="B935" s="2">
        <v>37</v>
      </c>
      <c r="C935" s="4">
        <v>703.97</v>
      </c>
      <c r="D935" s="4">
        <v>914.6690000000001</v>
      </c>
      <c r="E935" s="79">
        <v>0</v>
      </c>
      <c r="F935" s="79">
        <f>SUM(BASE_DATOS[[#This Row],[Capital($)]:[Interés
Resarcitorio($)]])</f>
        <v>1618.6390000000001</v>
      </c>
      <c r="G935" s="8">
        <v>45093</v>
      </c>
      <c r="H935" s="80" t="s">
        <v>55</v>
      </c>
      <c r="I935" s="79" t="s">
        <v>9</v>
      </c>
      <c r="J935" s="81">
        <v>60</v>
      </c>
      <c r="K935" t="s">
        <v>46</v>
      </c>
    </row>
    <row r="936" spans="2:11" x14ac:dyDescent="0.25">
      <c r="B936" s="2">
        <f>+B935</f>
        <v>37</v>
      </c>
      <c r="C936" s="4">
        <v>703.97</v>
      </c>
      <c r="D936" s="4">
        <v>914.6690000000001</v>
      </c>
      <c r="E936" s="79">
        <v>318.87</v>
      </c>
      <c r="F936" s="79">
        <f>SUM(BASE_DATOS[[#This Row],[Capital($)]:[Interés
Resarcitorio($)]])</f>
        <v>1937.509</v>
      </c>
      <c r="G936" s="8">
        <v>45103</v>
      </c>
      <c r="H936" s="80" t="s">
        <v>55</v>
      </c>
      <c r="I936" s="79" t="s">
        <v>7</v>
      </c>
      <c r="J936" s="81">
        <v>60</v>
      </c>
      <c r="K936" t="s">
        <v>46</v>
      </c>
    </row>
    <row r="937" spans="2:11" x14ac:dyDescent="0.25">
      <c r="B937" s="2">
        <v>38</v>
      </c>
      <c r="C937" s="4">
        <v>703.97</v>
      </c>
      <c r="D937" s="4">
        <v>955.14699999999993</v>
      </c>
      <c r="E937" s="79">
        <v>0</v>
      </c>
      <c r="F937" s="79">
        <f>SUM(BASE_DATOS[[#This Row],[Capital($)]:[Interés
Resarcitorio($)]])</f>
        <v>1659.117</v>
      </c>
      <c r="G937" s="8">
        <v>45123</v>
      </c>
      <c r="H937" s="80" t="s">
        <v>55</v>
      </c>
      <c r="I937" s="79" t="s">
        <v>9</v>
      </c>
      <c r="J937" s="81">
        <v>60</v>
      </c>
      <c r="K937" t="s">
        <v>46</v>
      </c>
    </row>
    <row r="938" spans="2:11" x14ac:dyDescent="0.25">
      <c r="B938" s="2">
        <f>+B937</f>
        <v>38</v>
      </c>
      <c r="C938" s="4">
        <v>703.97</v>
      </c>
      <c r="D938" s="4">
        <v>955.14699999999993</v>
      </c>
      <c r="E938" s="79">
        <v>326.85000000000002</v>
      </c>
      <c r="F938" s="79">
        <f>SUM(BASE_DATOS[[#This Row],[Capital($)]:[Interés
Resarcitorio($)]])</f>
        <v>1985.9670000000001</v>
      </c>
      <c r="G938" s="8">
        <v>45133</v>
      </c>
      <c r="H938" s="80" t="s">
        <v>55</v>
      </c>
      <c r="I938" s="79" t="s">
        <v>7</v>
      </c>
      <c r="J938" s="81">
        <v>60</v>
      </c>
      <c r="K938" t="s">
        <v>46</v>
      </c>
    </row>
    <row r="939" spans="2:11" x14ac:dyDescent="0.25">
      <c r="B939" s="2">
        <v>39</v>
      </c>
      <c r="C939" s="4">
        <v>703.97</v>
      </c>
      <c r="D939" s="4">
        <v>1008.6479999999999</v>
      </c>
      <c r="E939" s="79">
        <v>0</v>
      </c>
      <c r="F939" s="79">
        <f>SUM(BASE_DATOS[[#This Row],[Capital($)]:[Interés
Resarcitorio($)]])</f>
        <v>1712.6179999999999</v>
      </c>
      <c r="G939" s="8">
        <v>45154</v>
      </c>
      <c r="H939" s="80" t="s">
        <v>55</v>
      </c>
      <c r="I939" s="79" t="s">
        <v>9</v>
      </c>
      <c r="J939" s="81">
        <v>60</v>
      </c>
      <c r="K939" t="s">
        <v>46</v>
      </c>
    </row>
    <row r="940" spans="2:11" x14ac:dyDescent="0.25">
      <c r="B940" s="2">
        <f>+B939</f>
        <v>39</v>
      </c>
      <c r="C940" s="4">
        <v>703.97</v>
      </c>
      <c r="D940" s="4">
        <v>1008.6479999999999</v>
      </c>
      <c r="E940" s="79">
        <v>337.39</v>
      </c>
      <c r="F940" s="79">
        <f>SUM(BASE_DATOS[[#This Row],[Capital($)]:[Interés
Resarcitorio($)]])</f>
        <v>2050.0079999999998</v>
      </c>
      <c r="G940" s="8">
        <v>45164</v>
      </c>
      <c r="H940" s="80" t="s">
        <v>55</v>
      </c>
      <c r="I940" s="79" t="s">
        <v>7</v>
      </c>
      <c r="J940" s="81">
        <v>60</v>
      </c>
      <c r="K940" t="s">
        <v>46</v>
      </c>
    </row>
    <row r="941" spans="2:11" x14ac:dyDescent="0.25">
      <c r="B941" s="2">
        <v>40</v>
      </c>
      <c r="C941" s="4">
        <v>703.97</v>
      </c>
      <c r="D941" s="4">
        <v>1062.1500000000001</v>
      </c>
      <c r="E941" s="79">
        <v>0</v>
      </c>
      <c r="F941" s="79">
        <f>SUM(BASE_DATOS[[#This Row],[Capital($)]:[Interés
Resarcitorio($)]])</f>
        <v>1766.1200000000001</v>
      </c>
      <c r="G941" s="8">
        <v>45185</v>
      </c>
      <c r="H941" s="80" t="s">
        <v>55</v>
      </c>
      <c r="I941" s="79" t="s">
        <v>9</v>
      </c>
      <c r="J941" s="81">
        <v>60</v>
      </c>
      <c r="K941" t="s">
        <v>46</v>
      </c>
    </row>
    <row r="942" spans="2:11" x14ac:dyDescent="0.25">
      <c r="B942" s="2">
        <f>+B941</f>
        <v>40</v>
      </c>
      <c r="C942" s="4">
        <v>703.97</v>
      </c>
      <c r="D942" s="4">
        <v>1062.1500000000001</v>
      </c>
      <c r="E942" s="79">
        <v>347.93</v>
      </c>
      <c r="F942" s="79">
        <f>SUM(BASE_DATOS[[#This Row],[Capital($)]:[Interés
Resarcitorio($)]])</f>
        <v>2114.0500000000002</v>
      </c>
      <c r="G942" s="8">
        <v>45195</v>
      </c>
      <c r="H942" s="80" t="s">
        <v>55</v>
      </c>
      <c r="I942" s="79" t="s">
        <v>7</v>
      </c>
      <c r="J942" s="81">
        <v>60</v>
      </c>
      <c r="K942" t="s">
        <v>46</v>
      </c>
    </row>
    <row r="943" spans="2:11" x14ac:dyDescent="0.25">
      <c r="B943" s="2">
        <v>41</v>
      </c>
      <c r="C943" s="4">
        <v>703.97</v>
      </c>
      <c r="D943" s="4">
        <v>1115.6510000000001</v>
      </c>
      <c r="E943" s="79">
        <v>0</v>
      </c>
      <c r="F943" s="79">
        <f>SUM(BASE_DATOS[[#This Row],[Capital($)]:[Interés
Resarcitorio($)]])</f>
        <v>1819.6210000000001</v>
      </c>
      <c r="G943" s="8">
        <v>45215</v>
      </c>
      <c r="H943" s="80" t="s">
        <v>55</v>
      </c>
      <c r="I943" s="79" t="s">
        <v>9</v>
      </c>
      <c r="J943" s="81">
        <v>60</v>
      </c>
      <c r="K943" t="s">
        <v>46</v>
      </c>
    </row>
    <row r="944" spans="2:11" x14ac:dyDescent="0.25">
      <c r="B944" s="2">
        <f>+B943</f>
        <v>41</v>
      </c>
      <c r="C944" s="4">
        <v>703.97</v>
      </c>
      <c r="D944" s="4">
        <v>1115.6510000000001</v>
      </c>
      <c r="E944" s="79">
        <v>358.47</v>
      </c>
      <c r="F944" s="79">
        <f>SUM(BASE_DATOS[[#This Row],[Capital($)]:[Interés
Resarcitorio($)]])</f>
        <v>2178.0910000000003</v>
      </c>
      <c r="G944" s="8">
        <v>45225</v>
      </c>
      <c r="H944" s="80" t="s">
        <v>55</v>
      </c>
      <c r="I944" s="79" t="s">
        <v>7</v>
      </c>
      <c r="J944" s="81">
        <v>60</v>
      </c>
      <c r="K944" t="s">
        <v>46</v>
      </c>
    </row>
    <row r="945" spans="2:11" x14ac:dyDescent="0.25">
      <c r="B945" s="2">
        <v>42</v>
      </c>
      <c r="C945" s="4">
        <v>703.97</v>
      </c>
      <c r="D945" s="4">
        <v>1169.154</v>
      </c>
      <c r="E945" s="79">
        <v>0</v>
      </c>
      <c r="F945" s="79">
        <f>SUM(BASE_DATOS[[#This Row],[Capital($)]:[Interés
Resarcitorio($)]])</f>
        <v>1873.124</v>
      </c>
      <c r="G945" s="8">
        <v>45246</v>
      </c>
      <c r="H945" s="80" t="s">
        <v>55</v>
      </c>
      <c r="I945" s="79" t="s">
        <v>9</v>
      </c>
      <c r="J945" s="81">
        <v>60</v>
      </c>
      <c r="K945" t="s">
        <v>46</v>
      </c>
    </row>
    <row r="946" spans="2:11" x14ac:dyDescent="0.25">
      <c r="B946" s="2">
        <f>+B945</f>
        <v>42</v>
      </c>
      <c r="C946" s="4">
        <v>703.97</v>
      </c>
      <c r="D946" s="4">
        <v>1169.154</v>
      </c>
      <c r="E946" s="79">
        <v>369.01</v>
      </c>
      <c r="F946" s="79">
        <f>SUM(BASE_DATOS[[#This Row],[Capital($)]:[Interés
Resarcitorio($)]])</f>
        <v>2242.134</v>
      </c>
      <c r="G946" s="8">
        <v>45256</v>
      </c>
      <c r="H946" s="80" t="s">
        <v>55</v>
      </c>
      <c r="I946" s="79" t="s">
        <v>7</v>
      </c>
      <c r="J946" s="81">
        <v>60</v>
      </c>
      <c r="K946" t="s">
        <v>46</v>
      </c>
    </row>
    <row r="947" spans="2:11" x14ac:dyDescent="0.25">
      <c r="B947" s="2">
        <v>43</v>
      </c>
      <c r="C947" s="4">
        <v>703.97</v>
      </c>
      <c r="D947" s="4">
        <v>1222.655</v>
      </c>
      <c r="E947" s="79">
        <v>0</v>
      </c>
      <c r="F947" s="79">
        <f>SUM(BASE_DATOS[[#This Row],[Capital($)]:[Interés
Resarcitorio($)]])</f>
        <v>1926.625</v>
      </c>
      <c r="G947" s="8">
        <v>45276</v>
      </c>
      <c r="H947" s="80" t="s">
        <v>55</v>
      </c>
      <c r="I947" s="79" t="s">
        <v>9</v>
      </c>
      <c r="J947" s="81">
        <v>60</v>
      </c>
      <c r="K947" t="s">
        <v>46</v>
      </c>
    </row>
    <row r="948" spans="2:11" x14ac:dyDescent="0.25">
      <c r="B948" s="2">
        <f>+B947</f>
        <v>43</v>
      </c>
      <c r="C948" s="4">
        <v>703.97</v>
      </c>
      <c r="D948" s="4">
        <v>1222.655</v>
      </c>
      <c r="E948" s="79">
        <v>379.54</v>
      </c>
      <c r="F948" s="79">
        <f>SUM(BASE_DATOS[[#This Row],[Capital($)]:[Interés
Resarcitorio($)]])</f>
        <v>2306.165</v>
      </c>
      <c r="G948" s="8">
        <v>45286</v>
      </c>
      <c r="H948" s="80" t="s">
        <v>55</v>
      </c>
      <c r="I948" s="79" t="s">
        <v>7</v>
      </c>
      <c r="J948" s="81">
        <v>60</v>
      </c>
      <c r="K948" t="s">
        <v>46</v>
      </c>
    </row>
    <row r="949" spans="2:11" x14ac:dyDescent="0.25">
      <c r="B949" s="2">
        <v>44</v>
      </c>
      <c r="C949" s="4">
        <v>703.97</v>
      </c>
      <c r="D949" s="4">
        <v>1276.1569999999999</v>
      </c>
      <c r="E949" s="79">
        <v>0</v>
      </c>
      <c r="F949" s="79">
        <f>SUM(BASE_DATOS[[#This Row],[Capital($)]:[Interés
Resarcitorio($)]])</f>
        <v>1980.127</v>
      </c>
      <c r="G949" s="8">
        <v>45307</v>
      </c>
      <c r="H949" s="80" t="s">
        <v>55</v>
      </c>
      <c r="I949" s="79" t="s">
        <v>9</v>
      </c>
      <c r="J949" s="81">
        <v>60</v>
      </c>
      <c r="K949" t="s">
        <v>46</v>
      </c>
    </row>
    <row r="950" spans="2:11" x14ac:dyDescent="0.25">
      <c r="B950" s="2">
        <f>+B949</f>
        <v>44</v>
      </c>
      <c r="C950" s="4">
        <v>703.97</v>
      </c>
      <c r="D950" s="4">
        <v>1276.1569999999999</v>
      </c>
      <c r="E950" s="79">
        <v>390.08</v>
      </c>
      <c r="F950" s="79">
        <f>SUM(BASE_DATOS[[#This Row],[Capital($)]:[Interés
Resarcitorio($)]])</f>
        <v>2370.2069999999999</v>
      </c>
      <c r="G950" s="8">
        <v>45317</v>
      </c>
      <c r="H950" s="80" t="s">
        <v>55</v>
      </c>
      <c r="I950" s="79" t="s">
        <v>7</v>
      </c>
      <c r="J950" s="81">
        <v>60</v>
      </c>
      <c r="K950" t="s">
        <v>46</v>
      </c>
    </row>
    <row r="951" spans="2:11" x14ac:dyDescent="0.25">
      <c r="B951" s="2">
        <v>45</v>
      </c>
      <c r="C951" s="4">
        <v>703.97</v>
      </c>
      <c r="D951" s="4">
        <v>1340.499</v>
      </c>
      <c r="E951" s="79">
        <v>0</v>
      </c>
      <c r="F951" s="79">
        <f>SUM(BASE_DATOS[[#This Row],[Capital($)]:[Interés
Resarcitorio($)]])</f>
        <v>2044.4690000000001</v>
      </c>
      <c r="G951" s="8">
        <v>45338</v>
      </c>
      <c r="H951" s="80" t="s">
        <v>55</v>
      </c>
      <c r="I951" s="79" t="s">
        <v>9</v>
      </c>
      <c r="J951" s="81">
        <v>60</v>
      </c>
      <c r="K951" t="s">
        <v>46</v>
      </c>
    </row>
    <row r="952" spans="2:11" x14ac:dyDescent="0.25">
      <c r="B952" s="2">
        <f>+B951</f>
        <v>45</v>
      </c>
      <c r="C952" s="4">
        <v>703.97</v>
      </c>
      <c r="D952" s="4">
        <v>1340.499</v>
      </c>
      <c r="E952" s="79">
        <v>1040.6300000000001</v>
      </c>
      <c r="F952" s="79">
        <f>SUM(BASE_DATOS[[#This Row],[Capital($)]:[Interés
Resarcitorio($)]])</f>
        <v>3085.0990000000002</v>
      </c>
      <c r="G952" s="8">
        <v>45348</v>
      </c>
      <c r="H952" s="80" t="s">
        <v>55</v>
      </c>
      <c r="I952" s="79" t="s">
        <v>7</v>
      </c>
      <c r="J952" s="81">
        <v>60</v>
      </c>
      <c r="K952" t="s">
        <v>46</v>
      </c>
    </row>
    <row r="953" spans="2:11" x14ac:dyDescent="0.25">
      <c r="B953" s="2">
        <v>46</v>
      </c>
      <c r="C953" s="4">
        <v>703.97</v>
      </c>
      <c r="D953" s="4">
        <v>1404.8430000000001</v>
      </c>
      <c r="E953" s="79">
        <v>0</v>
      </c>
      <c r="F953" s="79">
        <f>SUM(BASE_DATOS[[#This Row],[Capital($)]:[Interés
Resarcitorio($)]])</f>
        <v>2108.8130000000001</v>
      </c>
      <c r="G953" s="8">
        <v>45367</v>
      </c>
      <c r="H953" s="80" t="s">
        <v>55</v>
      </c>
      <c r="I953" s="79" t="s">
        <v>9</v>
      </c>
      <c r="J953" s="81">
        <v>60</v>
      </c>
      <c r="K953" t="s">
        <v>46</v>
      </c>
    </row>
    <row r="954" spans="2:11" x14ac:dyDescent="0.25">
      <c r="B954" s="2">
        <f>+B953</f>
        <v>46</v>
      </c>
      <c r="C954" s="4">
        <v>703.97</v>
      </c>
      <c r="D954" s="4">
        <v>1404.8430000000001</v>
      </c>
      <c r="E954" s="79">
        <v>1073.3800000000001</v>
      </c>
      <c r="F954" s="79">
        <f>SUM(BASE_DATOS[[#This Row],[Capital($)]:[Interés
Resarcitorio($)]])</f>
        <v>3182.1930000000002</v>
      </c>
      <c r="G954" s="8">
        <v>45377</v>
      </c>
      <c r="H954" s="80" t="s">
        <v>55</v>
      </c>
      <c r="I954" s="79" t="s">
        <v>7</v>
      </c>
      <c r="J954" s="81">
        <v>60</v>
      </c>
      <c r="K954" t="s">
        <v>46</v>
      </c>
    </row>
    <row r="955" spans="2:11" x14ac:dyDescent="0.25">
      <c r="B955" s="2">
        <v>47</v>
      </c>
      <c r="C955" s="4">
        <v>703.97</v>
      </c>
      <c r="D955" s="4">
        <v>1469.1849999999999</v>
      </c>
      <c r="E955" s="79">
        <v>0</v>
      </c>
      <c r="F955" s="79">
        <f>SUM(BASE_DATOS[[#This Row],[Capital($)]:[Interés
Resarcitorio($)]])</f>
        <v>2173.1549999999997</v>
      </c>
      <c r="G955" s="8">
        <v>45398</v>
      </c>
      <c r="H955" s="80" t="s">
        <v>55</v>
      </c>
      <c r="I955" s="79" t="s">
        <v>9</v>
      </c>
      <c r="J955" s="81">
        <v>60</v>
      </c>
      <c r="K955" t="s">
        <v>46</v>
      </c>
    </row>
    <row r="956" spans="2:11" x14ac:dyDescent="0.25">
      <c r="B956" s="2">
        <f>+B955</f>
        <v>47</v>
      </c>
      <c r="C956" s="4">
        <v>703.97</v>
      </c>
      <c r="D956" s="4">
        <v>1469.1849999999999</v>
      </c>
      <c r="E956" s="79">
        <v>874.33</v>
      </c>
      <c r="F956" s="79">
        <f>SUM(BASE_DATOS[[#This Row],[Capital($)]:[Interés
Resarcitorio($)]])</f>
        <v>3047.4849999999997</v>
      </c>
      <c r="G956" s="8">
        <v>45408</v>
      </c>
      <c r="H956" s="80" t="s">
        <v>55</v>
      </c>
      <c r="I956" s="79" t="s">
        <v>7</v>
      </c>
      <c r="J956" s="81">
        <v>60</v>
      </c>
      <c r="K956" t="s">
        <v>46</v>
      </c>
    </row>
    <row r="957" spans="2:11" x14ac:dyDescent="0.25">
      <c r="B957" s="2">
        <v>48</v>
      </c>
      <c r="C957" s="4">
        <v>703.97</v>
      </c>
      <c r="D957" s="4">
        <v>1533.528</v>
      </c>
      <c r="E957" s="79">
        <v>0</v>
      </c>
      <c r="F957" s="79">
        <f>SUM(BASE_DATOS[[#This Row],[Capital($)]:[Interés
Resarcitorio($)]])</f>
        <v>2237.498</v>
      </c>
      <c r="G957" s="8">
        <v>45428</v>
      </c>
      <c r="H957" s="80" t="s">
        <v>55</v>
      </c>
      <c r="I957" s="79" t="s">
        <v>9</v>
      </c>
      <c r="J957" s="81">
        <v>60</v>
      </c>
      <c r="K957" t="s">
        <v>46</v>
      </c>
    </row>
    <row r="958" spans="2:11" x14ac:dyDescent="0.25">
      <c r="B958" s="2">
        <f>+B957</f>
        <v>48</v>
      </c>
      <c r="C958" s="4">
        <v>703.97</v>
      </c>
      <c r="D958" s="4">
        <v>1533.528</v>
      </c>
      <c r="E958" s="79">
        <v>900.22</v>
      </c>
      <c r="F958" s="79">
        <f>SUM(BASE_DATOS[[#This Row],[Capital($)]:[Interés
Resarcitorio($)]])</f>
        <v>3137.7179999999998</v>
      </c>
      <c r="G958" s="8">
        <v>45438</v>
      </c>
      <c r="H958" s="80" t="s">
        <v>55</v>
      </c>
      <c r="I958" s="79" t="s">
        <v>7</v>
      </c>
      <c r="J958" s="81">
        <v>60</v>
      </c>
      <c r="K958" t="s">
        <v>46</v>
      </c>
    </row>
    <row r="959" spans="2:11" x14ac:dyDescent="0.25">
      <c r="B959" s="2">
        <v>49</v>
      </c>
      <c r="C959" s="4">
        <v>703.97</v>
      </c>
      <c r="D959" s="4">
        <v>1597.8709999999999</v>
      </c>
      <c r="E959" s="79">
        <v>0</v>
      </c>
      <c r="F959" s="79">
        <f>SUM(BASE_DATOS[[#This Row],[Capital($)]:[Interés
Resarcitorio($)]])</f>
        <v>2301.8409999999999</v>
      </c>
      <c r="G959" s="8">
        <v>45459</v>
      </c>
      <c r="H959" s="80" t="s">
        <v>55</v>
      </c>
      <c r="I959" s="79" t="s">
        <v>9</v>
      </c>
      <c r="J959" s="81">
        <v>60</v>
      </c>
      <c r="K959" t="s">
        <v>46</v>
      </c>
    </row>
    <row r="960" spans="2:11" x14ac:dyDescent="0.25">
      <c r="B960" s="2">
        <f>+B959</f>
        <v>49</v>
      </c>
      <c r="C960" s="4">
        <v>703.97</v>
      </c>
      <c r="D960" s="4">
        <v>1597.8709999999999</v>
      </c>
      <c r="E960" s="79">
        <v>491.82</v>
      </c>
      <c r="F960" s="79">
        <f>SUM(BASE_DATOS[[#This Row],[Capital($)]:[Interés
Resarcitorio($)]])</f>
        <v>2793.6610000000001</v>
      </c>
      <c r="G960" s="8">
        <v>45469</v>
      </c>
      <c r="H960" s="80" t="s">
        <v>55</v>
      </c>
      <c r="I960" s="79" t="s">
        <v>7</v>
      </c>
      <c r="J960" s="81">
        <v>60</v>
      </c>
      <c r="K960" t="s">
        <v>46</v>
      </c>
    </row>
    <row r="961" spans="2:11" x14ac:dyDescent="0.25">
      <c r="B961" s="2">
        <v>50</v>
      </c>
      <c r="C961" s="4">
        <v>703.97</v>
      </c>
      <c r="D961" s="4">
        <v>1662.2139999999999</v>
      </c>
      <c r="E961" s="79">
        <v>0</v>
      </c>
      <c r="F961" s="79">
        <f>SUM(BASE_DATOS[[#This Row],[Capital($)]:[Interés
Resarcitorio($)]])</f>
        <v>2366.1840000000002</v>
      </c>
      <c r="G961" s="8">
        <v>45489</v>
      </c>
      <c r="H961" s="80" t="s">
        <v>55</v>
      </c>
      <c r="I961" s="79" t="s">
        <v>9</v>
      </c>
      <c r="J961" s="81">
        <v>60</v>
      </c>
      <c r="K961" t="s">
        <v>46</v>
      </c>
    </row>
    <row r="962" spans="2:11" x14ac:dyDescent="0.25">
      <c r="B962" s="2">
        <f>+B961</f>
        <v>50</v>
      </c>
      <c r="C962" s="4">
        <v>703.97</v>
      </c>
      <c r="D962" s="4">
        <v>1662.2139999999999</v>
      </c>
      <c r="E962" s="79">
        <v>505.58</v>
      </c>
      <c r="F962" s="79">
        <f>SUM(BASE_DATOS[[#This Row],[Capital($)]:[Interés
Resarcitorio($)]])</f>
        <v>2871.7640000000001</v>
      </c>
      <c r="G962" s="8">
        <v>45499</v>
      </c>
      <c r="H962" s="80" t="s">
        <v>55</v>
      </c>
      <c r="I962" s="79" t="s">
        <v>7</v>
      </c>
      <c r="J962" s="81">
        <v>60</v>
      </c>
      <c r="K962" t="s">
        <v>46</v>
      </c>
    </row>
    <row r="963" spans="2:11" x14ac:dyDescent="0.25">
      <c r="B963" s="2">
        <v>51</v>
      </c>
      <c r="C963" s="4">
        <v>703.97</v>
      </c>
      <c r="D963" s="4">
        <v>1178.375</v>
      </c>
      <c r="E963" s="79">
        <v>0</v>
      </c>
      <c r="F963" s="79">
        <f>SUM(BASE_DATOS[[#This Row],[Capital($)]:[Interés
Resarcitorio($)]])</f>
        <v>1882.345</v>
      </c>
      <c r="G963" s="8">
        <v>45520</v>
      </c>
      <c r="H963" s="80" t="s">
        <v>55</v>
      </c>
      <c r="I963" s="79" t="s">
        <v>9</v>
      </c>
      <c r="J963" s="81">
        <v>60</v>
      </c>
      <c r="K963" t="s">
        <v>46</v>
      </c>
    </row>
    <row r="964" spans="2:11" x14ac:dyDescent="0.25">
      <c r="B964" s="2">
        <f>+B963</f>
        <v>51</v>
      </c>
      <c r="C964" s="4">
        <v>703.97</v>
      </c>
      <c r="D964" s="4">
        <v>1178.375</v>
      </c>
      <c r="E964" s="79">
        <v>402.19</v>
      </c>
      <c r="F964" s="79">
        <f>SUM(BASE_DATOS[[#This Row],[Capital($)]:[Interés
Resarcitorio($)]])</f>
        <v>2284.5349999999999</v>
      </c>
      <c r="G964" s="8">
        <v>45530</v>
      </c>
      <c r="H964" s="80" t="s">
        <v>55</v>
      </c>
      <c r="I964" s="79" t="s">
        <v>7</v>
      </c>
      <c r="J964" s="81">
        <v>60</v>
      </c>
      <c r="K964" t="s">
        <v>46</v>
      </c>
    </row>
    <row r="965" spans="2:11" x14ac:dyDescent="0.25">
      <c r="B965" s="2">
        <v>52</v>
      </c>
      <c r="C965" s="4">
        <v>703.97</v>
      </c>
      <c r="D965" s="4">
        <v>1200.5509999999999</v>
      </c>
      <c r="E965" s="79">
        <v>0</v>
      </c>
      <c r="F965" s="79">
        <f>SUM(BASE_DATOS[[#This Row],[Capital($)]:[Interés
Resarcitorio($)]])</f>
        <v>1904.521</v>
      </c>
      <c r="G965" s="8">
        <v>45551</v>
      </c>
      <c r="H965" s="80" t="s">
        <v>55</v>
      </c>
      <c r="I965" s="79" t="s">
        <v>9</v>
      </c>
      <c r="J965" s="81">
        <v>60</v>
      </c>
      <c r="K965" t="s">
        <v>46</v>
      </c>
    </row>
    <row r="966" spans="2:11" x14ac:dyDescent="0.25">
      <c r="B966" s="2">
        <f>+B965</f>
        <v>52</v>
      </c>
      <c r="C966" s="4">
        <v>703.97</v>
      </c>
      <c r="D966" s="4">
        <v>1200.5509999999999</v>
      </c>
      <c r="E966" s="79">
        <v>406.93</v>
      </c>
      <c r="F966" s="79">
        <f>SUM(BASE_DATOS[[#This Row],[Capital($)]:[Interés
Resarcitorio($)]])</f>
        <v>2311.451</v>
      </c>
      <c r="G966" s="8">
        <v>45561</v>
      </c>
      <c r="H966" s="80" t="s">
        <v>55</v>
      </c>
      <c r="I966" s="79" t="s">
        <v>7</v>
      </c>
      <c r="J966" s="81">
        <v>60</v>
      </c>
      <c r="K966" t="s">
        <v>46</v>
      </c>
    </row>
    <row r="967" spans="2:11" x14ac:dyDescent="0.25">
      <c r="B967" s="2">
        <v>53</v>
      </c>
      <c r="C967" s="4">
        <v>703.97</v>
      </c>
      <c r="D967" s="4">
        <v>1222.7249999999999</v>
      </c>
      <c r="E967" s="79">
        <v>0</v>
      </c>
      <c r="F967" s="79">
        <f>SUM(BASE_DATOS[[#This Row],[Capital($)]:[Interés
Resarcitorio($)]])</f>
        <v>1926.6949999999999</v>
      </c>
      <c r="G967" s="8">
        <v>45581</v>
      </c>
      <c r="H967" s="80" t="s">
        <v>55</v>
      </c>
      <c r="I967" s="79" t="s">
        <v>9</v>
      </c>
      <c r="J967" s="81">
        <v>60</v>
      </c>
      <c r="K967" t="s">
        <v>46</v>
      </c>
    </row>
    <row r="968" spans="2:11" x14ac:dyDescent="0.25">
      <c r="B968" s="2">
        <f>+B967</f>
        <v>53</v>
      </c>
      <c r="C968" s="4">
        <v>703.97</v>
      </c>
      <c r="D968" s="4">
        <v>1222.7249999999999</v>
      </c>
      <c r="E968" s="79">
        <v>411.67</v>
      </c>
      <c r="F968" s="79">
        <f>SUM(BASE_DATOS[[#This Row],[Capital($)]:[Interés
Resarcitorio($)]])</f>
        <v>2338.3649999999998</v>
      </c>
      <c r="G968" s="8">
        <v>45591</v>
      </c>
      <c r="H968" s="80" t="s">
        <v>55</v>
      </c>
      <c r="I968" s="79" t="s">
        <v>7</v>
      </c>
      <c r="J968" s="81">
        <v>60</v>
      </c>
      <c r="K968" t="s">
        <v>46</v>
      </c>
    </row>
    <row r="969" spans="2:11" x14ac:dyDescent="0.25">
      <c r="B969" s="2">
        <v>54</v>
      </c>
      <c r="C969" s="4">
        <v>703.97</v>
      </c>
      <c r="D969" s="4">
        <v>1244.9010000000001</v>
      </c>
      <c r="E969" s="79">
        <v>0</v>
      </c>
      <c r="F969" s="79">
        <f>SUM(BASE_DATOS[[#This Row],[Capital($)]:[Interés
Resarcitorio($)]])</f>
        <v>1948.8710000000001</v>
      </c>
      <c r="G969" s="8">
        <v>45612</v>
      </c>
      <c r="H969" s="80" t="s">
        <v>55</v>
      </c>
      <c r="I969" s="79" t="s">
        <v>9</v>
      </c>
      <c r="J969" s="81">
        <v>60</v>
      </c>
      <c r="K969" t="s">
        <v>46</v>
      </c>
    </row>
    <row r="970" spans="2:11" x14ac:dyDescent="0.25">
      <c r="B970" s="2">
        <f>+B969</f>
        <v>54</v>
      </c>
      <c r="C970" s="4">
        <v>703.97</v>
      </c>
      <c r="D970" s="4">
        <v>1244.9010000000001</v>
      </c>
      <c r="E970" s="79">
        <v>416.41</v>
      </c>
      <c r="F970" s="79">
        <f>SUM(BASE_DATOS[[#This Row],[Capital($)]:[Interés
Resarcitorio($)]])</f>
        <v>2365.2809999999999</v>
      </c>
      <c r="G970" s="8">
        <v>45622</v>
      </c>
      <c r="H970" s="80" t="s">
        <v>55</v>
      </c>
      <c r="I970" s="79" t="s">
        <v>7</v>
      </c>
      <c r="J970" s="81">
        <v>60</v>
      </c>
      <c r="K970" t="s">
        <v>46</v>
      </c>
    </row>
    <row r="971" spans="2:11" x14ac:dyDescent="0.25">
      <c r="B971" s="2">
        <v>55</v>
      </c>
      <c r="C971" s="4">
        <v>703.97</v>
      </c>
      <c r="D971" s="4">
        <v>1267.076</v>
      </c>
      <c r="E971" s="79">
        <v>0</v>
      </c>
      <c r="F971" s="79">
        <f>SUM(BASE_DATOS[[#This Row],[Capital($)]:[Interés
Resarcitorio($)]])</f>
        <v>1971.046</v>
      </c>
      <c r="G971" s="8">
        <v>45642</v>
      </c>
      <c r="H971" s="80" t="s">
        <v>55</v>
      </c>
      <c r="I971" s="79" t="s">
        <v>9</v>
      </c>
      <c r="J971" s="81">
        <v>60</v>
      </c>
      <c r="K971" t="s">
        <v>46</v>
      </c>
    </row>
    <row r="972" spans="2:11" x14ac:dyDescent="0.25">
      <c r="B972" s="2">
        <f>+B971</f>
        <v>55</v>
      </c>
      <c r="C972" s="4">
        <v>703.97</v>
      </c>
      <c r="D972" s="4">
        <v>1267.076</v>
      </c>
      <c r="E972" s="79">
        <v>490.79</v>
      </c>
      <c r="F972" s="79">
        <f>SUM(BASE_DATOS[[#This Row],[Capital($)]:[Interés
Resarcitorio($)]])</f>
        <v>2461.8360000000002</v>
      </c>
      <c r="G972" s="8">
        <v>45652</v>
      </c>
      <c r="H972" s="80" t="s">
        <v>55</v>
      </c>
      <c r="I972" s="79" t="s">
        <v>7</v>
      </c>
      <c r="J972" s="81">
        <v>60</v>
      </c>
      <c r="K972" t="s">
        <v>46</v>
      </c>
    </row>
    <row r="973" spans="2:11" x14ac:dyDescent="0.25">
      <c r="B973" s="2">
        <v>56</v>
      </c>
      <c r="C973" s="4">
        <v>703.97</v>
      </c>
      <c r="D973" s="4">
        <v>1289.25</v>
      </c>
      <c r="E973" s="79">
        <v>0</v>
      </c>
      <c r="F973" s="79">
        <f>SUM(BASE_DATOS[[#This Row],[Capital($)]:[Interés
Resarcitorio($)]])</f>
        <v>1993.22</v>
      </c>
      <c r="G973" s="8">
        <v>45673</v>
      </c>
      <c r="H973" s="80" t="s">
        <v>55</v>
      </c>
      <c r="I973" s="79" t="s">
        <v>9</v>
      </c>
      <c r="J973" s="81">
        <v>60</v>
      </c>
      <c r="K973" t="s">
        <v>46</v>
      </c>
    </row>
    <row r="974" spans="2:11" x14ac:dyDescent="0.25">
      <c r="B974" s="2">
        <f>+B973</f>
        <v>56</v>
      </c>
      <c r="C974" s="4">
        <v>703.97</v>
      </c>
      <c r="D974" s="4">
        <v>1289.25</v>
      </c>
      <c r="E974" s="79">
        <v>496.31</v>
      </c>
      <c r="F974" s="79">
        <f>SUM(BASE_DATOS[[#This Row],[Capital($)]:[Interés
Resarcitorio($)]])</f>
        <v>2489.5300000000002</v>
      </c>
      <c r="G974" s="8">
        <v>45683</v>
      </c>
      <c r="H974" s="80" t="s">
        <v>55</v>
      </c>
      <c r="I974" s="79" t="s">
        <v>7</v>
      </c>
      <c r="J974" s="81">
        <v>60</v>
      </c>
      <c r="K974" t="s">
        <v>46</v>
      </c>
    </row>
    <row r="975" spans="2:11" x14ac:dyDescent="0.25">
      <c r="B975" s="2">
        <v>57</v>
      </c>
      <c r="C975" s="4">
        <v>703.97</v>
      </c>
      <c r="D975" s="4">
        <v>1307.3430000000001</v>
      </c>
      <c r="E975" s="79">
        <v>0</v>
      </c>
      <c r="F975" s="79">
        <f>SUM(BASE_DATOS[[#This Row],[Capital($)]:[Interés
Resarcitorio($)]])</f>
        <v>2011.3130000000001</v>
      </c>
      <c r="G975" s="8">
        <v>45704</v>
      </c>
      <c r="H975" s="80" t="s">
        <v>55</v>
      </c>
      <c r="I975" s="79" t="s">
        <v>9</v>
      </c>
      <c r="J975" s="81">
        <v>60</v>
      </c>
      <c r="K975" t="s">
        <v>46</v>
      </c>
    </row>
    <row r="976" spans="2:11" x14ac:dyDescent="0.25">
      <c r="B976" s="2">
        <f>+B975</f>
        <v>57</v>
      </c>
      <c r="C976" s="4">
        <v>703.97</v>
      </c>
      <c r="D976" s="4">
        <v>1307.3430000000001</v>
      </c>
      <c r="E976" s="79">
        <v>486.74</v>
      </c>
      <c r="F976" s="79">
        <f>SUM(BASE_DATOS[[#This Row],[Capital($)]:[Interés
Resarcitorio($)]])</f>
        <v>2498.0529999999999</v>
      </c>
      <c r="G976" s="8">
        <v>45714</v>
      </c>
      <c r="H976" s="80" t="s">
        <v>55</v>
      </c>
      <c r="I976" s="79" t="s">
        <v>7</v>
      </c>
      <c r="J976" s="81">
        <v>60</v>
      </c>
      <c r="K976" t="s">
        <v>46</v>
      </c>
    </row>
    <row r="977" spans="2:11" x14ac:dyDescent="0.25">
      <c r="B977" s="2">
        <v>58</v>
      </c>
      <c r="C977" s="4">
        <v>703.97</v>
      </c>
      <c r="D977" s="4">
        <v>1325.4349999999999</v>
      </c>
      <c r="E977" s="79">
        <v>0</v>
      </c>
      <c r="F977" s="79">
        <f>SUM(BASE_DATOS[[#This Row],[Capital($)]:[Interés
Resarcitorio($)]])</f>
        <v>2029.405</v>
      </c>
      <c r="G977" s="8">
        <v>45732</v>
      </c>
      <c r="H977" s="80" t="s">
        <v>55</v>
      </c>
      <c r="I977" s="79" t="s">
        <v>9</v>
      </c>
      <c r="J977" s="81">
        <v>60</v>
      </c>
      <c r="K977" t="s">
        <v>46</v>
      </c>
    </row>
    <row r="978" spans="2:11" x14ac:dyDescent="0.25">
      <c r="B978" s="2">
        <f>+B977</f>
        <v>58</v>
      </c>
      <c r="C978" s="4">
        <v>703.97</v>
      </c>
      <c r="D978" s="4">
        <v>1325.4349999999999</v>
      </c>
      <c r="E978" s="79">
        <v>270.58999999999997</v>
      </c>
      <c r="F978" s="79">
        <f>SUM(BASE_DATOS[[#This Row],[Capital($)]:[Interés
Resarcitorio($)]])</f>
        <v>2299.9949999999999</v>
      </c>
      <c r="G978" s="8">
        <v>45742</v>
      </c>
      <c r="H978" s="80" t="s">
        <v>55</v>
      </c>
      <c r="I978" s="79" t="s">
        <v>7</v>
      </c>
      <c r="J978" s="81">
        <v>60</v>
      </c>
      <c r="K978" t="s">
        <v>46</v>
      </c>
    </row>
    <row r="979" spans="2:11" x14ac:dyDescent="0.25">
      <c r="B979" s="2">
        <v>59</v>
      </c>
      <c r="C979" s="4">
        <v>703.97</v>
      </c>
      <c r="D979" s="4">
        <v>1343.527</v>
      </c>
      <c r="E979" s="79">
        <v>0</v>
      </c>
      <c r="F979" s="79">
        <f>SUM(BASE_DATOS[[#This Row],[Capital($)]:[Interés
Resarcitorio($)]])</f>
        <v>2047.4970000000001</v>
      </c>
      <c r="G979" s="8">
        <v>45763</v>
      </c>
      <c r="H979" s="80" t="s">
        <v>55</v>
      </c>
      <c r="I979" s="79" t="s">
        <v>9</v>
      </c>
      <c r="J979" s="81">
        <v>60</v>
      </c>
      <c r="K979" t="s">
        <v>46</v>
      </c>
    </row>
    <row r="980" spans="2:11" x14ac:dyDescent="0.25">
      <c r="B980" s="2">
        <f>+B979</f>
        <v>59</v>
      </c>
      <c r="C980" s="4">
        <v>703.97</v>
      </c>
      <c r="D980" s="4">
        <v>1343.527</v>
      </c>
      <c r="E980" s="79">
        <v>273</v>
      </c>
      <c r="F980" s="79">
        <f>SUM(BASE_DATOS[[#This Row],[Capital($)]:[Interés
Resarcitorio($)]])</f>
        <v>2320.4970000000003</v>
      </c>
      <c r="G980" s="8">
        <v>45773</v>
      </c>
      <c r="H980" s="80" t="s">
        <v>55</v>
      </c>
      <c r="I980" s="79" t="s">
        <v>7</v>
      </c>
      <c r="J980" s="81">
        <v>60</v>
      </c>
      <c r="K980" t="s">
        <v>46</v>
      </c>
    </row>
    <row r="981" spans="2:11" x14ac:dyDescent="0.25">
      <c r="B981" s="2">
        <v>60</v>
      </c>
      <c r="C981" s="4">
        <v>703.95299999999997</v>
      </c>
      <c r="D981" s="4">
        <v>1361.586</v>
      </c>
      <c r="E981" s="79">
        <v>0</v>
      </c>
      <c r="F981" s="79">
        <f>SUM(BASE_DATOS[[#This Row],[Capital($)]:[Interés
Resarcitorio($)]])</f>
        <v>2065.5389999999998</v>
      </c>
      <c r="G981" s="8">
        <v>45793</v>
      </c>
      <c r="H981" s="80" t="s">
        <v>55</v>
      </c>
      <c r="I981" s="79" t="s">
        <v>9</v>
      </c>
      <c r="J981" s="81">
        <v>60</v>
      </c>
      <c r="K981" t="s">
        <v>46</v>
      </c>
    </row>
    <row r="982" spans="2:11" x14ac:dyDescent="0.25">
      <c r="B982" s="2">
        <f>+B981</f>
        <v>60</v>
      </c>
      <c r="C982" s="4">
        <v>703.95299999999997</v>
      </c>
      <c r="D982" s="4">
        <v>1361.586</v>
      </c>
      <c r="E982" s="79">
        <v>275.41000000000003</v>
      </c>
      <c r="F982" s="79">
        <f>SUM(BASE_DATOS[[#This Row],[Capital($)]:[Interés
Resarcitorio($)]])</f>
        <v>2340.9489999999996</v>
      </c>
      <c r="G982" s="8">
        <v>45803</v>
      </c>
      <c r="H982" s="80" t="s">
        <v>55</v>
      </c>
      <c r="I982" s="79" t="s">
        <v>7</v>
      </c>
      <c r="J982" s="81">
        <v>60</v>
      </c>
      <c r="K982" t="s">
        <v>46</v>
      </c>
    </row>
    <row r="983" spans="2:11" x14ac:dyDescent="0.25">
      <c r="B983" s="2">
        <v>1</v>
      </c>
      <c r="C983" s="4">
        <v>1018.4290000000001</v>
      </c>
      <c r="D983" s="4">
        <v>50.922000000000004</v>
      </c>
      <c r="E983" s="79">
        <v>0</v>
      </c>
      <c r="F983" s="79">
        <f>SUM(BASE_DATOS[[#This Row],[Capital($)]:[Interés
Resarcitorio($)]])</f>
        <v>1069.3510000000001</v>
      </c>
      <c r="G983" s="8">
        <v>44181</v>
      </c>
      <c r="H983" s="80" t="s">
        <v>56</v>
      </c>
      <c r="I983" s="79" t="s">
        <v>9</v>
      </c>
      <c r="J983" s="81">
        <v>60</v>
      </c>
      <c r="K983" t="s">
        <v>46</v>
      </c>
    </row>
    <row r="984" spans="2:11" x14ac:dyDescent="0.25">
      <c r="B984" s="2">
        <f>+B983</f>
        <v>1</v>
      </c>
      <c r="C984" s="4">
        <v>1018.4290000000001</v>
      </c>
      <c r="D984" s="4">
        <v>50.922000000000004</v>
      </c>
      <c r="E984" s="79">
        <v>107.65</v>
      </c>
      <c r="F984" s="79">
        <f>SUM(BASE_DATOS[[#This Row],[Capital($)]:[Interés
Resarcitorio($)]])</f>
        <v>1177.0010000000002</v>
      </c>
      <c r="G984" s="8">
        <v>44191</v>
      </c>
      <c r="H984" s="80" t="s">
        <v>56</v>
      </c>
      <c r="I984" s="79" t="s">
        <v>7</v>
      </c>
      <c r="J984" s="81">
        <v>60</v>
      </c>
      <c r="K984" t="s">
        <v>46</v>
      </c>
    </row>
    <row r="985" spans="2:11" x14ac:dyDescent="0.25">
      <c r="B985" s="2">
        <v>2</v>
      </c>
      <c r="C985" s="4">
        <v>1018.4290000000001</v>
      </c>
      <c r="D985" s="4">
        <v>71.290999999999997</v>
      </c>
      <c r="E985" s="79">
        <v>0</v>
      </c>
      <c r="F985" s="79">
        <f>SUM(BASE_DATOS[[#This Row],[Capital($)]:[Interés
Resarcitorio($)]])</f>
        <v>1089.72</v>
      </c>
      <c r="G985" s="8">
        <v>44212</v>
      </c>
      <c r="H985" s="80" t="s">
        <v>56</v>
      </c>
      <c r="I985" s="79" t="s">
        <v>9</v>
      </c>
      <c r="J985" s="81">
        <v>60</v>
      </c>
      <c r="K985" t="s">
        <v>46</v>
      </c>
    </row>
    <row r="986" spans="2:11" x14ac:dyDescent="0.25">
      <c r="B986" s="2">
        <f>+B985</f>
        <v>2</v>
      </c>
      <c r="C986" s="4">
        <v>1018.4290000000001</v>
      </c>
      <c r="D986" s="4">
        <v>71.290999999999997</v>
      </c>
      <c r="E986" s="79">
        <v>121.68</v>
      </c>
      <c r="F986" s="79">
        <f>SUM(BASE_DATOS[[#This Row],[Capital($)]:[Interés
Resarcitorio($)]])</f>
        <v>1211.4000000000001</v>
      </c>
      <c r="G986" s="8">
        <v>44222</v>
      </c>
      <c r="H986" s="80" t="s">
        <v>56</v>
      </c>
      <c r="I986" s="79" t="s">
        <v>7</v>
      </c>
      <c r="J986" s="81">
        <v>60</v>
      </c>
      <c r="K986" t="s">
        <v>46</v>
      </c>
    </row>
    <row r="987" spans="2:11" x14ac:dyDescent="0.25">
      <c r="B987" s="2">
        <v>3</v>
      </c>
      <c r="C987" s="4">
        <v>1018.4290000000001</v>
      </c>
      <c r="D987" s="4">
        <v>91.659000000000006</v>
      </c>
      <c r="E987" s="79">
        <v>0</v>
      </c>
      <c r="F987" s="79">
        <f>SUM(BASE_DATOS[[#This Row],[Capital($)]:[Interés
Resarcitorio($)]])</f>
        <v>1110.0880000000002</v>
      </c>
      <c r="G987" s="8">
        <v>44243</v>
      </c>
      <c r="H987" s="80" t="s">
        <v>56</v>
      </c>
      <c r="I987" s="79" t="s">
        <v>9</v>
      </c>
      <c r="J987" s="81">
        <v>60</v>
      </c>
      <c r="K987" t="s">
        <v>46</v>
      </c>
    </row>
    <row r="988" spans="2:11" x14ac:dyDescent="0.25">
      <c r="B988" s="2">
        <f>+B987</f>
        <v>3</v>
      </c>
      <c r="C988" s="4">
        <v>1018.4290000000001</v>
      </c>
      <c r="D988" s="4">
        <v>91.659000000000006</v>
      </c>
      <c r="E988" s="79">
        <v>123.96</v>
      </c>
      <c r="F988" s="79">
        <f>SUM(BASE_DATOS[[#This Row],[Capital($)]:[Interés
Resarcitorio($)]])</f>
        <v>1234.0480000000002</v>
      </c>
      <c r="G988" s="8">
        <v>44253</v>
      </c>
      <c r="H988" s="80" t="s">
        <v>56</v>
      </c>
      <c r="I988" s="79" t="s">
        <v>7</v>
      </c>
      <c r="J988" s="81">
        <v>60</v>
      </c>
      <c r="K988" t="s">
        <v>46</v>
      </c>
    </row>
    <row r="989" spans="2:11" x14ac:dyDescent="0.25">
      <c r="B989" s="2">
        <v>4</v>
      </c>
      <c r="C989" s="4">
        <v>1018.4290000000001</v>
      </c>
      <c r="D989" s="4">
        <v>112.02799999999999</v>
      </c>
      <c r="E989" s="79">
        <v>0</v>
      </c>
      <c r="F989" s="79">
        <f>SUM(BASE_DATOS[[#This Row],[Capital($)]:[Interés
Resarcitorio($)]])</f>
        <v>1130.4570000000001</v>
      </c>
      <c r="G989" s="8">
        <v>44271</v>
      </c>
      <c r="H989" s="80" t="s">
        <v>56</v>
      </c>
      <c r="I989" s="79" t="s">
        <v>9</v>
      </c>
      <c r="J989" s="81">
        <v>60</v>
      </c>
      <c r="K989" t="s">
        <v>46</v>
      </c>
    </row>
    <row r="990" spans="2:11" x14ac:dyDescent="0.25">
      <c r="B990" s="2">
        <f>+B989</f>
        <v>4</v>
      </c>
      <c r="C990" s="4">
        <v>1018.4290000000001</v>
      </c>
      <c r="D990" s="4">
        <v>112.02799999999999</v>
      </c>
      <c r="E990" s="79">
        <v>126.23</v>
      </c>
      <c r="F990" s="79">
        <f>SUM(BASE_DATOS[[#This Row],[Capital($)]:[Interés
Resarcitorio($)]])</f>
        <v>1256.6870000000001</v>
      </c>
      <c r="G990" s="8">
        <v>44281</v>
      </c>
      <c r="H990" s="80" t="s">
        <v>56</v>
      </c>
      <c r="I990" s="79" t="s">
        <v>7</v>
      </c>
      <c r="J990" s="81">
        <v>60</v>
      </c>
      <c r="K990" t="s">
        <v>46</v>
      </c>
    </row>
    <row r="991" spans="2:11" x14ac:dyDescent="0.25">
      <c r="B991" s="2">
        <v>5</v>
      </c>
      <c r="C991" s="4">
        <v>1018.4290000000001</v>
      </c>
      <c r="D991" s="4">
        <v>132.39600000000002</v>
      </c>
      <c r="E991" s="79">
        <v>0</v>
      </c>
      <c r="F991" s="79">
        <f>SUM(BASE_DATOS[[#This Row],[Capital($)]:[Interés
Resarcitorio($)]])</f>
        <v>1150.825</v>
      </c>
      <c r="G991" s="8">
        <v>44302</v>
      </c>
      <c r="H991" s="80" t="s">
        <v>56</v>
      </c>
      <c r="I991" s="79" t="s">
        <v>9</v>
      </c>
      <c r="J991" s="81">
        <v>60</v>
      </c>
      <c r="K991" t="s">
        <v>46</v>
      </c>
    </row>
    <row r="992" spans="2:11" x14ac:dyDescent="0.25">
      <c r="B992" s="2">
        <f>+B991</f>
        <v>5</v>
      </c>
      <c r="C992" s="4">
        <v>1018.4290000000001</v>
      </c>
      <c r="D992" s="4">
        <v>132.39600000000002</v>
      </c>
      <c r="E992" s="79">
        <v>128.51</v>
      </c>
      <c r="F992" s="79">
        <f>SUM(BASE_DATOS[[#This Row],[Capital($)]:[Interés
Resarcitorio($)]])</f>
        <v>1279.335</v>
      </c>
      <c r="G992" s="8">
        <v>44312</v>
      </c>
      <c r="H992" s="80" t="s">
        <v>56</v>
      </c>
      <c r="I992" s="79" t="s">
        <v>7</v>
      </c>
      <c r="J992" s="81">
        <v>60</v>
      </c>
      <c r="K992" t="s">
        <v>46</v>
      </c>
    </row>
    <row r="993" spans="2:11" x14ac:dyDescent="0.25">
      <c r="B993" s="2">
        <v>6</v>
      </c>
      <c r="C993" s="4">
        <v>1018.4290000000001</v>
      </c>
      <c r="D993" s="4">
        <v>152.76500000000001</v>
      </c>
      <c r="E993" s="79">
        <v>0</v>
      </c>
      <c r="F993" s="79">
        <f>SUM(BASE_DATOS[[#This Row],[Capital($)]:[Interés
Resarcitorio($)]])</f>
        <v>1171.1940000000002</v>
      </c>
      <c r="G993" s="8">
        <v>44332</v>
      </c>
      <c r="H993" s="80" t="s">
        <v>56</v>
      </c>
      <c r="I993" s="79" t="s">
        <v>9</v>
      </c>
      <c r="J993" s="81">
        <v>60</v>
      </c>
      <c r="K993" t="s">
        <v>46</v>
      </c>
    </row>
    <row r="994" spans="2:11" x14ac:dyDescent="0.25">
      <c r="B994" s="2">
        <f>+B993</f>
        <v>6</v>
      </c>
      <c r="C994" s="4">
        <v>1018.4290000000001</v>
      </c>
      <c r="D994" s="4">
        <v>152.76500000000001</v>
      </c>
      <c r="E994" s="79">
        <v>130.78</v>
      </c>
      <c r="F994" s="79">
        <f>SUM(BASE_DATOS[[#This Row],[Capital($)]:[Interés
Resarcitorio($)]])</f>
        <v>1301.9740000000002</v>
      </c>
      <c r="G994" s="8">
        <v>44342</v>
      </c>
      <c r="H994" s="80" t="s">
        <v>56</v>
      </c>
      <c r="I994" s="79" t="s">
        <v>7</v>
      </c>
      <c r="J994" s="81">
        <v>60</v>
      </c>
      <c r="K994" t="s">
        <v>46</v>
      </c>
    </row>
    <row r="995" spans="2:11" x14ac:dyDescent="0.25">
      <c r="B995" s="2">
        <v>7</v>
      </c>
      <c r="C995" s="4">
        <v>1018.4290000000001</v>
      </c>
      <c r="D995" s="4">
        <v>181.68800000000002</v>
      </c>
      <c r="E995" s="79">
        <v>0</v>
      </c>
      <c r="F995" s="79">
        <f>SUM(BASE_DATOS[[#This Row],[Capital($)]:[Interés
Resarcitorio($)]])</f>
        <v>1200.1170000000002</v>
      </c>
      <c r="G995" s="8">
        <v>44363</v>
      </c>
      <c r="H995" s="80" t="s">
        <v>56</v>
      </c>
      <c r="I995" s="79" t="s">
        <v>9</v>
      </c>
      <c r="J995" s="81">
        <v>60</v>
      </c>
      <c r="K995" t="s">
        <v>46</v>
      </c>
    </row>
    <row r="996" spans="2:11" x14ac:dyDescent="0.25">
      <c r="B996" s="2">
        <f>+B995</f>
        <v>7</v>
      </c>
      <c r="C996" s="4">
        <v>1018.4290000000001</v>
      </c>
      <c r="D996" s="4">
        <v>181.68800000000002</v>
      </c>
      <c r="E996" s="79">
        <v>134.01</v>
      </c>
      <c r="F996" s="79">
        <f>SUM(BASE_DATOS[[#This Row],[Capital($)]:[Interés
Resarcitorio($)]])</f>
        <v>1334.1270000000002</v>
      </c>
      <c r="G996" s="8">
        <v>44373</v>
      </c>
      <c r="H996" s="80" t="s">
        <v>56</v>
      </c>
      <c r="I996" s="79" t="s">
        <v>7</v>
      </c>
      <c r="J996" s="81">
        <v>60</v>
      </c>
      <c r="K996" t="s">
        <v>46</v>
      </c>
    </row>
    <row r="997" spans="2:11" x14ac:dyDescent="0.25">
      <c r="B997" s="2">
        <v>8</v>
      </c>
      <c r="C997" s="4">
        <v>1018.4290000000001</v>
      </c>
      <c r="D997" s="4">
        <v>210.61100000000002</v>
      </c>
      <c r="E997" s="79">
        <v>0</v>
      </c>
      <c r="F997" s="79">
        <f>SUM(BASE_DATOS[[#This Row],[Capital($)]:[Interés
Resarcitorio($)]])</f>
        <v>1229.0400000000002</v>
      </c>
      <c r="G997" s="8">
        <v>44393</v>
      </c>
      <c r="H997" s="80" t="s">
        <v>56</v>
      </c>
      <c r="I997" s="79" t="s">
        <v>9</v>
      </c>
      <c r="J997" s="81">
        <v>60</v>
      </c>
      <c r="K997" t="s">
        <v>46</v>
      </c>
    </row>
    <row r="998" spans="2:11" x14ac:dyDescent="0.25">
      <c r="B998" s="2">
        <f>+B997</f>
        <v>8</v>
      </c>
      <c r="C998" s="4">
        <v>1018.4290000000001</v>
      </c>
      <c r="D998" s="4">
        <v>210.61100000000002</v>
      </c>
      <c r="E998" s="79">
        <v>137.24</v>
      </c>
      <c r="F998" s="79">
        <f>SUM(BASE_DATOS[[#This Row],[Capital($)]:[Interés
Resarcitorio($)]])</f>
        <v>1366.2800000000002</v>
      </c>
      <c r="G998" s="8">
        <v>44403</v>
      </c>
      <c r="H998" s="80" t="s">
        <v>56</v>
      </c>
      <c r="I998" s="79" t="s">
        <v>7</v>
      </c>
      <c r="J998" s="81">
        <v>60</v>
      </c>
      <c r="K998" t="s">
        <v>46</v>
      </c>
    </row>
    <row r="999" spans="2:11" x14ac:dyDescent="0.25">
      <c r="B999" s="2">
        <v>9</v>
      </c>
      <c r="C999" s="4">
        <v>1018.4290000000001</v>
      </c>
      <c r="D999" s="4">
        <v>239.535</v>
      </c>
      <c r="E999" s="79">
        <v>0</v>
      </c>
      <c r="F999" s="79">
        <f>SUM(BASE_DATOS[[#This Row],[Capital($)]:[Interés
Resarcitorio($)]])</f>
        <v>1257.9640000000002</v>
      </c>
      <c r="G999" s="8">
        <v>44424</v>
      </c>
      <c r="H999" s="80" t="s">
        <v>56</v>
      </c>
      <c r="I999" s="79" t="s">
        <v>9</v>
      </c>
      <c r="J999" s="81">
        <v>60</v>
      </c>
      <c r="K999" t="s">
        <v>46</v>
      </c>
    </row>
    <row r="1000" spans="2:11" x14ac:dyDescent="0.25">
      <c r="B1000" s="2">
        <f>+B999</f>
        <v>9</v>
      </c>
      <c r="C1000" s="4">
        <v>1018.4290000000001</v>
      </c>
      <c r="D1000" s="4">
        <v>239.535</v>
      </c>
      <c r="E1000" s="79">
        <v>140.47</v>
      </c>
      <c r="F1000" s="79">
        <f>SUM(BASE_DATOS[[#This Row],[Capital($)]:[Interés
Resarcitorio($)]])</f>
        <v>1398.4340000000002</v>
      </c>
      <c r="G1000" s="8">
        <v>44434</v>
      </c>
      <c r="H1000" s="80" t="s">
        <v>56</v>
      </c>
      <c r="I1000" s="79" t="s">
        <v>7</v>
      </c>
      <c r="J1000" s="81">
        <v>60</v>
      </c>
      <c r="K1000" t="s">
        <v>46</v>
      </c>
    </row>
    <row r="1001" spans="2:11" x14ac:dyDescent="0.25">
      <c r="B1001" s="2">
        <v>10</v>
      </c>
      <c r="C1001" s="4">
        <v>1018.4290000000001</v>
      </c>
      <c r="D1001" s="4">
        <v>268.45799999999997</v>
      </c>
      <c r="E1001" s="79">
        <v>0</v>
      </c>
      <c r="F1001" s="79">
        <f>SUM(BASE_DATOS[[#This Row],[Capital($)]:[Interés
Resarcitorio($)]])</f>
        <v>1286.8870000000002</v>
      </c>
      <c r="G1001" s="8">
        <v>44455</v>
      </c>
      <c r="H1001" s="80" t="s">
        <v>56</v>
      </c>
      <c r="I1001" s="79" t="s">
        <v>9</v>
      </c>
      <c r="J1001" s="81">
        <v>60</v>
      </c>
      <c r="K1001" t="s">
        <v>46</v>
      </c>
    </row>
    <row r="1002" spans="2:11" x14ac:dyDescent="0.25">
      <c r="B1002" s="2">
        <f>+B1001</f>
        <v>10</v>
      </c>
      <c r="C1002" s="4">
        <v>1018.4290000000001</v>
      </c>
      <c r="D1002" s="4">
        <v>268.45799999999997</v>
      </c>
      <c r="E1002" s="79">
        <v>143.69999999999999</v>
      </c>
      <c r="F1002" s="79">
        <f>SUM(BASE_DATOS[[#This Row],[Capital($)]:[Interés
Resarcitorio($)]])</f>
        <v>1430.5870000000002</v>
      </c>
      <c r="G1002" s="8">
        <v>44465</v>
      </c>
      <c r="H1002" s="80" t="s">
        <v>56</v>
      </c>
      <c r="I1002" s="79" t="s">
        <v>7</v>
      </c>
      <c r="J1002" s="81">
        <v>60</v>
      </c>
      <c r="K1002" t="s">
        <v>46</v>
      </c>
    </row>
    <row r="1003" spans="2:11" x14ac:dyDescent="0.25">
      <c r="B1003" s="2">
        <v>11</v>
      </c>
      <c r="C1003" s="4">
        <v>1018.4290000000001</v>
      </c>
      <c r="D1003" s="4">
        <v>297.38099999999997</v>
      </c>
      <c r="E1003" s="79">
        <v>0</v>
      </c>
      <c r="F1003" s="79">
        <f>SUM(BASE_DATOS[[#This Row],[Capital($)]:[Interés
Resarcitorio($)]])</f>
        <v>1315.81</v>
      </c>
      <c r="G1003" s="8">
        <v>44485</v>
      </c>
      <c r="H1003" s="80" t="s">
        <v>56</v>
      </c>
      <c r="I1003" s="79" t="s">
        <v>9</v>
      </c>
      <c r="J1003" s="81">
        <v>60</v>
      </c>
      <c r="K1003" t="s">
        <v>46</v>
      </c>
    </row>
    <row r="1004" spans="2:11" x14ac:dyDescent="0.25">
      <c r="B1004" s="2">
        <f>+B1003</f>
        <v>11</v>
      </c>
      <c r="C1004" s="4">
        <v>1018.4290000000001</v>
      </c>
      <c r="D1004" s="4">
        <v>297.38099999999997</v>
      </c>
      <c r="E1004" s="79">
        <v>146.93</v>
      </c>
      <c r="F1004" s="79">
        <f>SUM(BASE_DATOS[[#This Row],[Capital($)]:[Interés
Resarcitorio($)]])</f>
        <v>1462.74</v>
      </c>
      <c r="G1004" s="8">
        <v>44495</v>
      </c>
      <c r="H1004" s="80" t="s">
        <v>56</v>
      </c>
      <c r="I1004" s="79" t="s">
        <v>7</v>
      </c>
      <c r="J1004" s="81">
        <v>60</v>
      </c>
      <c r="K1004" t="s">
        <v>46</v>
      </c>
    </row>
    <row r="1005" spans="2:11" x14ac:dyDescent="0.25">
      <c r="B1005" s="2">
        <v>12</v>
      </c>
      <c r="C1005" s="4">
        <v>1018.4290000000001</v>
      </c>
      <c r="D1005" s="4">
        <v>326.30500000000001</v>
      </c>
      <c r="E1005" s="79">
        <v>0</v>
      </c>
      <c r="F1005" s="79">
        <f>SUM(BASE_DATOS[[#This Row],[Capital($)]:[Interés
Resarcitorio($)]])</f>
        <v>1344.7340000000002</v>
      </c>
      <c r="G1005" s="8">
        <v>44516</v>
      </c>
      <c r="H1005" s="80" t="s">
        <v>56</v>
      </c>
      <c r="I1005" s="79" t="s">
        <v>9</v>
      </c>
      <c r="J1005" s="81">
        <v>60</v>
      </c>
      <c r="K1005" t="s">
        <v>46</v>
      </c>
    </row>
    <row r="1006" spans="2:11" x14ac:dyDescent="0.25">
      <c r="B1006" s="2">
        <f>+B1005</f>
        <v>12</v>
      </c>
      <c r="C1006" s="4">
        <v>1018.4290000000001</v>
      </c>
      <c r="D1006" s="4">
        <v>326.30500000000001</v>
      </c>
      <c r="E1006" s="79">
        <v>150.16</v>
      </c>
      <c r="F1006" s="79">
        <f>SUM(BASE_DATOS[[#This Row],[Capital($)]:[Interés
Resarcitorio($)]])</f>
        <v>1494.8940000000002</v>
      </c>
      <c r="G1006" s="8">
        <v>44526</v>
      </c>
      <c r="H1006" s="80" t="s">
        <v>56</v>
      </c>
      <c r="I1006" s="79" t="s">
        <v>7</v>
      </c>
      <c r="J1006" s="81">
        <v>60</v>
      </c>
      <c r="K1006" t="s">
        <v>46</v>
      </c>
    </row>
    <row r="1007" spans="2:11" x14ac:dyDescent="0.25">
      <c r="B1007" s="2">
        <v>13</v>
      </c>
      <c r="C1007" s="4">
        <v>1018.4290000000001</v>
      </c>
      <c r="D1007" s="4">
        <v>355.22800000000001</v>
      </c>
      <c r="E1007" s="79">
        <v>0</v>
      </c>
      <c r="F1007" s="79">
        <f>SUM(BASE_DATOS[[#This Row],[Capital($)]:[Interés
Resarcitorio($)]])</f>
        <v>1373.6570000000002</v>
      </c>
      <c r="G1007" s="8">
        <v>44546</v>
      </c>
      <c r="H1007" s="80" t="s">
        <v>56</v>
      </c>
      <c r="I1007" s="79" t="s">
        <v>9</v>
      </c>
      <c r="J1007" s="81">
        <v>60</v>
      </c>
      <c r="K1007" t="s">
        <v>46</v>
      </c>
    </row>
    <row r="1008" spans="2:11" x14ac:dyDescent="0.25">
      <c r="B1008" s="2">
        <f>+B1007</f>
        <v>13</v>
      </c>
      <c r="C1008" s="4">
        <v>1018.4290000000001</v>
      </c>
      <c r="D1008" s="4">
        <v>355.22800000000001</v>
      </c>
      <c r="E1008" s="79">
        <v>153.38999999999999</v>
      </c>
      <c r="F1008" s="79">
        <f>SUM(BASE_DATOS[[#This Row],[Capital($)]:[Interés
Resarcitorio($)]])</f>
        <v>1527.047</v>
      </c>
      <c r="G1008" s="8">
        <v>44556</v>
      </c>
      <c r="H1008" s="80" t="s">
        <v>56</v>
      </c>
      <c r="I1008" s="79" t="s">
        <v>7</v>
      </c>
      <c r="J1008" s="81">
        <v>60</v>
      </c>
      <c r="K1008" t="s">
        <v>46</v>
      </c>
    </row>
    <row r="1009" spans="2:11" x14ac:dyDescent="0.25">
      <c r="B1009" s="2">
        <v>14</v>
      </c>
      <c r="C1009" s="4">
        <v>1018.4290000000001</v>
      </c>
      <c r="D1009" s="4">
        <v>384.15100000000001</v>
      </c>
      <c r="E1009" s="79">
        <v>0</v>
      </c>
      <c r="F1009" s="79">
        <f>SUM(BASE_DATOS[[#This Row],[Capital($)]:[Interés
Resarcitorio($)]])</f>
        <v>1402.5800000000002</v>
      </c>
      <c r="G1009" s="8">
        <v>44577</v>
      </c>
      <c r="H1009" s="80" t="s">
        <v>56</v>
      </c>
      <c r="I1009" s="79" t="s">
        <v>9</v>
      </c>
      <c r="J1009" s="81">
        <v>60</v>
      </c>
      <c r="K1009" t="s">
        <v>46</v>
      </c>
    </row>
    <row r="1010" spans="2:11" x14ac:dyDescent="0.25">
      <c r="B1010" s="2">
        <f>+B1009</f>
        <v>14</v>
      </c>
      <c r="C1010" s="4">
        <v>1018.4290000000001</v>
      </c>
      <c r="D1010" s="4">
        <v>384.15100000000001</v>
      </c>
      <c r="E1010" s="79">
        <v>156.62</v>
      </c>
      <c r="F1010" s="79">
        <f>SUM(BASE_DATOS[[#This Row],[Capital($)]:[Interés
Resarcitorio($)]])</f>
        <v>1559.2000000000003</v>
      </c>
      <c r="G1010" s="8">
        <v>44587</v>
      </c>
      <c r="H1010" s="80" t="s">
        <v>56</v>
      </c>
      <c r="I1010" s="79" t="s">
        <v>7</v>
      </c>
      <c r="J1010" s="81">
        <v>60</v>
      </c>
      <c r="K1010" t="s">
        <v>46</v>
      </c>
    </row>
    <row r="1011" spans="2:11" x14ac:dyDescent="0.25">
      <c r="B1011" s="2">
        <v>15</v>
      </c>
      <c r="C1011" s="4">
        <v>1018.4290000000001</v>
      </c>
      <c r="D1011" s="4">
        <v>413.07499999999999</v>
      </c>
      <c r="E1011" s="79">
        <v>0</v>
      </c>
      <c r="F1011" s="79">
        <f>SUM(BASE_DATOS[[#This Row],[Capital($)]:[Interés
Resarcitorio($)]])</f>
        <v>1431.5040000000001</v>
      </c>
      <c r="G1011" s="8">
        <v>44608</v>
      </c>
      <c r="H1011" s="80" t="s">
        <v>56</v>
      </c>
      <c r="I1011" s="79" t="s">
        <v>9</v>
      </c>
      <c r="J1011" s="81">
        <v>60</v>
      </c>
      <c r="K1011" t="s">
        <v>46</v>
      </c>
    </row>
    <row r="1012" spans="2:11" x14ac:dyDescent="0.25">
      <c r="B1012" s="2">
        <f>+B1011</f>
        <v>15</v>
      </c>
      <c r="C1012" s="4">
        <v>1018.4290000000001</v>
      </c>
      <c r="D1012" s="4">
        <v>413.07499999999999</v>
      </c>
      <c r="E1012" s="79">
        <v>159.85</v>
      </c>
      <c r="F1012" s="79">
        <f>SUM(BASE_DATOS[[#This Row],[Capital($)]:[Interés
Resarcitorio($)]])</f>
        <v>1591.354</v>
      </c>
      <c r="G1012" s="8">
        <v>44618</v>
      </c>
      <c r="H1012" s="80" t="s">
        <v>56</v>
      </c>
      <c r="I1012" s="79" t="s">
        <v>7</v>
      </c>
      <c r="J1012" s="81">
        <v>60</v>
      </c>
      <c r="K1012" t="s">
        <v>46</v>
      </c>
    </row>
    <row r="1013" spans="2:11" x14ac:dyDescent="0.25">
      <c r="B1013" s="2">
        <v>16</v>
      </c>
      <c r="C1013" s="4">
        <v>1018.4290000000001</v>
      </c>
      <c r="D1013" s="4">
        <v>441.99799999999993</v>
      </c>
      <c r="E1013" s="79">
        <v>0</v>
      </c>
      <c r="F1013" s="79">
        <f>SUM(BASE_DATOS[[#This Row],[Capital($)]:[Interés
Resarcitorio($)]])</f>
        <v>1460.4270000000001</v>
      </c>
      <c r="G1013" s="8">
        <v>44636</v>
      </c>
      <c r="H1013" s="80" t="s">
        <v>56</v>
      </c>
      <c r="I1013" s="79" t="s">
        <v>9</v>
      </c>
      <c r="J1013" s="81">
        <v>60</v>
      </c>
      <c r="K1013" t="s">
        <v>46</v>
      </c>
    </row>
    <row r="1014" spans="2:11" x14ac:dyDescent="0.25">
      <c r="B1014" s="2">
        <f>+B1013</f>
        <v>16</v>
      </c>
      <c r="C1014" s="4">
        <v>1018.4290000000001</v>
      </c>
      <c r="D1014" s="4">
        <v>441.99799999999993</v>
      </c>
      <c r="E1014" s="79">
        <v>163.08000000000001</v>
      </c>
      <c r="F1014" s="79">
        <f>SUM(BASE_DATOS[[#This Row],[Capital($)]:[Interés
Resarcitorio($)]])</f>
        <v>1623.5070000000001</v>
      </c>
      <c r="G1014" s="8">
        <v>44646</v>
      </c>
      <c r="H1014" s="80" t="s">
        <v>56</v>
      </c>
      <c r="I1014" s="79" t="s">
        <v>7</v>
      </c>
      <c r="J1014" s="81">
        <v>60</v>
      </c>
      <c r="K1014" t="s">
        <v>46</v>
      </c>
    </row>
    <row r="1015" spans="2:11" x14ac:dyDescent="0.25">
      <c r="B1015" s="2">
        <v>17</v>
      </c>
      <c r="C1015" s="4">
        <v>1018.4290000000001</v>
      </c>
      <c r="D1015" s="4">
        <v>470.92099999999999</v>
      </c>
      <c r="E1015" s="79">
        <v>0</v>
      </c>
      <c r="F1015" s="79">
        <f>SUM(BASE_DATOS[[#This Row],[Capital($)]:[Interés
Resarcitorio($)]])</f>
        <v>1489.3500000000001</v>
      </c>
      <c r="G1015" s="8">
        <v>44667</v>
      </c>
      <c r="H1015" s="80" t="s">
        <v>56</v>
      </c>
      <c r="I1015" s="79" t="s">
        <v>9</v>
      </c>
      <c r="J1015" s="81">
        <v>60</v>
      </c>
      <c r="K1015" t="s">
        <v>46</v>
      </c>
    </row>
    <row r="1016" spans="2:11" x14ac:dyDescent="0.25">
      <c r="B1016" s="2">
        <f>+B1015</f>
        <v>17</v>
      </c>
      <c r="C1016" s="4">
        <v>1018.4290000000001</v>
      </c>
      <c r="D1016" s="4">
        <v>470.92099999999999</v>
      </c>
      <c r="E1016" s="79">
        <v>184.68</v>
      </c>
      <c r="F1016" s="79">
        <f>SUM(BASE_DATOS[[#This Row],[Capital($)]:[Interés
Resarcitorio($)]])</f>
        <v>1674.0300000000002</v>
      </c>
      <c r="G1016" s="8">
        <v>44677</v>
      </c>
      <c r="H1016" s="80" t="s">
        <v>56</v>
      </c>
      <c r="I1016" s="79" t="s">
        <v>7</v>
      </c>
      <c r="J1016" s="81">
        <v>60</v>
      </c>
      <c r="K1016" t="s">
        <v>46</v>
      </c>
    </row>
    <row r="1017" spans="2:11" x14ac:dyDescent="0.25">
      <c r="B1017" s="2">
        <v>18</v>
      </c>
      <c r="C1017" s="4">
        <v>1018.4290000000001</v>
      </c>
      <c r="D1017" s="4">
        <v>499.84499999999997</v>
      </c>
      <c r="E1017" s="79">
        <v>0</v>
      </c>
      <c r="F1017" s="79">
        <f>SUM(BASE_DATOS[[#This Row],[Capital($)]:[Interés
Resarcitorio($)]])</f>
        <v>1518.2740000000001</v>
      </c>
      <c r="G1017" s="8">
        <v>44697</v>
      </c>
      <c r="H1017" s="80" t="s">
        <v>56</v>
      </c>
      <c r="I1017" s="79" t="s">
        <v>9</v>
      </c>
      <c r="J1017" s="81">
        <v>60</v>
      </c>
      <c r="K1017" t="s">
        <v>46</v>
      </c>
    </row>
    <row r="1018" spans="2:11" x14ac:dyDescent="0.25">
      <c r="B1018" s="2">
        <f>+B1017</f>
        <v>18</v>
      </c>
      <c r="C1018" s="4">
        <v>1018.4290000000001</v>
      </c>
      <c r="D1018" s="4">
        <v>499.84499999999997</v>
      </c>
      <c r="E1018" s="79">
        <v>188.27</v>
      </c>
      <c r="F1018" s="79">
        <f>SUM(BASE_DATOS[[#This Row],[Capital($)]:[Interés
Resarcitorio($)]])</f>
        <v>1706.5440000000001</v>
      </c>
      <c r="G1018" s="8">
        <v>44707</v>
      </c>
      <c r="H1018" s="80" t="s">
        <v>56</v>
      </c>
      <c r="I1018" s="79" t="s">
        <v>7</v>
      </c>
      <c r="J1018" s="81">
        <v>60</v>
      </c>
      <c r="K1018" t="s">
        <v>46</v>
      </c>
    </row>
    <row r="1019" spans="2:11" x14ac:dyDescent="0.25">
      <c r="B1019" s="2">
        <v>19</v>
      </c>
      <c r="C1019" s="4">
        <v>1018.4290000000001</v>
      </c>
      <c r="D1019" s="4">
        <v>539.15600000000006</v>
      </c>
      <c r="E1019" s="79">
        <v>0</v>
      </c>
      <c r="F1019" s="79">
        <f>SUM(BASE_DATOS[[#This Row],[Capital($)]:[Interés
Resarcitorio($)]])</f>
        <v>1557.585</v>
      </c>
      <c r="G1019" s="8">
        <v>44728</v>
      </c>
      <c r="H1019" s="80" t="s">
        <v>56</v>
      </c>
      <c r="I1019" s="79" t="s">
        <v>9</v>
      </c>
      <c r="J1019" s="81">
        <v>60</v>
      </c>
      <c r="K1019" t="s">
        <v>46</v>
      </c>
    </row>
    <row r="1020" spans="2:11" x14ac:dyDescent="0.25">
      <c r="B1020" s="2">
        <f>+B1019</f>
        <v>19</v>
      </c>
      <c r="C1020" s="4">
        <v>1018.4290000000001</v>
      </c>
      <c r="D1020" s="4">
        <v>539.15600000000006</v>
      </c>
      <c r="E1020" s="79">
        <v>193.14</v>
      </c>
      <c r="F1020" s="79">
        <f>SUM(BASE_DATOS[[#This Row],[Capital($)]:[Interés
Resarcitorio($)]])</f>
        <v>1750.7249999999999</v>
      </c>
      <c r="G1020" s="8">
        <v>44738</v>
      </c>
      <c r="H1020" s="80" t="s">
        <v>56</v>
      </c>
      <c r="I1020" s="79" t="s">
        <v>7</v>
      </c>
      <c r="J1020" s="81">
        <v>60</v>
      </c>
      <c r="K1020" t="s">
        <v>46</v>
      </c>
    </row>
    <row r="1021" spans="2:11" x14ac:dyDescent="0.25">
      <c r="B1021" s="2">
        <v>20</v>
      </c>
      <c r="C1021" s="4">
        <v>1018.4290000000001</v>
      </c>
      <c r="D1021" s="4">
        <v>578.46800000000007</v>
      </c>
      <c r="E1021" s="79">
        <v>0</v>
      </c>
      <c r="F1021" s="79">
        <f>SUM(BASE_DATOS[[#This Row],[Capital($)]:[Interés
Resarcitorio($)]])</f>
        <v>1596.8970000000002</v>
      </c>
      <c r="G1021" s="8">
        <v>44758</v>
      </c>
      <c r="H1021" s="80" t="s">
        <v>56</v>
      </c>
      <c r="I1021" s="79" t="s">
        <v>9</v>
      </c>
      <c r="J1021" s="81">
        <v>60</v>
      </c>
      <c r="K1021" t="s">
        <v>46</v>
      </c>
    </row>
    <row r="1022" spans="2:11" x14ac:dyDescent="0.25">
      <c r="B1022" s="2">
        <f>+B1021</f>
        <v>20</v>
      </c>
      <c r="C1022" s="4">
        <v>1018.4290000000001</v>
      </c>
      <c r="D1022" s="4">
        <v>578.46800000000007</v>
      </c>
      <c r="E1022" s="79">
        <v>226.23</v>
      </c>
      <c r="F1022" s="79">
        <f>SUM(BASE_DATOS[[#This Row],[Capital($)]:[Interés
Resarcitorio($)]])</f>
        <v>1823.1270000000002</v>
      </c>
      <c r="G1022" s="8">
        <v>44768</v>
      </c>
      <c r="H1022" s="80" t="s">
        <v>56</v>
      </c>
      <c r="I1022" s="79" t="s">
        <v>7</v>
      </c>
      <c r="J1022" s="81">
        <v>60</v>
      </c>
      <c r="K1022" t="s">
        <v>46</v>
      </c>
    </row>
    <row r="1023" spans="2:11" x14ac:dyDescent="0.25">
      <c r="B1023" s="2">
        <v>21</v>
      </c>
      <c r="C1023" s="4">
        <v>1018.4290000000001</v>
      </c>
      <c r="D1023" s="4">
        <v>617.779</v>
      </c>
      <c r="E1023" s="79">
        <v>0</v>
      </c>
      <c r="F1023" s="79">
        <f>SUM(BASE_DATOS[[#This Row],[Capital($)]:[Interés
Resarcitorio($)]])</f>
        <v>1636.2080000000001</v>
      </c>
      <c r="G1023" s="8">
        <v>44789</v>
      </c>
      <c r="H1023" s="80" t="s">
        <v>56</v>
      </c>
      <c r="I1023" s="79" t="s">
        <v>9</v>
      </c>
      <c r="J1023" s="81">
        <v>60</v>
      </c>
      <c r="K1023" t="s">
        <v>46</v>
      </c>
    </row>
    <row r="1024" spans="2:11" x14ac:dyDescent="0.25">
      <c r="B1024" s="2">
        <f>+B1023</f>
        <v>21</v>
      </c>
      <c r="C1024" s="4">
        <v>1018.4290000000001</v>
      </c>
      <c r="D1024" s="4">
        <v>617.779</v>
      </c>
      <c r="E1024" s="79">
        <v>231.8</v>
      </c>
      <c r="F1024" s="79">
        <f>SUM(BASE_DATOS[[#This Row],[Capital($)]:[Interés
Resarcitorio($)]])</f>
        <v>1868.008</v>
      </c>
      <c r="G1024" s="8">
        <v>44799</v>
      </c>
      <c r="H1024" s="80" t="s">
        <v>56</v>
      </c>
      <c r="I1024" s="79" t="s">
        <v>7</v>
      </c>
      <c r="J1024" s="81">
        <v>60</v>
      </c>
      <c r="K1024" t="s">
        <v>46</v>
      </c>
    </row>
    <row r="1025" spans="2:11" x14ac:dyDescent="0.25">
      <c r="B1025" s="2">
        <v>22</v>
      </c>
      <c r="C1025" s="4">
        <v>1018.4290000000001</v>
      </c>
      <c r="D1025" s="4">
        <v>657.08999999999992</v>
      </c>
      <c r="E1025" s="79">
        <v>0</v>
      </c>
      <c r="F1025" s="79">
        <f>SUM(BASE_DATOS[[#This Row],[Capital($)]:[Interés
Resarcitorio($)]])</f>
        <v>1675.519</v>
      </c>
      <c r="G1025" s="8">
        <v>44820</v>
      </c>
      <c r="H1025" s="80" t="s">
        <v>56</v>
      </c>
      <c r="I1025" s="79" t="s">
        <v>9</v>
      </c>
      <c r="J1025" s="81">
        <v>60</v>
      </c>
      <c r="K1025" t="s">
        <v>46</v>
      </c>
    </row>
    <row r="1026" spans="2:11" x14ac:dyDescent="0.25">
      <c r="B1026" s="2">
        <f>+B1025</f>
        <v>22</v>
      </c>
      <c r="C1026" s="4">
        <v>1018.4290000000001</v>
      </c>
      <c r="D1026" s="4">
        <v>657.08999999999992</v>
      </c>
      <c r="E1026" s="79">
        <v>330.07</v>
      </c>
      <c r="F1026" s="79">
        <f>SUM(BASE_DATOS[[#This Row],[Capital($)]:[Interés
Resarcitorio($)]])</f>
        <v>2005.5889999999999</v>
      </c>
      <c r="G1026" s="8">
        <v>44830</v>
      </c>
      <c r="H1026" s="80" t="s">
        <v>56</v>
      </c>
      <c r="I1026" s="79" t="s">
        <v>7</v>
      </c>
      <c r="J1026" s="81">
        <v>60</v>
      </c>
      <c r="K1026" t="s">
        <v>46</v>
      </c>
    </row>
    <row r="1027" spans="2:11" x14ac:dyDescent="0.25">
      <c r="B1027" s="2">
        <v>23</v>
      </c>
      <c r="C1027" s="4">
        <v>1018.4290000000001</v>
      </c>
      <c r="D1027" s="4">
        <v>696.40200000000004</v>
      </c>
      <c r="E1027" s="79">
        <v>0</v>
      </c>
      <c r="F1027" s="79">
        <f>SUM(BASE_DATOS[[#This Row],[Capital($)]:[Interés
Resarcitorio($)]])</f>
        <v>1714.8310000000001</v>
      </c>
      <c r="G1027" s="8">
        <v>44850</v>
      </c>
      <c r="H1027" s="80" t="s">
        <v>56</v>
      </c>
      <c r="I1027" s="79" t="s">
        <v>9</v>
      </c>
      <c r="J1027" s="81">
        <v>60</v>
      </c>
      <c r="K1027" t="s">
        <v>46</v>
      </c>
    </row>
    <row r="1028" spans="2:11" x14ac:dyDescent="0.25">
      <c r="B1028" s="2">
        <f>+B1027</f>
        <v>23</v>
      </c>
      <c r="C1028" s="4">
        <v>1018.4290000000001</v>
      </c>
      <c r="D1028" s="4">
        <v>696.40200000000004</v>
      </c>
      <c r="E1028" s="79">
        <v>337.82</v>
      </c>
      <c r="F1028" s="79">
        <f>SUM(BASE_DATOS[[#This Row],[Capital($)]:[Interés
Resarcitorio($)]])</f>
        <v>2052.6510000000003</v>
      </c>
      <c r="G1028" s="8">
        <v>44860</v>
      </c>
      <c r="H1028" s="80" t="s">
        <v>56</v>
      </c>
      <c r="I1028" s="79" t="s">
        <v>7</v>
      </c>
      <c r="J1028" s="81">
        <v>60</v>
      </c>
      <c r="K1028" t="s">
        <v>46</v>
      </c>
    </row>
    <row r="1029" spans="2:11" x14ac:dyDescent="0.25">
      <c r="B1029" s="2">
        <v>24</v>
      </c>
      <c r="C1029" s="4">
        <v>1018.4290000000001</v>
      </c>
      <c r="D1029" s="4">
        <v>735.71299999999997</v>
      </c>
      <c r="E1029" s="79">
        <v>0</v>
      </c>
      <c r="F1029" s="79">
        <f>SUM(BASE_DATOS[[#This Row],[Capital($)]:[Interés
Resarcitorio($)]])</f>
        <v>1754.1420000000001</v>
      </c>
      <c r="G1029" s="8">
        <v>44881</v>
      </c>
      <c r="H1029" s="80" t="s">
        <v>56</v>
      </c>
      <c r="I1029" s="79" t="s">
        <v>9</v>
      </c>
      <c r="J1029" s="81">
        <v>60</v>
      </c>
      <c r="K1029" t="s">
        <v>46</v>
      </c>
    </row>
    <row r="1030" spans="2:11" x14ac:dyDescent="0.25">
      <c r="B1030" s="2">
        <f>+B1029</f>
        <v>24</v>
      </c>
      <c r="C1030" s="4">
        <v>1018.4290000000001</v>
      </c>
      <c r="D1030" s="4">
        <v>735.71299999999997</v>
      </c>
      <c r="E1030" s="79">
        <v>345.56</v>
      </c>
      <c r="F1030" s="79">
        <f>SUM(BASE_DATOS[[#This Row],[Capital($)]:[Interés
Resarcitorio($)]])</f>
        <v>2099.7020000000002</v>
      </c>
      <c r="G1030" s="8">
        <v>44891</v>
      </c>
      <c r="H1030" s="80" t="s">
        <v>56</v>
      </c>
      <c r="I1030" s="79" t="s">
        <v>7</v>
      </c>
      <c r="J1030" s="81">
        <v>60</v>
      </c>
      <c r="K1030" t="s">
        <v>46</v>
      </c>
    </row>
    <row r="1031" spans="2:11" x14ac:dyDescent="0.25">
      <c r="B1031" s="2">
        <v>25</v>
      </c>
      <c r="C1031" s="4">
        <v>1018.4290000000001</v>
      </c>
      <c r="D1031" s="4">
        <v>793.86500000000001</v>
      </c>
      <c r="E1031" s="79">
        <v>0</v>
      </c>
      <c r="F1031" s="79">
        <f>SUM(BASE_DATOS[[#This Row],[Capital($)]:[Interés
Resarcitorio($)]])</f>
        <v>1812.2940000000001</v>
      </c>
      <c r="G1031" s="8">
        <v>44911</v>
      </c>
      <c r="H1031" s="80" t="s">
        <v>56</v>
      </c>
      <c r="I1031" s="79" t="s">
        <v>9</v>
      </c>
      <c r="J1031" s="81">
        <v>60</v>
      </c>
      <c r="K1031" t="s">
        <v>46</v>
      </c>
    </row>
    <row r="1032" spans="2:11" x14ac:dyDescent="0.25">
      <c r="B1032" s="2">
        <f>+B1031</f>
        <v>25</v>
      </c>
      <c r="C1032" s="4">
        <v>1018.4290000000001</v>
      </c>
      <c r="D1032" s="4">
        <v>793.86500000000001</v>
      </c>
      <c r="E1032" s="79">
        <v>357.02</v>
      </c>
      <c r="F1032" s="79">
        <f>SUM(BASE_DATOS[[#This Row],[Capital($)]:[Interés
Resarcitorio($)]])</f>
        <v>2169.3140000000003</v>
      </c>
      <c r="G1032" s="8">
        <v>44921</v>
      </c>
      <c r="H1032" s="80" t="s">
        <v>56</v>
      </c>
      <c r="I1032" s="79" t="s">
        <v>7</v>
      </c>
      <c r="J1032" s="81">
        <v>60</v>
      </c>
      <c r="K1032" t="s">
        <v>46</v>
      </c>
    </row>
    <row r="1033" spans="2:11" x14ac:dyDescent="0.25">
      <c r="B1033" s="2">
        <v>26</v>
      </c>
      <c r="C1033" s="4">
        <v>1018.4290000000001</v>
      </c>
      <c r="D1033" s="4">
        <v>852.01800000000003</v>
      </c>
      <c r="E1033" s="79">
        <v>0</v>
      </c>
      <c r="F1033" s="79">
        <f>SUM(BASE_DATOS[[#This Row],[Capital($)]:[Interés
Resarcitorio($)]])</f>
        <v>1870.4470000000001</v>
      </c>
      <c r="G1033" s="8">
        <v>44942</v>
      </c>
      <c r="H1033" s="80" t="s">
        <v>56</v>
      </c>
      <c r="I1033" s="79" t="s">
        <v>9</v>
      </c>
      <c r="J1033" s="81">
        <v>60</v>
      </c>
      <c r="K1033" t="s">
        <v>46</v>
      </c>
    </row>
    <row r="1034" spans="2:11" x14ac:dyDescent="0.25">
      <c r="B1034" s="2">
        <f>+B1033</f>
        <v>26</v>
      </c>
      <c r="C1034" s="4">
        <v>1018.4290000000001</v>
      </c>
      <c r="D1034" s="4">
        <v>852.01800000000003</v>
      </c>
      <c r="E1034" s="79">
        <v>368.48</v>
      </c>
      <c r="F1034" s="79">
        <f>SUM(BASE_DATOS[[#This Row],[Capital($)]:[Interés
Resarcitorio($)]])</f>
        <v>2238.9270000000001</v>
      </c>
      <c r="G1034" s="8">
        <v>44952</v>
      </c>
      <c r="H1034" s="80" t="s">
        <v>56</v>
      </c>
      <c r="I1034" s="79" t="s">
        <v>7</v>
      </c>
      <c r="J1034" s="81">
        <v>60</v>
      </c>
      <c r="K1034" t="s">
        <v>46</v>
      </c>
    </row>
    <row r="1035" spans="2:11" x14ac:dyDescent="0.25">
      <c r="B1035" s="2">
        <v>27</v>
      </c>
      <c r="C1035" s="4">
        <v>1018.4290000000001</v>
      </c>
      <c r="D1035" s="4">
        <v>910.17000000000007</v>
      </c>
      <c r="E1035" s="79">
        <v>0</v>
      </c>
      <c r="F1035" s="79">
        <f>SUM(BASE_DATOS[[#This Row],[Capital($)]:[Interés
Resarcitorio($)]])</f>
        <v>1928.5990000000002</v>
      </c>
      <c r="G1035" s="8">
        <v>44973</v>
      </c>
      <c r="H1035" s="80" t="s">
        <v>56</v>
      </c>
      <c r="I1035" s="79" t="s">
        <v>9</v>
      </c>
      <c r="J1035" s="81">
        <v>60</v>
      </c>
      <c r="K1035" t="s">
        <v>46</v>
      </c>
    </row>
    <row r="1036" spans="2:11" x14ac:dyDescent="0.25">
      <c r="B1036" s="2">
        <f>+B1035</f>
        <v>27</v>
      </c>
      <c r="C1036" s="4">
        <v>1018.4290000000001</v>
      </c>
      <c r="D1036" s="4">
        <v>910.17000000000007</v>
      </c>
      <c r="E1036" s="79">
        <v>379.93</v>
      </c>
      <c r="F1036" s="79">
        <f>SUM(BASE_DATOS[[#This Row],[Capital($)]:[Interés
Resarcitorio($)]])</f>
        <v>2308.529</v>
      </c>
      <c r="G1036" s="8">
        <v>44983</v>
      </c>
      <c r="H1036" s="80" t="s">
        <v>56</v>
      </c>
      <c r="I1036" s="79" t="s">
        <v>7</v>
      </c>
      <c r="J1036" s="81">
        <v>60</v>
      </c>
      <c r="K1036" t="s">
        <v>46</v>
      </c>
    </row>
    <row r="1037" spans="2:11" x14ac:dyDescent="0.25">
      <c r="B1037" s="2">
        <v>28</v>
      </c>
      <c r="C1037" s="4">
        <v>1018.4290000000001</v>
      </c>
      <c r="D1037" s="4">
        <v>968.32299999999998</v>
      </c>
      <c r="E1037" s="79">
        <v>0</v>
      </c>
      <c r="F1037" s="79">
        <f>SUM(BASE_DATOS[[#This Row],[Capital($)]:[Interés
Resarcitorio($)]])</f>
        <v>1986.752</v>
      </c>
      <c r="G1037" s="8">
        <v>45001</v>
      </c>
      <c r="H1037" s="80" t="s">
        <v>56</v>
      </c>
      <c r="I1037" s="79" t="s">
        <v>9</v>
      </c>
      <c r="J1037" s="81">
        <v>60</v>
      </c>
      <c r="K1037" t="s">
        <v>46</v>
      </c>
    </row>
    <row r="1038" spans="2:11" x14ac:dyDescent="0.25">
      <c r="B1038" s="2">
        <f>+B1037</f>
        <v>28</v>
      </c>
      <c r="C1038" s="4">
        <v>1018.4290000000001</v>
      </c>
      <c r="D1038" s="4">
        <v>968.32299999999998</v>
      </c>
      <c r="E1038" s="79">
        <v>391.39</v>
      </c>
      <c r="F1038" s="79">
        <f>SUM(BASE_DATOS[[#This Row],[Capital($)]:[Interés
Resarcitorio($)]])</f>
        <v>2378.1419999999998</v>
      </c>
      <c r="G1038" s="8">
        <v>45011</v>
      </c>
      <c r="H1038" s="80" t="s">
        <v>56</v>
      </c>
      <c r="I1038" s="79" t="s">
        <v>7</v>
      </c>
      <c r="J1038" s="81">
        <v>60</v>
      </c>
      <c r="K1038" t="s">
        <v>46</v>
      </c>
    </row>
    <row r="1039" spans="2:11" x14ac:dyDescent="0.25">
      <c r="B1039" s="2">
        <v>29</v>
      </c>
      <c r="C1039" s="4">
        <v>1018.4290000000001</v>
      </c>
      <c r="D1039" s="4">
        <v>1026.4739999999999</v>
      </c>
      <c r="E1039" s="79">
        <v>0</v>
      </c>
      <c r="F1039" s="79">
        <f>SUM(BASE_DATOS[[#This Row],[Capital($)]:[Interés
Resarcitorio($)]])</f>
        <v>2044.903</v>
      </c>
      <c r="G1039" s="8">
        <v>45032</v>
      </c>
      <c r="H1039" s="80" t="s">
        <v>56</v>
      </c>
      <c r="I1039" s="79" t="s">
        <v>9</v>
      </c>
      <c r="J1039" s="81">
        <v>60</v>
      </c>
      <c r="K1039" t="s">
        <v>46</v>
      </c>
    </row>
    <row r="1040" spans="2:11" x14ac:dyDescent="0.25">
      <c r="B1040" s="2">
        <f>+B1039</f>
        <v>29</v>
      </c>
      <c r="C1040" s="4">
        <v>1018.4290000000001</v>
      </c>
      <c r="D1040" s="4">
        <v>1026.4739999999999</v>
      </c>
      <c r="E1040" s="79">
        <v>402.84</v>
      </c>
      <c r="F1040" s="79">
        <f>SUM(BASE_DATOS[[#This Row],[Capital($)]:[Interés
Resarcitorio($)]])</f>
        <v>2447.7429999999999</v>
      </c>
      <c r="G1040" s="8">
        <v>45042</v>
      </c>
      <c r="H1040" s="80" t="s">
        <v>56</v>
      </c>
      <c r="I1040" s="79" t="s">
        <v>7</v>
      </c>
      <c r="J1040" s="81">
        <v>60</v>
      </c>
      <c r="K1040" t="s">
        <v>46</v>
      </c>
    </row>
    <row r="1041" spans="2:11" x14ac:dyDescent="0.25">
      <c r="B1041" s="2">
        <v>30</v>
      </c>
      <c r="C1041" s="4">
        <v>1018.4290000000001</v>
      </c>
      <c r="D1041" s="4">
        <v>1084.627</v>
      </c>
      <c r="E1041" s="79">
        <v>0</v>
      </c>
      <c r="F1041" s="79">
        <f>SUM(BASE_DATOS[[#This Row],[Capital($)]:[Interés
Resarcitorio($)]])</f>
        <v>2103.056</v>
      </c>
      <c r="G1041" s="8">
        <v>45062</v>
      </c>
      <c r="H1041" s="80" t="s">
        <v>56</v>
      </c>
      <c r="I1041" s="79" t="s">
        <v>9</v>
      </c>
      <c r="J1041" s="81">
        <v>60</v>
      </c>
      <c r="K1041" t="s">
        <v>46</v>
      </c>
    </row>
    <row r="1042" spans="2:11" x14ac:dyDescent="0.25">
      <c r="B1042" s="2">
        <f>+B1041</f>
        <v>30</v>
      </c>
      <c r="C1042" s="4">
        <v>1018.4290000000001</v>
      </c>
      <c r="D1042" s="4">
        <v>1084.627</v>
      </c>
      <c r="E1042" s="79">
        <v>414.3</v>
      </c>
      <c r="F1042" s="79">
        <f>SUM(BASE_DATOS[[#This Row],[Capital($)]:[Interés
Resarcitorio($)]])</f>
        <v>2517.3560000000002</v>
      </c>
      <c r="G1042" s="8">
        <v>45072</v>
      </c>
      <c r="H1042" s="80" t="s">
        <v>56</v>
      </c>
      <c r="I1042" s="79" t="s">
        <v>7</v>
      </c>
      <c r="J1042" s="81">
        <v>60</v>
      </c>
      <c r="K1042" t="s">
        <v>46</v>
      </c>
    </row>
    <row r="1043" spans="2:11" x14ac:dyDescent="0.25">
      <c r="B1043" s="2">
        <v>31</v>
      </c>
      <c r="C1043" s="4">
        <v>1018.4290000000001</v>
      </c>
      <c r="D1043" s="4">
        <v>1162.8420000000001</v>
      </c>
      <c r="E1043" s="79">
        <v>0</v>
      </c>
      <c r="F1043" s="79">
        <f>SUM(BASE_DATOS[[#This Row],[Capital($)]:[Interés
Resarcitorio($)]])</f>
        <v>2181.2710000000002</v>
      </c>
      <c r="G1043" s="8">
        <v>45093</v>
      </c>
      <c r="H1043" s="80" t="s">
        <v>56</v>
      </c>
      <c r="I1043" s="79" t="s">
        <v>9</v>
      </c>
      <c r="J1043" s="81">
        <v>60</v>
      </c>
      <c r="K1043" t="s">
        <v>46</v>
      </c>
    </row>
    <row r="1044" spans="2:11" x14ac:dyDescent="0.25">
      <c r="B1044" s="2">
        <f>+B1043</f>
        <v>31</v>
      </c>
      <c r="C1044" s="4">
        <v>1018.4290000000001</v>
      </c>
      <c r="D1044" s="4">
        <v>1162.8420000000001</v>
      </c>
      <c r="E1044" s="79">
        <v>429.71</v>
      </c>
      <c r="F1044" s="79">
        <f>SUM(BASE_DATOS[[#This Row],[Capital($)]:[Interés
Resarcitorio($)]])</f>
        <v>2610.9810000000002</v>
      </c>
      <c r="G1044" s="8">
        <v>45103</v>
      </c>
      <c r="H1044" s="80" t="s">
        <v>56</v>
      </c>
      <c r="I1044" s="79" t="s">
        <v>7</v>
      </c>
      <c r="J1044" s="81">
        <v>60</v>
      </c>
      <c r="K1044" t="s">
        <v>46</v>
      </c>
    </row>
    <row r="1045" spans="2:11" x14ac:dyDescent="0.25">
      <c r="B1045" s="2">
        <v>32</v>
      </c>
      <c r="C1045" s="4">
        <v>1018.4290000000001</v>
      </c>
      <c r="D1045" s="4">
        <v>1241.058</v>
      </c>
      <c r="E1045" s="79">
        <v>0</v>
      </c>
      <c r="F1045" s="79">
        <f>SUM(BASE_DATOS[[#This Row],[Capital($)]:[Interés
Resarcitorio($)]])</f>
        <v>2259.4870000000001</v>
      </c>
      <c r="G1045" s="8">
        <v>45123</v>
      </c>
      <c r="H1045" s="80" t="s">
        <v>56</v>
      </c>
      <c r="I1045" s="79" t="s">
        <v>9</v>
      </c>
      <c r="J1045" s="81">
        <v>60</v>
      </c>
      <c r="K1045" t="s">
        <v>46</v>
      </c>
    </row>
    <row r="1046" spans="2:11" x14ac:dyDescent="0.25">
      <c r="B1046" s="2">
        <f>+B1045</f>
        <v>32</v>
      </c>
      <c r="C1046" s="4">
        <v>1018.4290000000001</v>
      </c>
      <c r="D1046" s="4">
        <v>1241.058</v>
      </c>
      <c r="E1046" s="79">
        <v>445.12</v>
      </c>
      <c r="F1046" s="79">
        <f>SUM(BASE_DATOS[[#This Row],[Capital($)]:[Interés
Resarcitorio($)]])</f>
        <v>2704.607</v>
      </c>
      <c r="G1046" s="8">
        <v>45133</v>
      </c>
      <c r="H1046" s="80" t="s">
        <v>56</v>
      </c>
      <c r="I1046" s="79" t="s">
        <v>7</v>
      </c>
      <c r="J1046" s="81">
        <v>60</v>
      </c>
      <c r="K1046" t="s">
        <v>46</v>
      </c>
    </row>
    <row r="1047" spans="2:11" x14ac:dyDescent="0.25">
      <c r="B1047" s="2">
        <v>33</v>
      </c>
      <c r="C1047" s="4">
        <v>1018.4290000000001</v>
      </c>
      <c r="D1047" s="4">
        <v>1319.2729999999999</v>
      </c>
      <c r="E1047" s="79">
        <v>0</v>
      </c>
      <c r="F1047" s="79">
        <f>SUM(BASE_DATOS[[#This Row],[Capital($)]:[Interés
Resarcitorio($)]])</f>
        <v>2337.7020000000002</v>
      </c>
      <c r="G1047" s="8">
        <v>45154</v>
      </c>
      <c r="H1047" s="80" t="s">
        <v>56</v>
      </c>
      <c r="I1047" s="79" t="s">
        <v>9</v>
      </c>
      <c r="J1047" s="81">
        <v>60</v>
      </c>
      <c r="K1047" t="s">
        <v>46</v>
      </c>
    </row>
    <row r="1048" spans="2:11" x14ac:dyDescent="0.25">
      <c r="B1048" s="2">
        <f>+B1047</f>
        <v>33</v>
      </c>
      <c r="C1048" s="4">
        <v>1018.4290000000001</v>
      </c>
      <c r="D1048" s="4">
        <v>1319.2729999999999</v>
      </c>
      <c r="E1048" s="79">
        <v>460.53</v>
      </c>
      <c r="F1048" s="79">
        <f>SUM(BASE_DATOS[[#This Row],[Capital($)]:[Interés
Resarcitorio($)]])</f>
        <v>2798.232</v>
      </c>
      <c r="G1048" s="8">
        <v>45164</v>
      </c>
      <c r="H1048" s="80" t="s">
        <v>56</v>
      </c>
      <c r="I1048" s="79" t="s">
        <v>7</v>
      </c>
      <c r="J1048" s="81">
        <v>60</v>
      </c>
      <c r="K1048" t="s">
        <v>46</v>
      </c>
    </row>
    <row r="1049" spans="2:11" x14ac:dyDescent="0.25">
      <c r="B1049" s="2">
        <v>34</v>
      </c>
      <c r="C1049" s="4">
        <v>1018.4290000000001</v>
      </c>
      <c r="D1049" s="4">
        <v>1397.4879999999998</v>
      </c>
      <c r="E1049" s="79">
        <v>0</v>
      </c>
      <c r="F1049" s="79">
        <f>SUM(BASE_DATOS[[#This Row],[Capital($)]:[Interés
Resarcitorio($)]])</f>
        <v>2415.9169999999999</v>
      </c>
      <c r="G1049" s="8">
        <v>45185</v>
      </c>
      <c r="H1049" s="80" t="s">
        <v>56</v>
      </c>
      <c r="I1049" s="79" t="s">
        <v>9</v>
      </c>
      <c r="J1049" s="81">
        <v>60</v>
      </c>
      <c r="K1049" t="s">
        <v>46</v>
      </c>
    </row>
    <row r="1050" spans="2:11" x14ac:dyDescent="0.25">
      <c r="B1050" s="2">
        <f>+B1049</f>
        <v>34</v>
      </c>
      <c r="C1050" s="4">
        <v>1018.4290000000001</v>
      </c>
      <c r="D1050" s="4">
        <v>1397.4879999999998</v>
      </c>
      <c r="E1050" s="79">
        <v>475.94</v>
      </c>
      <c r="F1050" s="79">
        <f>SUM(BASE_DATOS[[#This Row],[Capital($)]:[Interés
Resarcitorio($)]])</f>
        <v>2891.857</v>
      </c>
      <c r="G1050" s="8">
        <v>45195</v>
      </c>
      <c r="H1050" s="80" t="s">
        <v>56</v>
      </c>
      <c r="I1050" s="79" t="s">
        <v>7</v>
      </c>
      <c r="J1050" s="81">
        <v>60</v>
      </c>
      <c r="K1050" t="s">
        <v>46</v>
      </c>
    </row>
    <row r="1051" spans="2:11" x14ac:dyDescent="0.25">
      <c r="B1051" s="2">
        <v>35</v>
      </c>
      <c r="C1051" s="4">
        <v>1018.4290000000001</v>
      </c>
      <c r="D1051" s="4">
        <v>1475.7040000000002</v>
      </c>
      <c r="E1051" s="79">
        <v>0</v>
      </c>
      <c r="F1051" s="79">
        <f>SUM(BASE_DATOS[[#This Row],[Capital($)]:[Interés
Resarcitorio($)]])</f>
        <v>2494.1330000000003</v>
      </c>
      <c r="G1051" s="8">
        <v>45215</v>
      </c>
      <c r="H1051" s="80" t="s">
        <v>56</v>
      </c>
      <c r="I1051" s="79" t="s">
        <v>9</v>
      </c>
      <c r="J1051" s="81">
        <v>60</v>
      </c>
      <c r="K1051" t="s">
        <v>46</v>
      </c>
    </row>
    <row r="1052" spans="2:11" x14ac:dyDescent="0.25">
      <c r="B1052" s="2">
        <f>+B1051</f>
        <v>35</v>
      </c>
      <c r="C1052" s="4">
        <v>1018.4290000000001</v>
      </c>
      <c r="D1052" s="4">
        <v>1475.7040000000002</v>
      </c>
      <c r="E1052" s="79">
        <v>491.34</v>
      </c>
      <c r="F1052" s="79">
        <f>SUM(BASE_DATOS[[#This Row],[Capital($)]:[Interés
Resarcitorio($)]])</f>
        <v>2985.4730000000004</v>
      </c>
      <c r="G1052" s="8">
        <v>45225</v>
      </c>
      <c r="H1052" s="80" t="s">
        <v>56</v>
      </c>
      <c r="I1052" s="79" t="s">
        <v>7</v>
      </c>
      <c r="J1052" s="81">
        <v>60</v>
      </c>
      <c r="K1052" t="s">
        <v>46</v>
      </c>
    </row>
    <row r="1053" spans="2:11" x14ac:dyDescent="0.25">
      <c r="B1053" s="2">
        <v>36</v>
      </c>
      <c r="C1053" s="4">
        <v>1018.4290000000001</v>
      </c>
      <c r="D1053" s="4">
        <v>1553.9190000000001</v>
      </c>
      <c r="E1053" s="79">
        <v>0</v>
      </c>
      <c r="F1053" s="79">
        <f>SUM(BASE_DATOS[[#This Row],[Capital($)]:[Interés
Resarcitorio($)]])</f>
        <v>2572.348</v>
      </c>
      <c r="G1053" s="8">
        <v>45246</v>
      </c>
      <c r="H1053" s="80" t="s">
        <v>56</v>
      </c>
      <c r="I1053" s="79" t="s">
        <v>9</v>
      </c>
      <c r="J1053" s="81">
        <v>60</v>
      </c>
      <c r="K1053" t="s">
        <v>46</v>
      </c>
    </row>
    <row r="1054" spans="2:11" x14ac:dyDescent="0.25">
      <c r="B1054" s="2">
        <f>+B1053</f>
        <v>36</v>
      </c>
      <c r="C1054" s="4">
        <v>1018.4290000000001</v>
      </c>
      <c r="D1054" s="4">
        <v>1553.9190000000001</v>
      </c>
      <c r="E1054" s="79">
        <v>506.75</v>
      </c>
      <c r="F1054" s="79">
        <f>SUM(BASE_DATOS[[#This Row],[Capital($)]:[Interés
Resarcitorio($)]])</f>
        <v>3079.098</v>
      </c>
      <c r="G1054" s="8">
        <v>45256</v>
      </c>
      <c r="H1054" s="80" t="s">
        <v>56</v>
      </c>
      <c r="I1054" s="79" t="s">
        <v>7</v>
      </c>
      <c r="J1054" s="81">
        <v>60</v>
      </c>
      <c r="K1054" t="s">
        <v>46</v>
      </c>
    </row>
    <row r="1055" spans="2:11" x14ac:dyDescent="0.25">
      <c r="B1055" s="2">
        <v>37</v>
      </c>
      <c r="C1055" s="4">
        <v>1018.4290000000001</v>
      </c>
      <c r="D1055" s="4">
        <v>1663.604</v>
      </c>
      <c r="E1055" s="79">
        <v>0</v>
      </c>
      <c r="F1055" s="79">
        <f>SUM(BASE_DATOS[[#This Row],[Capital($)]:[Interés
Resarcitorio($)]])</f>
        <v>2682.0330000000004</v>
      </c>
      <c r="G1055" s="8">
        <v>45276</v>
      </c>
      <c r="H1055" s="80" t="s">
        <v>56</v>
      </c>
      <c r="I1055" s="79" t="s">
        <v>9</v>
      </c>
      <c r="J1055" s="81">
        <v>60</v>
      </c>
      <c r="K1055" t="s">
        <v>46</v>
      </c>
    </row>
    <row r="1056" spans="2:11" x14ac:dyDescent="0.25">
      <c r="B1056" s="2">
        <f>+B1055</f>
        <v>37</v>
      </c>
      <c r="C1056" s="4">
        <v>1018.4290000000001</v>
      </c>
      <c r="D1056" s="4">
        <v>1663.604</v>
      </c>
      <c r="E1056" s="79">
        <v>528.36</v>
      </c>
      <c r="F1056" s="79">
        <f>SUM(BASE_DATOS[[#This Row],[Capital($)]:[Interés
Resarcitorio($)]])</f>
        <v>3210.3930000000005</v>
      </c>
      <c r="G1056" s="8">
        <v>45286</v>
      </c>
      <c r="H1056" s="80" t="s">
        <v>56</v>
      </c>
      <c r="I1056" s="79" t="s">
        <v>7</v>
      </c>
      <c r="J1056" s="81">
        <v>60</v>
      </c>
      <c r="K1056" t="s">
        <v>46</v>
      </c>
    </row>
    <row r="1057" spans="2:11" x14ac:dyDescent="0.25">
      <c r="B1057" s="2">
        <v>38</v>
      </c>
      <c r="C1057" s="4">
        <v>1018.4290000000001</v>
      </c>
      <c r="D1057" s="4">
        <v>1773.289</v>
      </c>
      <c r="E1057" s="79">
        <v>0</v>
      </c>
      <c r="F1057" s="79">
        <f>SUM(BASE_DATOS[[#This Row],[Capital($)]:[Interés
Resarcitorio($)]])</f>
        <v>2791.7179999999998</v>
      </c>
      <c r="G1057" s="8">
        <v>45307</v>
      </c>
      <c r="H1057" s="80" t="s">
        <v>56</v>
      </c>
      <c r="I1057" s="79" t="s">
        <v>9</v>
      </c>
      <c r="J1057" s="81">
        <v>60</v>
      </c>
      <c r="K1057" t="s">
        <v>46</v>
      </c>
    </row>
    <row r="1058" spans="2:11" x14ac:dyDescent="0.25">
      <c r="B1058" s="2">
        <f>+B1057</f>
        <v>38</v>
      </c>
      <c r="C1058" s="4">
        <v>1018.4290000000001</v>
      </c>
      <c r="D1058" s="4">
        <v>1773.289</v>
      </c>
      <c r="E1058" s="79">
        <v>549.97</v>
      </c>
      <c r="F1058" s="79">
        <f>SUM(BASE_DATOS[[#This Row],[Capital($)]:[Interés
Resarcitorio($)]])</f>
        <v>3341.6880000000001</v>
      </c>
      <c r="G1058" s="8">
        <v>45317</v>
      </c>
      <c r="H1058" s="80" t="s">
        <v>56</v>
      </c>
      <c r="I1058" s="79" t="s">
        <v>7</v>
      </c>
      <c r="J1058" s="81">
        <v>60</v>
      </c>
      <c r="K1058" t="s">
        <v>46</v>
      </c>
    </row>
    <row r="1059" spans="2:11" x14ac:dyDescent="0.25">
      <c r="B1059" s="2">
        <v>39</v>
      </c>
      <c r="C1059" s="4">
        <v>1018.4290000000001</v>
      </c>
      <c r="D1059" s="4">
        <v>1882.973</v>
      </c>
      <c r="E1059" s="79">
        <v>0</v>
      </c>
      <c r="F1059" s="79">
        <f>SUM(BASE_DATOS[[#This Row],[Capital($)]:[Interés
Resarcitorio($)]])</f>
        <v>2901.402</v>
      </c>
      <c r="G1059" s="8">
        <v>45338</v>
      </c>
      <c r="H1059" s="80" t="s">
        <v>56</v>
      </c>
      <c r="I1059" s="79" t="s">
        <v>9</v>
      </c>
      <c r="J1059" s="81">
        <v>60</v>
      </c>
      <c r="K1059" t="s">
        <v>46</v>
      </c>
    </row>
    <row r="1060" spans="2:11" x14ac:dyDescent="0.25">
      <c r="B1060" s="2">
        <f>+B1059</f>
        <v>39</v>
      </c>
      <c r="C1060" s="4">
        <v>1018.4290000000001</v>
      </c>
      <c r="D1060" s="4">
        <v>1882.973</v>
      </c>
      <c r="E1060" s="79">
        <v>1476.82</v>
      </c>
      <c r="F1060" s="79">
        <f>SUM(BASE_DATOS[[#This Row],[Capital($)]:[Interés
Resarcitorio($)]])</f>
        <v>4378.2219999999998</v>
      </c>
      <c r="G1060" s="8">
        <v>45348</v>
      </c>
      <c r="H1060" s="80" t="s">
        <v>56</v>
      </c>
      <c r="I1060" s="79" t="s">
        <v>7</v>
      </c>
      <c r="J1060" s="81">
        <v>60</v>
      </c>
      <c r="K1060" t="s">
        <v>46</v>
      </c>
    </row>
    <row r="1061" spans="2:11" x14ac:dyDescent="0.25">
      <c r="B1061" s="2">
        <v>40</v>
      </c>
      <c r="C1061" s="4">
        <v>1018.4290000000001</v>
      </c>
      <c r="D1061" s="4">
        <v>1992.6580000000001</v>
      </c>
      <c r="E1061" s="79">
        <v>0</v>
      </c>
      <c r="F1061" s="79">
        <f>SUM(BASE_DATOS[[#This Row],[Capital($)]:[Interés
Resarcitorio($)]])</f>
        <v>3011.0870000000004</v>
      </c>
      <c r="G1061" s="8">
        <v>45367</v>
      </c>
      <c r="H1061" s="80" t="s">
        <v>56</v>
      </c>
      <c r="I1061" s="79" t="s">
        <v>9</v>
      </c>
      <c r="J1061" s="81">
        <v>60</v>
      </c>
      <c r="K1061" t="s">
        <v>46</v>
      </c>
    </row>
    <row r="1062" spans="2:11" x14ac:dyDescent="0.25">
      <c r="B1062" s="2">
        <f>+B1061</f>
        <v>40</v>
      </c>
      <c r="C1062" s="4">
        <v>1018.4290000000001</v>
      </c>
      <c r="D1062" s="4">
        <v>1992.6580000000001</v>
      </c>
      <c r="E1062" s="79">
        <v>1532.64</v>
      </c>
      <c r="F1062" s="79">
        <f>SUM(BASE_DATOS[[#This Row],[Capital($)]:[Interés
Resarcitorio($)]])</f>
        <v>4543.7270000000008</v>
      </c>
      <c r="G1062" s="8">
        <v>45377</v>
      </c>
      <c r="H1062" s="80" t="s">
        <v>56</v>
      </c>
      <c r="I1062" s="79" t="s">
        <v>7</v>
      </c>
      <c r="J1062" s="81">
        <v>60</v>
      </c>
      <c r="K1062" t="s">
        <v>46</v>
      </c>
    </row>
    <row r="1063" spans="2:11" x14ac:dyDescent="0.25">
      <c r="B1063" s="2">
        <v>41</v>
      </c>
      <c r="C1063" s="4">
        <v>1018.4290000000001</v>
      </c>
      <c r="D1063" s="4">
        <v>2102.3429999999998</v>
      </c>
      <c r="E1063" s="79">
        <v>0</v>
      </c>
      <c r="F1063" s="79">
        <f>SUM(BASE_DATOS[[#This Row],[Capital($)]:[Interés
Resarcitorio($)]])</f>
        <v>3120.7719999999999</v>
      </c>
      <c r="G1063" s="8">
        <v>45398</v>
      </c>
      <c r="H1063" s="80" t="s">
        <v>56</v>
      </c>
      <c r="I1063" s="79" t="s">
        <v>9</v>
      </c>
      <c r="J1063" s="81">
        <v>60</v>
      </c>
      <c r="K1063" t="s">
        <v>46</v>
      </c>
    </row>
    <row r="1064" spans="2:11" x14ac:dyDescent="0.25">
      <c r="B1064" s="2">
        <f>+B1063</f>
        <v>41</v>
      </c>
      <c r="C1064" s="4">
        <v>1018.4290000000001</v>
      </c>
      <c r="D1064" s="4">
        <v>2102.3429999999998</v>
      </c>
      <c r="E1064" s="79">
        <v>1255.5899999999999</v>
      </c>
      <c r="F1064" s="79">
        <f>SUM(BASE_DATOS[[#This Row],[Capital($)]:[Interés
Resarcitorio($)]])</f>
        <v>4376.3620000000001</v>
      </c>
      <c r="G1064" s="8">
        <v>45408</v>
      </c>
      <c r="H1064" s="80" t="s">
        <v>56</v>
      </c>
      <c r="I1064" s="79" t="s">
        <v>7</v>
      </c>
      <c r="J1064" s="81">
        <v>60</v>
      </c>
      <c r="K1064" t="s">
        <v>46</v>
      </c>
    </row>
    <row r="1065" spans="2:11" x14ac:dyDescent="0.25">
      <c r="B1065" s="2">
        <v>42</v>
      </c>
      <c r="C1065" s="4">
        <v>1018.4290000000001</v>
      </c>
      <c r="D1065" s="4">
        <v>2212.0279999999998</v>
      </c>
      <c r="E1065" s="79">
        <v>0</v>
      </c>
      <c r="F1065" s="79">
        <f>SUM(BASE_DATOS[[#This Row],[Capital($)]:[Interés
Resarcitorio($)]])</f>
        <v>3230.4569999999999</v>
      </c>
      <c r="G1065" s="8">
        <v>45428</v>
      </c>
      <c r="H1065" s="80" t="s">
        <v>56</v>
      </c>
      <c r="I1065" s="79" t="s">
        <v>9</v>
      </c>
      <c r="J1065" s="81">
        <v>60</v>
      </c>
      <c r="K1065" t="s">
        <v>46</v>
      </c>
    </row>
    <row r="1066" spans="2:11" x14ac:dyDescent="0.25">
      <c r="B1066" s="2">
        <f>+B1065</f>
        <v>42</v>
      </c>
      <c r="C1066" s="4">
        <v>1018.4290000000001</v>
      </c>
      <c r="D1066" s="4">
        <v>2212.0279999999998</v>
      </c>
      <c r="E1066" s="79">
        <v>1299.72</v>
      </c>
      <c r="F1066" s="79">
        <f>SUM(BASE_DATOS[[#This Row],[Capital($)]:[Interés
Resarcitorio($)]])</f>
        <v>4530.1769999999997</v>
      </c>
      <c r="G1066" s="8">
        <v>45438</v>
      </c>
      <c r="H1066" s="80" t="s">
        <v>56</v>
      </c>
      <c r="I1066" s="79" t="s">
        <v>7</v>
      </c>
      <c r="J1066" s="81">
        <v>60</v>
      </c>
      <c r="K1066" t="s">
        <v>46</v>
      </c>
    </row>
    <row r="1067" spans="2:11" x14ac:dyDescent="0.25">
      <c r="B1067" s="2">
        <v>43</v>
      </c>
      <c r="C1067" s="4">
        <v>1018.4290000000001</v>
      </c>
      <c r="D1067" s="4">
        <v>2239.1179999999999</v>
      </c>
      <c r="E1067" s="79">
        <v>0</v>
      </c>
      <c r="F1067" s="79">
        <f>SUM(BASE_DATOS[[#This Row],[Capital($)]:[Interés
Resarcitorio($)]])</f>
        <v>3257.547</v>
      </c>
      <c r="G1067" s="8">
        <v>45459</v>
      </c>
      <c r="H1067" s="80" t="s">
        <v>56</v>
      </c>
      <c r="I1067" s="79" t="s">
        <v>9</v>
      </c>
      <c r="J1067" s="81">
        <v>60</v>
      </c>
      <c r="K1067" t="s">
        <v>46</v>
      </c>
    </row>
    <row r="1068" spans="2:11" x14ac:dyDescent="0.25">
      <c r="B1068" s="2">
        <f>+B1067</f>
        <v>43</v>
      </c>
      <c r="C1068" s="4">
        <v>1018.4290000000001</v>
      </c>
      <c r="D1068" s="4">
        <v>2239.1179999999999</v>
      </c>
      <c r="E1068" s="79">
        <v>696.03</v>
      </c>
      <c r="F1068" s="79">
        <f>SUM(BASE_DATOS[[#This Row],[Capital($)]:[Interés
Resarcitorio($)]])</f>
        <v>3953.5770000000002</v>
      </c>
      <c r="G1068" s="8">
        <v>45469</v>
      </c>
      <c r="H1068" s="80" t="s">
        <v>56</v>
      </c>
      <c r="I1068" s="79" t="s">
        <v>7</v>
      </c>
      <c r="J1068" s="81">
        <v>60</v>
      </c>
      <c r="K1068" t="s">
        <v>46</v>
      </c>
    </row>
    <row r="1069" spans="2:11" x14ac:dyDescent="0.25">
      <c r="B1069" s="2">
        <v>44</v>
      </c>
      <c r="C1069" s="4">
        <v>1018.4290000000001</v>
      </c>
      <c r="D1069" s="4">
        <v>2266.2080000000001</v>
      </c>
      <c r="E1069" s="79">
        <v>0</v>
      </c>
      <c r="F1069" s="79">
        <f>SUM(BASE_DATOS[[#This Row],[Capital($)]:[Interés
Resarcitorio($)]])</f>
        <v>3284.6370000000002</v>
      </c>
      <c r="G1069" s="8">
        <v>45489</v>
      </c>
      <c r="H1069" s="80" t="s">
        <v>56</v>
      </c>
      <c r="I1069" s="79" t="s">
        <v>9</v>
      </c>
      <c r="J1069" s="81">
        <v>60</v>
      </c>
      <c r="K1069" t="s">
        <v>46</v>
      </c>
    </row>
    <row r="1070" spans="2:11" x14ac:dyDescent="0.25">
      <c r="B1070" s="2">
        <f>+B1069</f>
        <v>44</v>
      </c>
      <c r="C1070" s="4">
        <v>1018.4290000000001</v>
      </c>
      <c r="D1070" s="4">
        <v>2266.2080000000001</v>
      </c>
      <c r="E1070" s="79">
        <v>701.81</v>
      </c>
      <c r="F1070" s="79">
        <f>SUM(BASE_DATOS[[#This Row],[Capital($)]:[Interés
Resarcitorio($)]])</f>
        <v>3986.4470000000001</v>
      </c>
      <c r="G1070" s="8">
        <v>45499</v>
      </c>
      <c r="H1070" s="80" t="s">
        <v>56</v>
      </c>
      <c r="I1070" s="79" t="s">
        <v>7</v>
      </c>
      <c r="J1070" s="81">
        <v>60</v>
      </c>
      <c r="K1070" t="s">
        <v>46</v>
      </c>
    </row>
    <row r="1071" spans="2:11" x14ac:dyDescent="0.25">
      <c r="B1071" s="2">
        <v>45</v>
      </c>
      <c r="C1071" s="4">
        <v>1018.4290000000001</v>
      </c>
      <c r="D1071" s="4">
        <v>2293.2979999999998</v>
      </c>
      <c r="E1071" s="79">
        <v>0</v>
      </c>
      <c r="F1071" s="79">
        <f>SUM(BASE_DATOS[[#This Row],[Capital($)]:[Interés
Resarcitorio($)]])</f>
        <v>3311.7269999999999</v>
      </c>
      <c r="G1071" s="8">
        <v>45520</v>
      </c>
      <c r="H1071" s="80" t="s">
        <v>56</v>
      </c>
      <c r="I1071" s="79" t="s">
        <v>9</v>
      </c>
      <c r="J1071" s="81">
        <v>60</v>
      </c>
      <c r="K1071" t="s">
        <v>46</v>
      </c>
    </row>
    <row r="1072" spans="2:11" x14ac:dyDescent="0.25">
      <c r="B1072" s="2">
        <f>+B1071</f>
        <v>45</v>
      </c>
      <c r="C1072" s="4">
        <v>1018.4290000000001</v>
      </c>
      <c r="D1072" s="4">
        <v>2293.2979999999998</v>
      </c>
      <c r="E1072" s="79">
        <v>707.61</v>
      </c>
      <c r="F1072" s="79">
        <f>SUM(BASE_DATOS[[#This Row],[Capital($)]:[Interés
Resarcitorio($)]])</f>
        <v>4019.337</v>
      </c>
      <c r="G1072" s="8">
        <v>45530</v>
      </c>
      <c r="H1072" s="80" t="s">
        <v>56</v>
      </c>
      <c r="I1072" s="79" t="s">
        <v>7</v>
      </c>
      <c r="J1072" s="81">
        <v>60</v>
      </c>
      <c r="K1072" t="s">
        <v>46</v>
      </c>
    </row>
    <row r="1073" spans="2:11" x14ac:dyDescent="0.25">
      <c r="B1073" s="2">
        <v>46</v>
      </c>
      <c r="C1073" s="4">
        <v>1018.4290000000001</v>
      </c>
      <c r="D1073" s="4">
        <v>2320.3890000000001</v>
      </c>
      <c r="E1073" s="79">
        <v>0</v>
      </c>
      <c r="F1073" s="79">
        <f>SUM(BASE_DATOS[[#This Row],[Capital($)]:[Interés
Resarcitorio($)]])</f>
        <v>3338.8180000000002</v>
      </c>
      <c r="G1073" s="8">
        <v>45551</v>
      </c>
      <c r="H1073" s="80" t="s">
        <v>56</v>
      </c>
      <c r="I1073" s="79" t="s">
        <v>9</v>
      </c>
      <c r="J1073" s="81">
        <v>60</v>
      </c>
      <c r="K1073" t="s">
        <v>46</v>
      </c>
    </row>
    <row r="1074" spans="2:11" x14ac:dyDescent="0.25">
      <c r="B1074" s="2">
        <f>+B1073</f>
        <v>46</v>
      </c>
      <c r="C1074" s="4">
        <v>1018.4290000000001</v>
      </c>
      <c r="D1074" s="4">
        <v>2320.3890000000001</v>
      </c>
      <c r="E1074" s="79">
        <v>713.4</v>
      </c>
      <c r="F1074" s="79">
        <f>SUM(BASE_DATOS[[#This Row],[Capital($)]:[Interés
Resarcitorio($)]])</f>
        <v>4052.2180000000003</v>
      </c>
      <c r="G1074" s="8">
        <v>45561</v>
      </c>
      <c r="H1074" s="80" t="s">
        <v>56</v>
      </c>
      <c r="I1074" s="79" t="s">
        <v>7</v>
      </c>
      <c r="J1074" s="81">
        <v>60</v>
      </c>
      <c r="K1074" t="s">
        <v>46</v>
      </c>
    </row>
    <row r="1075" spans="2:11" x14ac:dyDescent="0.25">
      <c r="B1075" s="2">
        <v>47</v>
      </c>
      <c r="C1075" s="4">
        <v>1018.4290000000001</v>
      </c>
      <c r="D1075" s="4">
        <v>2347.4790000000003</v>
      </c>
      <c r="E1075" s="79">
        <v>0</v>
      </c>
      <c r="F1075" s="79">
        <f>SUM(BASE_DATOS[[#This Row],[Capital($)]:[Interés
Resarcitorio($)]])</f>
        <v>3365.9080000000004</v>
      </c>
      <c r="G1075" s="8">
        <v>45581</v>
      </c>
      <c r="H1075" s="80" t="s">
        <v>56</v>
      </c>
      <c r="I1075" s="79" t="s">
        <v>9</v>
      </c>
      <c r="J1075" s="81">
        <v>60</v>
      </c>
      <c r="K1075" t="s">
        <v>46</v>
      </c>
    </row>
    <row r="1076" spans="2:11" x14ac:dyDescent="0.25">
      <c r="B1076" s="2">
        <f>+B1075</f>
        <v>47</v>
      </c>
      <c r="C1076" s="4">
        <v>1018.4290000000001</v>
      </c>
      <c r="D1076" s="4">
        <v>2347.4790000000003</v>
      </c>
      <c r="E1076" s="79">
        <v>719.18</v>
      </c>
      <c r="F1076" s="79">
        <f>SUM(BASE_DATOS[[#This Row],[Capital($)]:[Interés
Resarcitorio($)]])</f>
        <v>4085.0880000000002</v>
      </c>
      <c r="G1076" s="8">
        <v>45591</v>
      </c>
      <c r="H1076" s="80" t="s">
        <v>56</v>
      </c>
      <c r="I1076" s="79" t="s">
        <v>7</v>
      </c>
      <c r="J1076" s="81">
        <v>60</v>
      </c>
      <c r="K1076" t="s">
        <v>46</v>
      </c>
    </row>
    <row r="1077" spans="2:11" x14ac:dyDescent="0.25">
      <c r="B1077" s="2">
        <v>48</v>
      </c>
      <c r="C1077" s="4">
        <v>1018.4290000000001</v>
      </c>
      <c r="D1077" s="4">
        <v>2374.569</v>
      </c>
      <c r="E1077" s="79">
        <v>0</v>
      </c>
      <c r="F1077" s="79">
        <f>SUM(BASE_DATOS[[#This Row],[Capital($)]:[Interés
Resarcitorio($)]])</f>
        <v>3392.998</v>
      </c>
      <c r="G1077" s="8">
        <v>45612</v>
      </c>
      <c r="H1077" s="80" t="s">
        <v>56</v>
      </c>
      <c r="I1077" s="79" t="s">
        <v>9</v>
      </c>
      <c r="J1077" s="81">
        <v>60</v>
      </c>
      <c r="K1077" t="s">
        <v>46</v>
      </c>
    </row>
    <row r="1078" spans="2:11" x14ac:dyDescent="0.25">
      <c r="B1078" s="2">
        <f>+B1077</f>
        <v>48</v>
      </c>
      <c r="C1078" s="4">
        <v>1018.4290000000001</v>
      </c>
      <c r="D1078" s="4">
        <v>2374.569</v>
      </c>
      <c r="E1078" s="79">
        <v>724.97</v>
      </c>
      <c r="F1078" s="79">
        <f>SUM(BASE_DATOS[[#This Row],[Capital($)]:[Interés
Resarcitorio($)]])</f>
        <v>4117.9679999999998</v>
      </c>
      <c r="G1078" s="8">
        <v>45622</v>
      </c>
      <c r="H1078" s="80" t="s">
        <v>56</v>
      </c>
      <c r="I1078" s="79" t="s">
        <v>7</v>
      </c>
      <c r="J1078" s="81">
        <v>60</v>
      </c>
      <c r="K1078" t="s">
        <v>46</v>
      </c>
    </row>
    <row r="1079" spans="2:11" x14ac:dyDescent="0.25">
      <c r="B1079" s="2">
        <v>49</v>
      </c>
      <c r="C1079" s="4">
        <v>1018.4290000000001</v>
      </c>
      <c r="D1079" s="4">
        <v>2405.2240000000002</v>
      </c>
      <c r="E1079" s="79">
        <v>0</v>
      </c>
      <c r="F1079" s="79">
        <f>SUM(BASE_DATOS[[#This Row],[Capital($)]:[Interés
Resarcitorio($)]])</f>
        <v>3423.6530000000002</v>
      </c>
      <c r="G1079" s="8">
        <v>45642</v>
      </c>
      <c r="H1079" s="80" t="s">
        <v>56</v>
      </c>
      <c r="I1079" s="79" t="s">
        <v>9</v>
      </c>
      <c r="J1079" s="81">
        <v>60</v>
      </c>
      <c r="K1079" t="s">
        <v>46</v>
      </c>
    </row>
    <row r="1080" spans="2:11" x14ac:dyDescent="0.25">
      <c r="B1080" s="2">
        <f>+B1079</f>
        <v>49</v>
      </c>
      <c r="C1080" s="4">
        <v>1018.4290000000001</v>
      </c>
      <c r="D1080" s="4">
        <v>2405.2240000000002</v>
      </c>
      <c r="E1080" s="79">
        <v>852.49</v>
      </c>
      <c r="F1080" s="79">
        <f>SUM(BASE_DATOS[[#This Row],[Capital($)]:[Interés
Resarcitorio($)]])</f>
        <v>4276.143</v>
      </c>
      <c r="G1080" s="8">
        <v>45652</v>
      </c>
      <c r="H1080" s="80" t="s">
        <v>56</v>
      </c>
      <c r="I1080" s="79" t="s">
        <v>7</v>
      </c>
      <c r="J1080" s="81">
        <v>60</v>
      </c>
      <c r="K1080" t="s">
        <v>46</v>
      </c>
    </row>
    <row r="1081" spans="2:11" x14ac:dyDescent="0.25">
      <c r="B1081" s="2">
        <v>50</v>
      </c>
      <c r="C1081" s="4">
        <v>1018.4290000000001</v>
      </c>
      <c r="D1081" s="4">
        <v>2435.8779999999997</v>
      </c>
      <c r="E1081" s="79">
        <v>0</v>
      </c>
      <c r="F1081" s="79">
        <f>SUM(BASE_DATOS[[#This Row],[Capital($)]:[Interés
Resarcitorio($)]])</f>
        <v>3454.3069999999998</v>
      </c>
      <c r="G1081" s="8">
        <v>45673</v>
      </c>
      <c r="H1081" s="80" t="s">
        <v>56</v>
      </c>
      <c r="I1081" s="79" t="s">
        <v>9</v>
      </c>
      <c r="J1081" s="81">
        <v>60</v>
      </c>
      <c r="K1081" t="s">
        <v>46</v>
      </c>
    </row>
    <row r="1082" spans="2:11" x14ac:dyDescent="0.25">
      <c r="B1082" s="2">
        <f>+B1081</f>
        <v>50</v>
      </c>
      <c r="C1082" s="4">
        <v>1018.4290000000001</v>
      </c>
      <c r="D1082" s="4">
        <v>2435.8779999999997</v>
      </c>
      <c r="E1082" s="79">
        <v>860.12</v>
      </c>
      <c r="F1082" s="79">
        <f>SUM(BASE_DATOS[[#This Row],[Capital($)]:[Interés
Resarcitorio($)]])</f>
        <v>4314.4269999999997</v>
      </c>
      <c r="G1082" s="8">
        <v>45683</v>
      </c>
      <c r="H1082" s="80" t="s">
        <v>56</v>
      </c>
      <c r="I1082" s="79" t="s">
        <v>7</v>
      </c>
      <c r="J1082" s="81">
        <v>60</v>
      </c>
      <c r="K1082" t="s">
        <v>46</v>
      </c>
    </row>
    <row r="1083" spans="2:11" x14ac:dyDescent="0.25">
      <c r="B1083" s="2">
        <v>51</v>
      </c>
      <c r="C1083" s="4">
        <v>1018.4290000000001</v>
      </c>
      <c r="D1083" s="4">
        <v>2466.5330000000004</v>
      </c>
      <c r="E1083" s="79">
        <v>0</v>
      </c>
      <c r="F1083" s="79">
        <f>SUM(BASE_DATOS[[#This Row],[Capital($)]:[Interés
Resarcitorio($)]])</f>
        <v>3484.9620000000004</v>
      </c>
      <c r="G1083" s="8">
        <v>45704</v>
      </c>
      <c r="H1083" s="80" t="s">
        <v>56</v>
      </c>
      <c r="I1083" s="79" t="s">
        <v>9</v>
      </c>
      <c r="J1083" s="81">
        <v>60</v>
      </c>
      <c r="K1083" t="s">
        <v>46</v>
      </c>
    </row>
    <row r="1084" spans="2:11" x14ac:dyDescent="0.25">
      <c r="B1084" s="2">
        <f>+B1083</f>
        <v>51</v>
      </c>
      <c r="C1084" s="4">
        <v>1018.4290000000001</v>
      </c>
      <c r="D1084" s="4">
        <v>2466.5330000000004</v>
      </c>
      <c r="E1084" s="79">
        <v>843.36</v>
      </c>
      <c r="F1084" s="79">
        <f>SUM(BASE_DATOS[[#This Row],[Capital($)]:[Interés
Resarcitorio($)]])</f>
        <v>4328.3220000000001</v>
      </c>
      <c r="G1084" s="8">
        <v>45714</v>
      </c>
      <c r="H1084" s="80" t="s">
        <v>56</v>
      </c>
      <c r="I1084" s="79" t="s">
        <v>7</v>
      </c>
      <c r="J1084" s="81">
        <v>60</v>
      </c>
      <c r="K1084" t="s">
        <v>46</v>
      </c>
    </row>
    <row r="1085" spans="2:11" x14ac:dyDescent="0.25">
      <c r="B1085" s="2">
        <v>52</v>
      </c>
      <c r="C1085" s="4">
        <v>1018.4290000000001</v>
      </c>
      <c r="D1085" s="4">
        <v>2497.1880000000001</v>
      </c>
      <c r="E1085" s="79">
        <v>0</v>
      </c>
      <c r="F1085" s="79">
        <f>SUM(BASE_DATOS[[#This Row],[Capital($)]:[Interés
Resarcitorio($)]])</f>
        <v>3515.6170000000002</v>
      </c>
      <c r="G1085" s="8">
        <v>45732</v>
      </c>
      <c r="H1085" s="80" t="s">
        <v>56</v>
      </c>
      <c r="I1085" s="79" t="s">
        <v>9</v>
      </c>
      <c r="J1085" s="81">
        <v>60</v>
      </c>
      <c r="K1085" t="s">
        <v>46</v>
      </c>
    </row>
    <row r="1086" spans="2:11" x14ac:dyDescent="0.25">
      <c r="B1086" s="2">
        <f>+B1085</f>
        <v>52</v>
      </c>
      <c r="C1086" s="4">
        <v>1018.4290000000001</v>
      </c>
      <c r="D1086" s="4">
        <v>2497.1880000000001</v>
      </c>
      <c r="E1086" s="79">
        <v>468.75</v>
      </c>
      <c r="F1086" s="79">
        <f>SUM(BASE_DATOS[[#This Row],[Capital($)]:[Interés
Resarcitorio($)]])</f>
        <v>3984.3670000000002</v>
      </c>
      <c r="G1086" s="8">
        <v>45742</v>
      </c>
      <c r="H1086" s="80" t="s">
        <v>56</v>
      </c>
      <c r="I1086" s="79" t="s">
        <v>7</v>
      </c>
      <c r="J1086" s="81">
        <v>60</v>
      </c>
      <c r="K1086" t="s">
        <v>46</v>
      </c>
    </row>
    <row r="1087" spans="2:11" x14ac:dyDescent="0.25">
      <c r="B1087" s="2">
        <v>53</v>
      </c>
      <c r="C1087" s="4">
        <v>1018.4290000000001</v>
      </c>
      <c r="D1087" s="4">
        <v>2527.8429999999998</v>
      </c>
      <c r="E1087" s="79">
        <v>0</v>
      </c>
      <c r="F1087" s="79">
        <f>SUM(BASE_DATOS[[#This Row],[Capital($)]:[Interés
Resarcitorio($)]])</f>
        <v>3546.2719999999999</v>
      </c>
      <c r="G1087" s="8">
        <v>45763</v>
      </c>
      <c r="H1087" s="80" t="s">
        <v>56</v>
      </c>
      <c r="I1087" s="79" t="s">
        <v>6</v>
      </c>
      <c r="J1087" s="81">
        <v>60</v>
      </c>
      <c r="K1087" t="s">
        <v>46</v>
      </c>
    </row>
    <row r="1088" spans="2:11" x14ac:dyDescent="0.25">
      <c r="B1088" s="2">
        <f>+B1087</f>
        <v>53</v>
      </c>
      <c r="C1088" s="4">
        <v>1018.4290000000001</v>
      </c>
      <c r="D1088" s="4">
        <v>2527.8429999999998</v>
      </c>
      <c r="E1088" s="79">
        <v>472.84</v>
      </c>
      <c r="F1088" s="79">
        <f>SUM(BASE_DATOS[[#This Row],[Capital($)]:[Interés
Resarcitorio($)]])</f>
        <v>4019.1120000000001</v>
      </c>
      <c r="G1088" s="8">
        <v>45773</v>
      </c>
      <c r="H1088" s="80" t="s">
        <v>56</v>
      </c>
      <c r="I1088" s="79" t="s">
        <v>7</v>
      </c>
      <c r="J1088" s="81">
        <v>60</v>
      </c>
      <c r="K1088" t="s">
        <v>46</v>
      </c>
    </row>
    <row r="1089" spans="2:11" x14ac:dyDescent="0.25">
      <c r="B1089" s="2">
        <v>54</v>
      </c>
      <c r="C1089" s="4">
        <v>1018.4290000000001</v>
      </c>
      <c r="D1089" s="4">
        <v>2558.4970000000003</v>
      </c>
      <c r="E1089" s="79">
        <v>0</v>
      </c>
      <c r="F1089" s="79">
        <f>SUM(BASE_DATOS[[#This Row],[Capital($)]:[Interés
Resarcitorio($)]])</f>
        <v>3576.9260000000004</v>
      </c>
      <c r="G1089" s="8">
        <v>45793</v>
      </c>
      <c r="H1089" s="80" t="s">
        <v>56</v>
      </c>
      <c r="I1089" s="79" t="s">
        <v>9</v>
      </c>
      <c r="J1089" s="81">
        <v>60</v>
      </c>
      <c r="K1089" t="s">
        <v>46</v>
      </c>
    </row>
    <row r="1090" spans="2:11" x14ac:dyDescent="0.25">
      <c r="B1090" s="2">
        <f>+B1089</f>
        <v>54</v>
      </c>
      <c r="C1090" s="4">
        <v>1018.4290000000001</v>
      </c>
      <c r="D1090" s="4">
        <v>2558.4970000000003</v>
      </c>
      <c r="E1090" s="79">
        <v>476.93</v>
      </c>
      <c r="F1090" s="79">
        <f>SUM(BASE_DATOS[[#This Row],[Capital($)]:[Interés
Resarcitorio($)]])</f>
        <v>4053.8560000000002</v>
      </c>
      <c r="G1090" s="8">
        <v>45803</v>
      </c>
      <c r="H1090" s="80" t="s">
        <v>56</v>
      </c>
      <c r="I1090" s="79" t="s">
        <v>7</v>
      </c>
      <c r="J1090" s="81">
        <v>60</v>
      </c>
      <c r="K1090" t="s">
        <v>46</v>
      </c>
    </row>
    <row r="1091" spans="2:11" x14ac:dyDescent="0.25">
      <c r="B1091" s="2">
        <v>55</v>
      </c>
      <c r="C1091" s="4">
        <v>1018.4290000000001</v>
      </c>
      <c r="D1091" s="4">
        <v>2589.152</v>
      </c>
      <c r="E1091" s="79">
        <v>0</v>
      </c>
      <c r="F1091" s="79">
        <f>SUM(BASE_DATOS[[#This Row],[Capital($)]:[Interés
Resarcitorio($)]])</f>
        <v>3607.5810000000001</v>
      </c>
      <c r="G1091" s="8">
        <v>45824</v>
      </c>
      <c r="H1091" s="80" t="s">
        <v>56</v>
      </c>
      <c r="I1091" s="79" t="s">
        <v>9</v>
      </c>
      <c r="J1091" s="81">
        <v>60</v>
      </c>
      <c r="K1091" t="s">
        <v>46</v>
      </c>
    </row>
    <row r="1092" spans="2:11" x14ac:dyDescent="0.25">
      <c r="B1092" s="2">
        <f>+B1091</f>
        <v>55</v>
      </c>
      <c r="C1092" s="4">
        <v>1018.4290000000001</v>
      </c>
      <c r="D1092" s="4">
        <v>2589.152</v>
      </c>
      <c r="E1092" s="79">
        <v>481.02</v>
      </c>
      <c r="F1092" s="79">
        <f>SUM(BASE_DATOS[[#This Row],[Capital($)]:[Interés
Resarcitorio($)]])</f>
        <v>4088.6010000000001</v>
      </c>
      <c r="G1092" s="8">
        <v>45834</v>
      </c>
      <c r="H1092" s="80" t="s">
        <v>56</v>
      </c>
      <c r="I1092" s="79" t="s">
        <v>7</v>
      </c>
      <c r="J1092" s="81">
        <v>60</v>
      </c>
      <c r="K1092" t="s">
        <v>46</v>
      </c>
    </row>
    <row r="1093" spans="2:11" x14ac:dyDescent="0.25">
      <c r="B1093" s="2">
        <v>56</v>
      </c>
      <c r="C1093" s="4">
        <v>1018.4290000000001</v>
      </c>
      <c r="D1093" s="4">
        <v>2619.8069999999998</v>
      </c>
      <c r="E1093" s="79">
        <v>0</v>
      </c>
      <c r="F1093" s="79">
        <f>SUM(BASE_DATOS[[#This Row],[Capital($)]:[Interés
Resarcitorio($)]])</f>
        <v>3638.2359999999999</v>
      </c>
      <c r="G1093" s="8">
        <v>45854</v>
      </c>
      <c r="H1093" s="80" t="s">
        <v>56</v>
      </c>
      <c r="I1093" s="79" t="s">
        <v>6</v>
      </c>
      <c r="J1093" s="81">
        <v>60</v>
      </c>
      <c r="K1093" t="s">
        <v>46</v>
      </c>
    </row>
    <row r="1094" spans="2:11" x14ac:dyDescent="0.25">
      <c r="B1094" s="2">
        <f>+B1093</f>
        <v>56</v>
      </c>
      <c r="C1094" s="4">
        <v>1018.4290000000001</v>
      </c>
      <c r="D1094" s="4">
        <v>2619.8069999999998</v>
      </c>
      <c r="E1094" s="79">
        <v>485.09</v>
      </c>
      <c r="F1094" s="79">
        <f>SUM(BASE_DATOS[[#This Row],[Capital($)]:[Interés
Resarcitorio($)]])</f>
        <v>4123.326</v>
      </c>
      <c r="G1094" s="8">
        <v>45864</v>
      </c>
      <c r="H1094" s="80" t="s">
        <v>56</v>
      </c>
      <c r="I1094" s="79" t="s">
        <v>7</v>
      </c>
      <c r="J1094" s="81">
        <v>60</v>
      </c>
      <c r="K1094" t="s">
        <v>46</v>
      </c>
    </row>
    <row r="1095" spans="2:11" x14ac:dyDescent="0.25">
      <c r="B1095" s="2">
        <v>57</v>
      </c>
      <c r="C1095" s="4">
        <v>1018.4290000000001</v>
      </c>
      <c r="D1095" s="4">
        <v>2650.462</v>
      </c>
      <c r="E1095" s="79">
        <v>0</v>
      </c>
      <c r="F1095" s="79">
        <f>SUM(BASE_DATOS[[#This Row],[Capital($)]:[Interés
Resarcitorio($)]])</f>
        <v>3668.8910000000001</v>
      </c>
      <c r="G1095" s="8">
        <v>45885</v>
      </c>
      <c r="H1095" s="80" t="s">
        <v>56</v>
      </c>
      <c r="I1095" s="79" t="s">
        <v>6</v>
      </c>
      <c r="J1095" s="81">
        <v>60</v>
      </c>
      <c r="K1095" t="s">
        <v>46</v>
      </c>
    </row>
    <row r="1096" spans="2:11" x14ac:dyDescent="0.25">
      <c r="B1096" s="2">
        <f>+B1095</f>
        <v>57</v>
      </c>
      <c r="C1096" s="4">
        <v>1018.4290000000001</v>
      </c>
      <c r="D1096" s="4">
        <v>2650.462</v>
      </c>
      <c r="E1096" s="79">
        <v>489.18</v>
      </c>
      <c r="F1096" s="79">
        <f>SUM(BASE_DATOS[[#This Row],[Capital($)]:[Interés
Resarcitorio($)]])</f>
        <v>4158.0709999999999</v>
      </c>
      <c r="G1096" s="8">
        <v>45895</v>
      </c>
      <c r="H1096" s="80" t="s">
        <v>56</v>
      </c>
      <c r="I1096" s="79" t="s">
        <v>7</v>
      </c>
      <c r="J1096" s="81">
        <v>60</v>
      </c>
      <c r="K1096" t="s">
        <v>46</v>
      </c>
    </row>
    <row r="1097" spans="2:11" x14ac:dyDescent="0.25">
      <c r="B1097" s="2">
        <v>58</v>
      </c>
      <c r="C1097" s="4">
        <v>1018.4290000000001</v>
      </c>
      <c r="D1097" s="4">
        <v>2681.1169999999997</v>
      </c>
      <c r="E1097" s="79">
        <v>0</v>
      </c>
      <c r="F1097" s="79">
        <f>SUM(BASE_DATOS[[#This Row],[Capital($)]:[Interés
Resarcitorio($)]])</f>
        <v>3699.5459999999998</v>
      </c>
      <c r="G1097" s="8">
        <v>45916</v>
      </c>
      <c r="H1097" s="80" t="s">
        <v>56</v>
      </c>
      <c r="I1097" s="79" t="s">
        <v>6</v>
      </c>
      <c r="J1097" s="81">
        <v>60</v>
      </c>
      <c r="K1097" t="s">
        <v>46</v>
      </c>
    </row>
    <row r="1098" spans="2:11" x14ac:dyDescent="0.25">
      <c r="B1098" s="2">
        <f>+B1097</f>
        <v>58</v>
      </c>
      <c r="C1098" s="4">
        <v>1018.4290000000001</v>
      </c>
      <c r="D1098" s="4">
        <v>2681.1169999999997</v>
      </c>
      <c r="E1098" s="79">
        <v>493.27</v>
      </c>
      <c r="F1098" s="79">
        <f>SUM(BASE_DATOS[[#This Row],[Capital($)]:[Interés
Resarcitorio($)]])</f>
        <v>4192.8159999999998</v>
      </c>
      <c r="G1098" s="8">
        <v>45926</v>
      </c>
      <c r="H1098" s="80" t="s">
        <v>56</v>
      </c>
      <c r="I1098" s="79" t="s">
        <v>7</v>
      </c>
      <c r="J1098" s="81">
        <v>60</v>
      </c>
      <c r="K1098" t="s">
        <v>46</v>
      </c>
    </row>
    <row r="1099" spans="2:11" x14ac:dyDescent="0.25">
      <c r="B1099" s="2">
        <v>59</v>
      </c>
      <c r="C1099" s="4">
        <v>1018.4290000000001</v>
      </c>
      <c r="D1099" s="4">
        <v>2711.7709999999997</v>
      </c>
      <c r="E1099" s="79">
        <v>0</v>
      </c>
      <c r="F1099" s="79">
        <f>SUM(BASE_DATOS[[#This Row],[Capital($)]:[Interés
Resarcitorio($)]])</f>
        <v>3730.2</v>
      </c>
      <c r="G1099" s="8">
        <v>45946</v>
      </c>
      <c r="H1099" s="80" t="s">
        <v>56</v>
      </c>
      <c r="I1099" s="79" t="s">
        <v>6</v>
      </c>
      <c r="J1099" s="81">
        <v>60</v>
      </c>
      <c r="K1099" t="s">
        <v>46</v>
      </c>
    </row>
    <row r="1100" spans="2:11" x14ac:dyDescent="0.25">
      <c r="B1100" s="2">
        <f>+B1099</f>
        <v>59</v>
      </c>
      <c r="C1100" s="4">
        <v>1018.4290000000001</v>
      </c>
      <c r="D1100" s="4">
        <v>2711.7709999999997</v>
      </c>
      <c r="E1100" s="79">
        <v>497.36</v>
      </c>
      <c r="F1100" s="79">
        <f>SUM(BASE_DATOS[[#This Row],[Capital($)]:[Interés
Resarcitorio($)]])</f>
        <v>4227.5599999999995</v>
      </c>
      <c r="G1100" s="8">
        <v>45956</v>
      </c>
      <c r="H1100" s="80" t="s">
        <v>56</v>
      </c>
      <c r="I1100" s="79" t="s">
        <v>7</v>
      </c>
      <c r="J1100" s="81">
        <v>60</v>
      </c>
      <c r="K1100" t="s">
        <v>46</v>
      </c>
    </row>
    <row r="1101" spans="2:11" x14ac:dyDescent="0.25">
      <c r="B1101" s="2">
        <v>60</v>
      </c>
      <c r="C1101" s="4">
        <v>1018.412</v>
      </c>
      <c r="D1101" s="4">
        <v>2742.3789999999999</v>
      </c>
      <c r="E1101" s="79">
        <v>0</v>
      </c>
      <c r="F1101" s="79">
        <f>SUM(BASE_DATOS[[#This Row],[Capital($)]:[Interés
Resarcitorio($)]])</f>
        <v>3760.7910000000002</v>
      </c>
      <c r="G1101" s="8">
        <v>45977</v>
      </c>
      <c r="H1101" s="80" t="s">
        <v>56</v>
      </c>
      <c r="I1101" s="79" t="s">
        <v>6</v>
      </c>
      <c r="J1101" s="81">
        <v>60</v>
      </c>
      <c r="K1101" t="s">
        <v>46</v>
      </c>
    </row>
    <row r="1102" spans="2:11" x14ac:dyDescent="0.25">
      <c r="B1102" s="2">
        <f>+B1101</f>
        <v>60</v>
      </c>
      <c r="C1102" s="4">
        <v>1018.412</v>
      </c>
      <c r="D1102" s="4">
        <v>2742.3789999999999</v>
      </c>
      <c r="E1102" s="79">
        <v>501.44</v>
      </c>
      <c r="F1102" s="79">
        <f>SUM(BASE_DATOS[[#This Row],[Capital($)]:[Interés
Resarcitorio($)]])</f>
        <v>4262.2309999999998</v>
      </c>
      <c r="G1102" s="8">
        <v>45987</v>
      </c>
      <c r="H1102" s="80" t="s">
        <v>56</v>
      </c>
      <c r="I1102" s="79" t="s">
        <v>7</v>
      </c>
      <c r="J1102" s="81">
        <v>60</v>
      </c>
      <c r="K1102" t="s">
        <v>46</v>
      </c>
    </row>
    <row r="1103" spans="2:11" x14ac:dyDescent="0.25">
      <c r="B1103" s="2">
        <v>1</v>
      </c>
      <c r="C1103" s="4">
        <v>1596.902</v>
      </c>
      <c r="D1103" s="4">
        <v>31.937999999999999</v>
      </c>
      <c r="E1103" s="79">
        <v>0</v>
      </c>
      <c r="F1103" s="79">
        <f>SUM(BASE_DATOS[[#This Row],[Capital($)]:[Interés
Resarcitorio($)]])</f>
        <v>1628.8400000000001</v>
      </c>
      <c r="G1103" s="8">
        <v>44181</v>
      </c>
      <c r="H1103" s="80" t="s">
        <v>58</v>
      </c>
      <c r="I1103" s="79" t="s">
        <v>9</v>
      </c>
      <c r="J1103" s="81">
        <v>60</v>
      </c>
      <c r="K1103" t="s">
        <v>48</v>
      </c>
    </row>
    <row r="1104" spans="2:11" x14ac:dyDescent="0.25">
      <c r="B1104" s="2">
        <f>+B1103</f>
        <v>1</v>
      </c>
      <c r="C1104" s="4">
        <v>1596.902</v>
      </c>
      <c r="D1104" s="4">
        <v>31.937999999999999</v>
      </c>
      <c r="E1104" s="79">
        <v>163.97</v>
      </c>
      <c r="F1104" s="79">
        <f>SUM(BASE_DATOS[[#This Row],[Capital($)]:[Interés
Resarcitorio($)]])</f>
        <v>1792.8100000000002</v>
      </c>
      <c r="G1104" s="8">
        <v>44191</v>
      </c>
      <c r="H1104" s="80" t="s">
        <v>58</v>
      </c>
      <c r="I1104" s="79" t="s">
        <v>7</v>
      </c>
      <c r="J1104" s="81">
        <v>60</v>
      </c>
      <c r="K1104" t="s">
        <v>48</v>
      </c>
    </row>
    <row r="1105" spans="2:11" x14ac:dyDescent="0.25">
      <c r="B1105" s="2">
        <v>2</v>
      </c>
      <c r="C1105" s="4">
        <v>1596.902</v>
      </c>
      <c r="D1105" s="4">
        <v>63.875999999999998</v>
      </c>
      <c r="E1105" s="79">
        <v>0</v>
      </c>
      <c r="F1105" s="79">
        <f>SUM(BASE_DATOS[[#This Row],[Capital($)]:[Interés
Resarcitorio($)]])</f>
        <v>1660.778</v>
      </c>
      <c r="G1105" s="8">
        <v>44212</v>
      </c>
      <c r="H1105" s="80" t="s">
        <v>58</v>
      </c>
      <c r="I1105" s="79" t="s">
        <v>9</v>
      </c>
      <c r="J1105" s="81">
        <v>60</v>
      </c>
      <c r="K1105" t="s">
        <v>48</v>
      </c>
    </row>
    <row r="1106" spans="2:11" x14ac:dyDescent="0.25">
      <c r="B1106" s="2">
        <f>+B1105</f>
        <v>2</v>
      </c>
      <c r="C1106" s="4">
        <v>1596.902</v>
      </c>
      <c r="D1106" s="4">
        <v>63.875999999999998</v>
      </c>
      <c r="E1106" s="79">
        <v>185.45</v>
      </c>
      <c r="F1106" s="79">
        <f>SUM(BASE_DATOS[[#This Row],[Capital($)]:[Interés
Resarcitorio($)]])</f>
        <v>1846.2280000000001</v>
      </c>
      <c r="G1106" s="8">
        <v>44222</v>
      </c>
      <c r="H1106" s="80" t="s">
        <v>58</v>
      </c>
      <c r="I1106" s="79" t="s">
        <v>7</v>
      </c>
      <c r="J1106" s="81">
        <v>60</v>
      </c>
      <c r="K1106" t="s">
        <v>48</v>
      </c>
    </row>
    <row r="1107" spans="2:11" x14ac:dyDescent="0.25">
      <c r="B1107" s="2">
        <v>3</v>
      </c>
      <c r="C1107" s="4">
        <v>1596.902</v>
      </c>
      <c r="D1107" s="4">
        <v>95.813999999999993</v>
      </c>
      <c r="E1107" s="79">
        <v>0</v>
      </c>
      <c r="F1107" s="79">
        <f>SUM(BASE_DATOS[[#This Row],[Capital($)]:[Interés
Resarcitorio($)]])</f>
        <v>1692.7160000000001</v>
      </c>
      <c r="G1107" s="8">
        <v>44243</v>
      </c>
      <c r="H1107" s="80" t="s">
        <v>58</v>
      </c>
      <c r="I1107" s="79" t="s">
        <v>9</v>
      </c>
      <c r="J1107" s="81">
        <v>60</v>
      </c>
      <c r="K1107" t="s">
        <v>48</v>
      </c>
    </row>
    <row r="1108" spans="2:11" x14ac:dyDescent="0.25">
      <c r="B1108" s="2">
        <f>+B1107</f>
        <v>3</v>
      </c>
      <c r="C1108" s="4">
        <v>1596.902</v>
      </c>
      <c r="D1108" s="4">
        <v>95.813999999999993</v>
      </c>
      <c r="E1108" s="79">
        <v>189.02</v>
      </c>
      <c r="F1108" s="79">
        <f>SUM(BASE_DATOS[[#This Row],[Capital($)]:[Interés
Resarcitorio($)]])</f>
        <v>1881.7360000000001</v>
      </c>
      <c r="G1108" s="8">
        <v>44253</v>
      </c>
      <c r="H1108" s="80" t="s">
        <v>58</v>
      </c>
      <c r="I1108" s="79" t="s">
        <v>7</v>
      </c>
      <c r="J1108" s="81">
        <v>60</v>
      </c>
      <c r="K1108" t="s">
        <v>48</v>
      </c>
    </row>
    <row r="1109" spans="2:11" x14ac:dyDescent="0.25">
      <c r="B1109" s="2">
        <v>4</v>
      </c>
      <c r="C1109" s="4">
        <v>1596.902</v>
      </c>
      <c r="D1109" s="4">
        <v>127.752</v>
      </c>
      <c r="E1109" s="79">
        <v>0</v>
      </c>
      <c r="F1109" s="79">
        <f>SUM(BASE_DATOS[[#This Row],[Capital($)]:[Interés
Resarcitorio($)]])</f>
        <v>1724.654</v>
      </c>
      <c r="G1109" s="8">
        <v>44271</v>
      </c>
      <c r="H1109" s="80" t="s">
        <v>58</v>
      </c>
      <c r="I1109" s="79" t="s">
        <v>9</v>
      </c>
      <c r="J1109" s="81">
        <v>60</v>
      </c>
      <c r="K1109" t="s">
        <v>48</v>
      </c>
    </row>
    <row r="1110" spans="2:11" x14ac:dyDescent="0.25">
      <c r="B1110" s="2">
        <f>+B1109</f>
        <v>4</v>
      </c>
      <c r="C1110" s="4">
        <v>1596.902</v>
      </c>
      <c r="D1110" s="4">
        <v>127.752</v>
      </c>
      <c r="E1110" s="79">
        <v>192.59</v>
      </c>
      <c r="F1110" s="79">
        <f>SUM(BASE_DATOS[[#This Row],[Capital($)]:[Interés
Resarcitorio($)]])</f>
        <v>1917.2439999999999</v>
      </c>
      <c r="G1110" s="8">
        <v>44281</v>
      </c>
      <c r="H1110" s="80" t="s">
        <v>58</v>
      </c>
      <c r="I1110" s="79" t="s">
        <v>7</v>
      </c>
      <c r="J1110" s="81">
        <v>60</v>
      </c>
      <c r="K1110" t="s">
        <v>48</v>
      </c>
    </row>
    <row r="1111" spans="2:11" x14ac:dyDescent="0.25">
      <c r="B1111" s="2">
        <v>5</v>
      </c>
      <c r="C1111" s="4">
        <v>1596.902</v>
      </c>
      <c r="D1111" s="4">
        <v>159.69</v>
      </c>
      <c r="E1111" s="79">
        <v>0</v>
      </c>
      <c r="F1111" s="79">
        <f>SUM(BASE_DATOS[[#This Row],[Capital($)]:[Interés
Resarcitorio($)]])</f>
        <v>1756.5920000000001</v>
      </c>
      <c r="G1111" s="8">
        <v>44302</v>
      </c>
      <c r="H1111" s="80" t="s">
        <v>58</v>
      </c>
      <c r="I1111" s="79" t="s">
        <v>9</v>
      </c>
      <c r="J1111" s="81">
        <v>60</v>
      </c>
      <c r="K1111" t="s">
        <v>48</v>
      </c>
    </row>
    <row r="1112" spans="2:11" x14ac:dyDescent="0.25">
      <c r="B1112" s="2">
        <f>+B1111</f>
        <v>5</v>
      </c>
      <c r="C1112" s="4">
        <v>1596.902</v>
      </c>
      <c r="D1112" s="4">
        <v>159.69</v>
      </c>
      <c r="E1112" s="79">
        <v>196.15</v>
      </c>
      <c r="F1112" s="79">
        <f>SUM(BASE_DATOS[[#This Row],[Capital($)]:[Interés
Resarcitorio($)]])</f>
        <v>1952.7420000000002</v>
      </c>
      <c r="G1112" s="8">
        <v>44312</v>
      </c>
      <c r="H1112" s="80" t="s">
        <v>58</v>
      </c>
      <c r="I1112" s="79" t="s">
        <v>7</v>
      </c>
      <c r="J1112" s="81">
        <v>60</v>
      </c>
      <c r="K1112" t="s">
        <v>48</v>
      </c>
    </row>
    <row r="1113" spans="2:11" x14ac:dyDescent="0.25">
      <c r="B1113" s="2">
        <v>6</v>
      </c>
      <c r="C1113" s="4">
        <v>1596.902</v>
      </c>
      <c r="D1113" s="4">
        <v>191.62799999999999</v>
      </c>
      <c r="E1113" s="79">
        <v>0</v>
      </c>
      <c r="F1113" s="79">
        <f>SUM(BASE_DATOS[[#This Row],[Capital($)]:[Interés
Resarcitorio($)]])</f>
        <v>1788.53</v>
      </c>
      <c r="G1113" s="8">
        <v>44332</v>
      </c>
      <c r="H1113" s="80" t="s">
        <v>58</v>
      </c>
      <c r="I1113" s="79" t="s">
        <v>9</v>
      </c>
      <c r="J1113" s="81">
        <v>60</v>
      </c>
      <c r="K1113" t="s">
        <v>48</v>
      </c>
    </row>
    <row r="1114" spans="2:11" x14ac:dyDescent="0.25">
      <c r="B1114" s="2">
        <f>+B1113</f>
        <v>6</v>
      </c>
      <c r="C1114" s="4">
        <v>1596.902</v>
      </c>
      <c r="D1114" s="4">
        <v>191.62799999999999</v>
      </c>
      <c r="E1114" s="79">
        <v>199.72</v>
      </c>
      <c r="F1114" s="79">
        <f>SUM(BASE_DATOS[[#This Row],[Capital($)]:[Interés
Resarcitorio($)]])</f>
        <v>1988.25</v>
      </c>
      <c r="G1114" s="8">
        <v>44342</v>
      </c>
      <c r="H1114" s="80" t="s">
        <v>58</v>
      </c>
      <c r="I1114" s="79" t="s">
        <v>7</v>
      </c>
      <c r="J1114" s="81">
        <v>60</v>
      </c>
      <c r="K1114" t="s">
        <v>48</v>
      </c>
    </row>
    <row r="1115" spans="2:11" x14ac:dyDescent="0.25">
      <c r="B1115" s="2">
        <v>7</v>
      </c>
      <c r="C1115" s="4">
        <v>1596.902</v>
      </c>
      <c r="D1115" s="4">
        <v>236.98000000000002</v>
      </c>
      <c r="E1115" s="79">
        <v>0</v>
      </c>
      <c r="F1115" s="79">
        <f>SUM(BASE_DATOS[[#This Row],[Capital($)]:[Interés
Resarcitorio($)]])</f>
        <v>1833.8820000000001</v>
      </c>
      <c r="G1115" s="8">
        <v>44363</v>
      </c>
      <c r="H1115" s="80" t="s">
        <v>58</v>
      </c>
      <c r="I1115" s="79" t="s">
        <v>9</v>
      </c>
      <c r="J1115" s="81">
        <v>60</v>
      </c>
      <c r="K1115" t="s">
        <v>48</v>
      </c>
    </row>
    <row r="1116" spans="2:11" x14ac:dyDescent="0.25">
      <c r="B1116" s="2">
        <f>+B1115</f>
        <v>7</v>
      </c>
      <c r="C1116" s="4">
        <v>1596.902</v>
      </c>
      <c r="D1116" s="4">
        <v>236.98000000000002</v>
      </c>
      <c r="E1116" s="79">
        <v>204.78</v>
      </c>
      <c r="F1116" s="79">
        <f>SUM(BASE_DATOS[[#This Row],[Capital($)]:[Interés
Resarcitorio($)]])</f>
        <v>2038.662</v>
      </c>
      <c r="G1116" s="8">
        <v>44373</v>
      </c>
      <c r="H1116" s="80" t="s">
        <v>58</v>
      </c>
      <c r="I1116" s="79" t="s">
        <v>7</v>
      </c>
      <c r="J1116" s="81">
        <v>60</v>
      </c>
      <c r="K1116" t="s">
        <v>48</v>
      </c>
    </row>
    <row r="1117" spans="2:11" x14ac:dyDescent="0.25">
      <c r="B1117" s="2">
        <v>8</v>
      </c>
      <c r="C1117" s="4">
        <v>1596.902</v>
      </c>
      <c r="D1117" s="4">
        <v>282.33199999999999</v>
      </c>
      <c r="E1117" s="79">
        <v>0</v>
      </c>
      <c r="F1117" s="79">
        <f>SUM(BASE_DATOS[[#This Row],[Capital($)]:[Interés
Resarcitorio($)]])</f>
        <v>1879.2339999999999</v>
      </c>
      <c r="G1117" s="8">
        <v>44393</v>
      </c>
      <c r="H1117" s="80" t="s">
        <v>58</v>
      </c>
      <c r="I1117" s="79" t="s">
        <v>9</v>
      </c>
      <c r="J1117" s="81">
        <v>60</v>
      </c>
      <c r="K1117" t="s">
        <v>48</v>
      </c>
    </row>
    <row r="1118" spans="2:11" x14ac:dyDescent="0.25">
      <c r="B1118" s="2">
        <f>+B1117</f>
        <v>8</v>
      </c>
      <c r="C1118" s="4">
        <v>1596.902</v>
      </c>
      <c r="D1118" s="4">
        <v>282.33199999999999</v>
      </c>
      <c r="E1118" s="79">
        <v>209.85</v>
      </c>
      <c r="F1118" s="79">
        <f>SUM(BASE_DATOS[[#This Row],[Capital($)]:[Interés
Resarcitorio($)]])</f>
        <v>2089.0839999999998</v>
      </c>
      <c r="G1118" s="8">
        <v>44403</v>
      </c>
      <c r="H1118" s="80" t="s">
        <v>58</v>
      </c>
      <c r="I1118" s="79" t="s">
        <v>7</v>
      </c>
      <c r="J1118" s="81">
        <v>60</v>
      </c>
      <c r="K1118" t="s">
        <v>48</v>
      </c>
    </row>
    <row r="1119" spans="2:11" x14ac:dyDescent="0.25">
      <c r="B1119" s="2">
        <v>9</v>
      </c>
      <c r="C1119" s="4">
        <v>1596.902</v>
      </c>
      <c r="D1119" s="4">
        <v>327.68400000000003</v>
      </c>
      <c r="E1119" s="79">
        <v>0</v>
      </c>
      <c r="F1119" s="79">
        <f>SUM(BASE_DATOS[[#This Row],[Capital($)]:[Interés
Resarcitorio($)]])</f>
        <v>1924.586</v>
      </c>
      <c r="G1119" s="8">
        <v>44424</v>
      </c>
      <c r="H1119" s="80" t="s">
        <v>58</v>
      </c>
      <c r="I1119" s="79" t="s">
        <v>9</v>
      </c>
      <c r="J1119" s="81">
        <v>60</v>
      </c>
      <c r="K1119" t="s">
        <v>48</v>
      </c>
    </row>
    <row r="1120" spans="2:11" x14ac:dyDescent="0.25">
      <c r="B1120" s="2">
        <f>+B1119</f>
        <v>9</v>
      </c>
      <c r="C1120" s="4">
        <v>1596.902</v>
      </c>
      <c r="D1120" s="4">
        <v>327.68400000000003</v>
      </c>
      <c r="E1120" s="79">
        <v>214.91</v>
      </c>
      <c r="F1120" s="79">
        <f>SUM(BASE_DATOS[[#This Row],[Capital($)]:[Interés
Resarcitorio($)]])</f>
        <v>2139.4960000000001</v>
      </c>
      <c r="G1120" s="8">
        <v>44434</v>
      </c>
      <c r="H1120" s="80" t="s">
        <v>58</v>
      </c>
      <c r="I1120" s="79" t="s">
        <v>7</v>
      </c>
      <c r="J1120" s="81">
        <v>60</v>
      </c>
      <c r="K1120" t="s">
        <v>48</v>
      </c>
    </row>
    <row r="1121" spans="2:11" x14ac:dyDescent="0.25">
      <c r="B1121" s="2">
        <v>10</v>
      </c>
      <c r="C1121" s="4">
        <v>1596.902</v>
      </c>
      <c r="D1121" s="4">
        <v>373.036</v>
      </c>
      <c r="E1121" s="79">
        <v>0</v>
      </c>
      <c r="F1121" s="79">
        <f>SUM(BASE_DATOS[[#This Row],[Capital($)]:[Interés
Resarcitorio($)]])</f>
        <v>1969.9380000000001</v>
      </c>
      <c r="G1121" s="8">
        <v>44455</v>
      </c>
      <c r="H1121" s="80" t="s">
        <v>58</v>
      </c>
      <c r="I1121" s="79" t="s">
        <v>9</v>
      </c>
      <c r="J1121" s="81">
        <v>60</v>
      </c>
      <c r="K1121" t="s">
        <v>48</v>
      </c>
    </row>
    <row r="1122" spans="2:11" x14ac:dyDescent="0.25">
      <c r="B1122" s="2">
        <f>+B1121</f>
        <v>10</v>
      </c>
      <c r="C1122" s="4">
        <v>1596.902</v>
      </c>
      <c r="D1122" s="4">
        <v>373.036</v>
      </c>
      <c r="E1122" s="79">
        <v>219.98</v>
      </c>
      <c r="F1122" s="79">
        <f>SUM(BASE_DATOS[[#This Row],[Capital($)]:[Interés
Resarcitorio($)]])</f>
        <v>2189.9180000000001</v>
      </c>
      <c r="G1122" s="8">
        <v>44465</v>
      </c>
      <c r="H1122" s="80" t="s">
        <v>58</v>
      </c>
      <c r="I1122" s="79" t="s">
        <v>7</v>
      </c>
      <c r="J1122" s="81">
        <v>60</v>
      </c>
      <c r="K1122" t="s">
        <v>48</v>
      </c>
    </row>
    <row r="1123" spans="2:11" x14ac:dyDescent="0.25">
      <c r="B1123" s="2">
        <v>11</v>
      </c>
      <c r="C1123" s="4">
        <v>1596.902</v>
      </c>
      <c r="D1123" s="4">
        <v>418.38800000000003</v>
      </c>
      <c r="E1123" s="79">
        <v>0</v>
      </c>
      <c r="F1123" s="79">
        <f>SUM(BASE_DATOS[[#This Row],[Capital($)]:[Interés
Resarcitorio($)]])</f>
        <v>2015.29</v>
      </c>
      <c r="G1123" s="8">
        <v>44485</v>
      </c>
      <c r="H1123" s="80" t="s">
        <v>58</v>
      </c>
      <c r="I1123" s="79" t="s">
        <v>9</v>
      </c>
      <c r="J1123" s="81">
        <v>60</v>
      </c>
      <c r="K1123" t="s">
        <v>48</v>
      </c>
    </row>
    <row r="1124" spans="2:11" x14ac:dyDescent="0.25">
      <c r="B1124" s="2">
        <f>+B1123</f>
        <v>11</v>
      </c>
      <c r="C1124" s="4">
        <v>1596.902</v>
      </c>
      <c r="D1124" s="4">
        <v>418.38800000000003</v>
      </c>
      <c r="E1124" s="79">
        <v>225.04</v>
      </c>
      <c r="F1124" s="79">
        <f>SUM(BASE_DATOS[[#This Row],[Capital($)]:[Interés
Resarcitorio($)]])</f>
        <v>2240.33</v>
      </c>
      <c r="G1124" s="8">
        <v>44495</v>
      </c>
      <c r="H1124" s="80" t="s">
        <v>58</v>
      </c>
      <c r="I1124" s="79" t="s">
        <v>7</v>
      </c>
      <c r="J1124" s="81">
        <v>60</v>
      </c>
      <c r="K1124" t="s">
        <v>48</v>
      </c>
    </row>
    <row r="1125" spans="2:11" x14ac:dyDescent="0.25">
      <c r="B1125" s="2">
        <v>12</v>
      </c>
      <c r="C1125" s="4">
        <v>1596.902</v>
      </c>
      <c r="D1125" s="4">
        <v>463.73999999999995</v>
      </c>
      <c r="E1125" s="79">
        <v>0</v>
      </c>
      <c r="F1125" s="79">
        <f>SUM(BASE_DATOS[[#This Row],[Capital($)]:[Interés
Resarcitorio($)]])</f>
        <v>2060.6419999999998</v>
      </c>
      <c r="G1125" s="8">
        <v>44516</v>
      </c>
      <c r="H1125" s="80" t="s">
        <v>58</v>
      </c>
      <c r="I1125" s="79" t="s">
        <v>9</v>
      </c>
      <c r="J1125" s="81">
        <v>60</v>
      </c>
      <c r="K1125" t="s">
        <v>48</v>
      </c>
    </row>
    <row r="1126" spans="2:11" x14ac:dyDescent="0.25">
      <c r="B1126" s="2">
        <f>+B1125</f>
        <v>12</v>
      </c>
      <c r="C1126" s="4">
        <v>1596.902</v>
      </c>
      <c r="D1126" s="4">
        <v>463.73999999999995</v>
      </c>
      <c r="E1126" s="79">
        <v>230.11</v>
      </c>
      <c r="F1126" s="79">
        <f>SUM(BASE_DATOS[[#This Row],[Capital($)]:[Interés
Resarcitorio($)]])</f>
        <v>2290.752</v>
      </c>
      <c r="G1126" s="8">
        <v>44526</v>
      </c>
      <c r="H1126" s="80" t="s">
        <v>58</v>
      </c>
      <c r="I1126" s="79" t="s">
        <v>7</v>
      </c>
      <c r="J1126" s="81">
        <v>60</v>
      </c>
      <c r="K1126" t="s">
        <v>48</v>
      </c>
    </row>
    <row r="1127" spans="2:11" x14ac:dyDescent="0.25">
      <c r="B1127" s="2">
        <v>13</v>
      </c>
      <c r="C1127" s="4">
        <v>1596.902</v>
      </c>
      <c r="D1127" s="4">
        <v>509.09199999999998</v>
      </c>
      <c r="E1127" s="79">
        <v>0</v>
      </c>
      <c r="F1127" s="79">
        <f>SUM(BASE_DATOS[[#This Row],[Capital($)]:[Interés
Resarcitorio($)]])</f>
        <v>2105.9940000000001</v>
      </c>
      <c r="G1127" s="8">
        <v>44546</v>
      </c>
      <c r="H1127" s="80" t="s">
        <v>58</v>
      </c>
      <c r="I1127" s="79" t="s">
        <v>9</v>
      </c>
      <c r="J1127" s="81">
        <v>60</v>
      </c>
      <c r="K1127" t="s">
        <v>48</v>
      </c>
    </row>
    <row r="1128" spans="2:11" x14ac:dyDescent="0.25">
      <c r="B1128" s="2">
        <f>+B1127</f>
        <v>13</v>
      </c>
      <c r="C1128" s="4">
        <v>1596.902</v>
      </c>
      <c r="D1128" s="4">
        <v>509.09199999999998</v>
      </c>
      <c r="E1128" s="79">
        <v>235.17</v>
      </c>
      <c r="F1128" s="79">
        <f>SUM(BASE_DATOS[[#This Row],[Capital($)]:[Interés
Resarcitorio($)]])</f>
        <v>2341.1640000000002</v>
      </c>
      <c r="G1128" s="8">
        <v>44556</v>
      </c>
      <c r="H1128" s="80" t="s">
        <v>58</v>
      </c>
      <c r="I1128" s="79" t="s">
        <v>7</v>
      </c>
      <c r="J1128" s="81">
        <v>60</v>
      </c>
      <c r="K1128" t="s">
        <v>48</v>
      </c>
    </row>
    <row r="1129" spans="2:11" x14ac:dyDescent="0.25">
      <c r="B1129" s="2">
        <v>14</v>
      </c>
      <c r="C1129" s="4">
        <v>1596.902</v>
      </c>
      <c r="D1129" s="4">
        <v>554.44399999999996</v>
      </c>
      <c r="E1129" s="79">
        <v>0</v>
      </c>
      <c r="F1129" s="79">
        <f>SUM(BASE_DATOS[[#This Row],[Capital($)]:[Interés
Resarcitorio($)]])</f>
        <v>2151.346</v>
      </c>
      <c r="G1129" s="8">
        <v>44577</v>
      </c>
      <c r="H1129" s="80" t="s">
        <v>58</v>
      </c>
      <c r="I1129" s="79" t="s">
        <v>9</v>
      </c>
      <c r="J1129" s="81">
        <v>60</v>
      </c>
      <c r="K1129" t="s">
        <v>48</v>
      </c>
    </row>
    <row r="1130" spans="2:11" x14ac:dyDescent="0.25">
      <c r="B1130" s="2">
        <f>+B1129</f>
        <v>14</v>
      </c>
      <c r="C1130" s="4">
        <v>1596.902</v>
      </c>
      <c r="D1130" s="4">
        <v>554.44399999999996</v>
      </c>
      <c r="E1130" s="79">
        <v>240.23</v>
      </c>
      <c r="F1130" s="79">
        <f>SUM(BASE_DATOS[[#This Row],[Capital($)]:[Interés
Resarcitorio($)]])</f>
        <v>2391.576</v>
      </c>
      <c r="G1130" s="8">
        <v>44587</v>
      </c>
      <c r="H1130" s="80" t="s">
        <v>58</v>
      </c>
      <c r="I1130" s="79" t="s">
        <v>7</v>
      </c>
      <c r="J1130" s="81">
        <v>60</v>
      </c>
      <c r="K1130" t="s">
        <v>48</v>
      </c>
    </row>
    <row r="1131" spans="2:11" x14ac:dyDescent="0.25">
      <c r="B1131" s="2">
        <v>15</v>
      </c>
      <c r="C1131" s="4">
        <v>1596.902</v>
      </c>
      <c r="D1131" s="4">
        <v>599.79600000000005</v>
      </c>
      <c r="E1131" s="79">
        <v>0</v>
      </c>
      <c r="F1131" s="79">
        <f>SUM(BASE_DATOS[[#This Row],[Capital($)]:[Interés
Resarcitorio($)]])</f>
        <v>2196.6980000000003</v>
      </c>
      <c r="G1131" s="8">
        <v>44608</v>
      </c>
      <c r="H1131" s="80" t="s">
        <v>58</v>
      </c>
      <c r="I1131" s="79" t="s">
        <v>9</v>
      </c>
      <c r="J1131" s="81">
        <v>60</v>
      </c>
      <c r="K1131" t="s">
        <v>48</v>
      </c>
    </row>
    <row r="1132" spans="2:11" x14ac:dyDescent="0.25">
      <c r="B1132" s="2">
        <f>+B1131</f>
        <v>15</v>
      </c>
      <c r="C1132" s="4">
        <v>1596.902</v>
      </c>
      <c r="D1132" s="4">
        <v>599.79600000000005</v>
      </c>
      <c r="E1132" s="79">
        <v>245.3</v>
      </c>
      <c r="F1132" s="79">
        <f>SUM(BASE_DATOS[[#This Row],[Capital($)]:[Interés
Resarcitorio($)]])</f>
        <v>2441.9980000000005</v>
      </c>
      <c r="G1132" s="8">
        <v>44618</v>
      </c>
      <c r="H1132" s="80" t="s">
        <v>58</v>
      </c>
      <c r="I1132" s="79" t="s">
        <v>7</v>
      </c>
      <c r="J1132" s="81">
        <v>60</v>
      </c>
      <c r="K1132" t="s">
        <v>48</v>
      </c>
    </row>
    <row r="1133" spans="2:11" x14ac:dyDescent="0.25">
      <c r="B1133" s="2">
        <v>16</v>
      </c>
      <c r="C1133" s="4">
        <v>1596.902</v>
      </c>
      <c r="D1133" s="4">
        <v>645.14799999999991</v>
      </c>
      <c r="E1133" s="79">
        <v>0</v>
      </c>
      <c r="F1133" s="79">
        <f>SUM(BASE_DATOS[[#This Row],[Capital($)]:[Interés
Resarcitorio($)]])</f>
        <v>2242.0500000000002</v>
      </c>
      <c r="G1133" s="8">
        <v>44636</v>
      </c>
      <c r="H1133" s="80" t="s">
        <v>58</v>
      </c>
      <c r="I1133" s="79" t="s">
        <v>9</v>
      </c>
      <c r="J1133" s="81">
        <v>60</v>
      </c>
      <c r="K1133" t="s">
        <v>48</v>
      </c>
    </row>
    <row r="1134" spans="2:11" x14ac:dyDescent="0.25">
      <c r="B1134" s="2">
        <f>+B1133</f>
        <v>16</v>
      </c>
      <c r="C1134" s="4">
        <v>1596.902</v>
      </c>
      <c r="D1134" s="4">
        <v>645.14799999999991</v>
      </c>
      <c r="E1134" s="79">
        <v>250.36</v>
      </c>
      <c r="F1134" s="79">
        <f>SUM(BASE_DATOS[[#This Row],[Capital($)]:[Interés
Resarcitorio($)]])</f>
        <v>2492.4100000000003</v>
      </c>
      <c r="G1134" s="8">
        <v>44646</v>
      </c>
      <c r="H1134" s="80" t="s">
        <v>58</v>
      </c>
      <c r="I1134" s="79" t="s">
        <v>7</v>
      </c>
      <c r="J1134" s="81">
        <v>60</v>
      </c>
      <c r="K1134" t="s">
        <v>48</v>
      </c>
    </row>
    <row r="1135" spans="2:11" x14ac:dyDescent="0.25">
      <c r="B1135" s="2">
        <v>17</v>
      </c>
      <c r="C1135" s="4">
        <v>1596.902</v>
      </c>
      <c r="D1135" s="4">
        <v>690.5</v>
      </c>
      <c r="E1135" s="79">
        <v>0</v>
      </c>
      <c r="F1135" s="79">
        <f>SUM(BASE_DATOS[[#This Row],[Capital($)]:[Interés
Resarcitorio($)]])</f>
        <v>2287.402</v>
      </c>
      <c r="G1135" s="8">
        <v>44667</v>
      </c>
      <c r="H1135" s="80" t="s">
        <v>58</v>
      </c>
      <c r="I1135" s="79" t="s">
        <v>9</v>
      </c>
      <c r="J1135" s="81">
        <v>60</v>
      </c>
      <c r="K1135" t="s">
        <v>48</v>
      </c>
    </row>
    <row r="1136" spans="2:11" x14ac:dyDescent="0.25">
      <c r="B1136" s="2">
        <f>+B1135</f>
        <v>17</v>
      </c>
      <c r="C1136" s="4">
        <v>1596.902</v>
      </c>
      <c r="D1136" s="4">
        <v>690.5</v>
      </c>
      <c r="E1136" s="79">
        <v>283.64</v>
      </c>
      <c r="F1136" s="79">
        <f>SUM(BASE_DATOS[[#This Row],[Capital($)]:[Interés
Resarcitorio($)]])</f>
        <v>2571.0419999999999</v>
      </c>
      <c r="G1136" s="8">
        <v>44677</v>
      </c>
      <c r="H1136" s="80" t="s">
        <v>58</v>
      </c>
      <c r="I1136" s="79" t="s">
        <v>7</v>
      </c>
      <c r="J1136" s="81">
        <v>60</v>
      </c>
      <c r="K1136" t="s">
        <v>48</v>
      </c>
    </row>
    <row r="1137" spans="2:11" x14ac:dyDescent="0.25">
      <c r="B1137" s="2">
        <v>18</v>
      </c>
      <c r="C1137" s="4">
        <v>1596.902</v>
      </c>
      <c r="D1137" s="4">
        <v>735.85200000000009</v>
      </c>
      <c r="E1137" s="79">
        <v>0</v>
      </c>
      <c r="F1137" s="79">
        <f>SUM(BASE_DATOS[[#This Row],[Capital($)]:[Interés
Resarcitorio($)]])</f>
        <v>2332.7539999999999</v>
      </c>
      <c r="G1137" s="8">
        <v>44697</v>
      </c>
      <c r="H1137" s="80" t="s">
        <v>58</v>
      </c>
      <c r="I1137" s="79" t="s">
        <v>9</v>
      </c>
      <c r="J1137" s="81">
        <v>60</v>
      </c>
      <c r="K1137" t="s">
        <v>48</v>
      </c>
    </row>
    <row r="1138" spans="2:11" x14ac:dyDescent="0.25">
      <c r="B1138" s="2">
        <f>+B1137</f>
        <v>18</v>
      </c>
      <c r="C1138" s="4">
        <v>1596.902</v>
      </c>
      <c r="D1138" s="4">
        <v>735.85200000000009</v>
      </c>
      <c r="E1138" s="79">
        <v>289.26</v>
      </c>
      <c r="F1138" s="79">
        <f>SUM(BASE_DATOS[[#This Row],[Capital($)]:[Interés
Resarcitorio($)]])</f>
        <v>2622.0140000000001</v>
      </c>
      <c r="G1138" s="8">
        <v>44707</v>
      </c>
      <c r="H1138" s="80" t="s">
        <v>58</v>
      </c>
      <c r="I1138" s="79" t="s">
        <v>7</v>
      </c>
      <c r="J1138" s="81">
        <v>60</v>
      </c>
      <c r="K1138" t="s">
        <v>48</v>
      </c>
    </row>
    <row r="1139" spans="2:11" x14ac:dyDescent="0.25">
      <c r="B1139" s="2">
        <v>19</v>
      </c>
      <c r="C1139" s="4">
        <v>1596.902</v>
      </c>
      <c r="D1139" s="4">
        <v>797.49300000000005</v>
      </c>
      <c r="E1139" s="79">
        <v>0</v>
      </c>
      <c r="F1139" s="79">
        <f>SUM(BASE_DATOS[[#This Row],[Capital($)]:[Interés
Resarcitorio($)]])</f>
        <v>2394.395</v>
      </c>
      <c r="G1139" s="8">
        <v>44728</v>
      </c>
      <c r="H1139" s="80" t="s">
        <v>58</v>
      </c>
      <c r="I1139" s="79" t="s">
        <v>9</v>
      </c>
      <c r="J1139" s="81">
        <v>60</v>
      </c>
      <c r="K1139" t="s">
        <v>48</v>
      </c>
    </row>
    <row r="1140" spans="2:11" x14ac:dyDescent="0.25">
      <c r="B1140" s="2">
        <f>+B1139</f>
        <v>19</v>
      </c>
      <c r="C1140" s="4">
        <v>1596.902</v>
      </c>
      <c r="D1140" s="4">
        <v>797.49300000000005</v>
      </c>
      <c r="E1140" s="79">
        <v>296.89999999999998</v>
      </c>
      <c r="F1140" s="79">
        <f>SUM(BASE_DATOS[[#This Row],[Capital($)]:[Interés
Resarcitorio($)]])</f>
        <v>2691.2950000000001</v>
      </c>
      <c r="G1140" s="8">
        <v>44738</v>
      </c>
      <c r="H1140" s="80" t="s">
        <v>58</v>
      </c>
      <c r="I1140" s="79" t="s">
        <v>7</v>
      </c>
      <c r="J1140" s="81">
        <v>60</v>
      </c>
      <c r="K1140" t="s">
        <v>48</v>
      </c>
    </row>
    <row r="1141" spans="2:11" x14ac:dyDescent="0.25">
      <c r="B1141" s="2">
        <v>20</v>
      </c>
      <c r="C1141" s="4">
        <v>1596.902</v>
      </c>
      <c r="D1141" s="4">
        <v>859.13300000000004</v>
      </c>
      <c r="E1141" s="79">
        <v>0</v>
      </c>
      <c r="F1141" s="79">
        <f>SUM(BASE_DATOS[[#This Row],[Capital($)]:[Interés
Resarcitorio($)]])</f>
        <v>2456.0349999999999</v>
      </c>
      <c r="G1141" s="8">
        <v>44758</v>
      </c>
      <c r="H1141" s="80" t="s">
        <v>58</v>
      </c>
      <c r="I1141" s="79" t="s">
        <v>9</v>
      </c>
      <c r="J1141" s="81">
        <v>60</v>
      </c>
      <c r="K1141" t="s">
        <v>48</v>
      </c>
    </row>
    <row r="1142" spans="2:11" x14ac:dyDescent="0.25">
      <c r="B1142" s="2">
        <f>+B1141</f>
        <v>20</v>
      </c>
      <c r="C1142" s="4">
        <v>1596.902</v>
      </c>
      <c r="D1142" s="4">
        <v>859.13300000000004</v>
      </c>
      <c r="E1142" s="79">
        <v>347.94</v>
      </c>
      <c r="F1142" s="79">
        <f>SUM(BASE_DATOS[[#This Row],[Capital($)]:[Interés
Resarcitorio($)]])</f>
        <v>2803.9749999999999</v>
      </c>
      <c r="G1142" s="8">
        <v>44768</v>
      </c>
      <c r="H1142" s="80" t="s">
        <v>58</v>
      </c>
      <c r="I1142" s="79" t="s">
        <v>7</v>
      </c>
      <c r="J1142" s="81">
        <v>60</v>
      </c>
      <c r="K1142" t="s">
        <v>48</v>
      </c>
    </row>
    <row r="1143" spans="2:11" x14ac:dyDescent="0.25">
      <c r="B1143" s="2">
        <v>21</v>
      </c>
      <c r="C1143" s="4">
        <v>1596.902</v>
      </c>
      <c r="D1143" s="4">
        <v>920.774</v>
      </c>
      <c r="E1143" s="79">
        <v>0</v>
      </c>
      <c r="F1143" s="79">
        <f>SUM(BASE_DATOS[[#This Row],[Capital($)]:[Interés
Resarcitorio($)]])</f>
        <v>2517.6759999999999</v>
      </c>
      <c r="G1143" s="8">
        <v>44789</v>
      </c>
      <c r="H1143" s="80" t="s">
        <v>58</v>
      </c>
      <c r="I1143" s="79" t="s">
        <v>9</v>
      </c>
      <c r="J1143" s="81">
        <v>60</v>
      </c>
      <c r="K1143" t="s">
        <v>48</v>
      </c>
    </row>
    <row r="1144" spans="2:11" x14ac:dyDescent="0.25">
      <c r="B1144" s="2">
        <f>+B1143</f>
        <v>21</v>
      </c>
      <c r="C1144" s="4">
        <v>1596.902</v>
      </c>
      <c r="D1144" s="4">
        <v>920.774</v>
      </c>
      <c r="E1144" s="79">
        <v>356.67</v>
      </c>
      <c r="F1144" s="79">
        <f>SUM(BASE_DATOS[[#This Row],[Capital($)]:[Interés
Resarcitorio($)]])</f>
        <v>2874.346</v>
      </c>
      <c r="G1144" s="8">
        <v>44799</v>
      </c>
      <c r="H1144" s="80" t="s">
        <v>58</v>
      </c>
      <c r="I1144" s="79" t="s">
        <v>7</v>
      </c>
      <c r="J1144" s="81">
        <v>60</v>
      </c>
      <c r="K1144" t="s">
        <v>48</v>
      </c>
    </row>
    <row r="1145" spans="2:11" x14ac:dyDescent="0.25">
      <c r="B1145" s="2">
        <v>22</v>
      </c>
      <c r="C1145" s="4">
        <v>1596.902</v>
      </c>
      <c r="D1145" s="4">
        <v>982.41399999999999</v>
      </c>
      <c r="E1145" s="79">
        <v>0</v>
      </c>
      <c r="F1145" s="79">
        <f>SUM(BASE_DATOS[[#This Row],[Capital($)]:[Interés
Resarcitorio($)]])</f>
        <v>2579.3159999999998</v>
      </c>
      <c r="G1145" s="8">
        <v>44820</v>
      </c>
      <c r="H1145" s="80" t="s">
        <v>58</v>
      </c>
      <c r="I1145" s="79" t="s">
        <v>9</v>
      </c>
      <c r="J1145" s="81">
        <v>60</v>
      </c>
      <c r="K1145" t="s">
        <v>48</v>
      </c>
    </row>
    <row r="1146" spans="2:11" x14ac:dyDescent="0.25">
      <c r="B1146" s="2">
        <f>+B1145</f>
        <v>22</v>
      </c>
      <c r="C1146" s="4">
        <v>1596.902</v>
      </c>
      <c r="D1146" s="4">
        <v>982.41399999999999</v>
      </c>
      <c r="E1146" s="79">
        <v>508.13</v>
      </c>
      <c r="F1146" s="79">
        <f>SUM(BASE_DATOS[[#This Row],[Capital($)]:[Interés
Resarcitorio($)]])</f>
        <v>3087.4459999999999</v>
      </c>
      <c r="G1146" s="8">
        <v>44830</v>
      </c>
      <c r="H1146" s="80" t="s">
        <v>58</v>
      </c>
      <c r="I1146" s="79" t="s">
        <v>7</v>
      </c>
      <c r="J1146" s="81">
        <v>60</v>
      </c>
      <c r="K1146" t="s">
        <v>48</v>
      </c>
    </row>
    <row r="1147" spans="2:11" x14ac:dyDescent="0.25">
      <c r="B1147" s="2">
        <v>23</v>
      </c>
      <c r="C1147" s="4">
        <v>1596.902</v>
      </c>
      <c r="D1147" s="4">
        <v>1044.0549999999998</v>
      </c>
      <c r="E1147" s="79">
        <v>0</v>
      </c>
      <c r="F1147" s="79">
        <f>SUM(BASE_DATOS[[#This Row],[Capital($)]:[Interés
Resarcitorio($)]])</f>
        <v>2640.9569999999999</v>
      </c>
      <c r="G1147" s="8">
        <v>44850</v>
      </c>
      <c r="H1147" s="80" t="s">
        <v>58</v>
      </c>
      <c r="I1147" s="79" t="s">
        <v>9</v>
      </c>
      <c r="J1147" s="81">
        <v>60</v>
      </c>
      <c r="K1147" t="s">
        <v>48</v>
      </c>
    </row>
    <row r="1148" spans="2:11" x14ac:dyDescent="0.25">
      <c r="B1148" s="2">
        <f>+B1147</f>
        <v>23</v>
      </c>
      <c r="C1148" s="4">
        <v>1596.902</v>
      </c>
      <c r="D1148" s="4">
        <v>1044.0549999999998</v>
      </c>
      <c r="E1148" s="79">
        <v>520.27</v>
      </c>
      <c r="F1148" s="79">
        <f>SUM(BASE_DATOS[[#This Row],[Capital($)]:[Interés
Resarcitorio($)]])</f>
        <v>3161.2269999999999</v>
      </c>
      <c r="G1148" s="8">
        <v>44860</v>
      </c>
      <c r="H1148" s="80" t="s">
        <v>58</v>
      </c>
      <c r="I1148" s="79" t="s">
        <v>7</v>
      </c>
      <c r="J1148" s="81">
        <v>60</v>
      </c>
      <c r="K1148" t="s">
        <v>48</v>
      </c>
    </row>
    <row r="1149" spans="2:11" x14ac:dyDescent="0.25">
      <c r="B1149" s="2">
        <v>24</v>
      </c>
      <c r="C1149" s="4">
        <v>1596.902</v>
      </c>
      <c r="D1149" s="4">
        <v>1105.6950000000002</v>
      </c>
      <c r="E1149" s="79">
        <v>0</v>
      </c>
      <c r="F1149" s="79">
        <f>SUM(BASE_DATOS[[#This Row],[Capital($)]:[Interés
Resarcitorio($)]])</f>
        <v>2702.5970000000002</v>
      </c>
      <c r="G1149" s="8">
        <v>44881</v>
      </c>
      <c r="H1149" s="80" t="s">
        <v>58</v>
      </c>
      <c r="I1149" s="79" t="s">
        <v>9</v>
      </c>
      <c r="J1149" s="81">
        <v>60</v>
      </c>
      <c r="K1149" t="s">
        <v>48</v>
      </c>
    </row>
    <row r="1150" spans="2:11" x14ac:dyDescent="0.25">
      <c r="B1150" s="2">
        <f>+B1149</f>
        <v>24</v>
      </c>
      <c r="C1150" s="4">
        <v>1596.902</v>
      </c>
      <c r="D1150" s="4">
        <v>1105.6950000000002</v>
      </c>
      <c r="E1150" s="79">
        <v>532.41</v>
      </c>
      <c r="F1150" s="79">
        <f>SUM(BASE_DATOS[[#This Row],[Capital($)]:[Interés
Resarcitorio($)]])</f>
        <v>3235.0070000000001</v>
      </c>
      <c r="G1150" s="8">
        <v>44891</v>
      </c>
      <c r="H1150" s="80" t="s">
        <v>58</v>
      </c>
      <c r="I1150" s="79" t="s">
        <v>7</v>
      </c>
      <c r="J1150" s="81">
        <v>60</v>
      </c>
      <c r="K1150" t="s">
        <v>48</v>
      </c>
    </row>
    <row r="1151" spans="2:11" x14ac:dyDescent="0.25">
      <c r="B1151" s="2">
        <v>25</v>
      </c>
      <c r="C1151" s="4">
        <v>1596.902</v>
      </c>
      <c r="D1151" s="4">
        <v>1196.8780000000002</v>
      </c>
      <c r="E1151" s="79">
        <v>0</v>
      </c>
      <c r="F1151" s="79">
        <f>SUM(BASE_DATOS[[#This Row],[Capital($)]:[Interés
Resarcitorio($)]])</f>
        <v>2793.78</v>
      </c>
      <c r="G1151" s="8">
        <v>44911</v>
      </c>
      <c r="H1151" s="80" t="s">
        <v>58</v>
      </c>
      <c r="I1151" s="79" t="s">
        <v>9</v>
      </c>
      <c r="J1151" s="81">
        <v>60</v>
      </c>
      <c r="K1151" t="s">
        <v>48</v>
      </c>
    </row>
    <row r="1152" spans="2:11" x14ac:dyDescent="0.25">
      <c r="B1152" s="2">
        <f>+B1151</f>
        <v>25</v>
      </c>
      <c r="C1152" s="4">
        <v>1596.902</v>
      </c>
      <c r="D1152" s="4">
        <v>1196.8780000000002</v>
      </c>
      <c r="E1152" s="79">
        <v>550.37</v>
      </c>
      <c r="F1152" s="79">
        <f>SUM(BASE_DATOS[[#This Row],[Capital($)]:[Interés
Resarcitorio($)]])</f>
        <v>3344.15</v>
      </c>
      <c r="G1152" s="8">
        <v>44921</v>
      </c>
      <c r="H1152" s="80" t="s">
        <v>58</v>
      </c>
      <c r="I1152" s="79" t="s">
        <v>7</v>
      </c>
      <c r="J1152" s="81">
        <v>60</v>
      </c>
      <c r="K1152" t="s">
        <v>48</v>
      </c>
    </row>
    <row r="1153" spans="2:11" x14ac:dyDescent="0.25">
      <c r="B1153" s="2">
        <v>26</v>
      </c>
      <c r="C1153" s="4">
        <v>1596.902</v>
      </c>
      <c r="D1153" s="4">
        <v>1288.0610000000001</v>
      </c>
      <c r="E1153" s="79">
        <v>0</v>
      </c>
      <c r="F1153" s="79">
        <f>SUM(BASE_DATOS[[#This Row],[Capital($)]:[Interés
Resarcitorio($)]])</f>
        <v>2884.9630000000002</v>
      </c>
      <c r="G1153" s="8">
        <v>44942</v>
      </c>
      <c r="H1153" s="80" t="s">
        <v>58</v>
      </c>
      <c r="I1153" s="79" t="s">
        <v>9</v>
      </c>
      <c r="J1153" s="81">
        <v>60</v>
      </c>
      <c r="K1153" t="s">
        <v>48</v>
      </c>
    </row>
    <row r="1154" spans="2:11" x14ac:dyDescent="0.25">
      <c r="B1154" s="2">
        <f>+B1153</f>
        <v>26</v>
      </c>
      <c r="C1154" s="4">
        <v>1596.902</v>
      </c>
      <c r="D1154" s="4">
        <v>1288.0610000000001</v>
      </c>
      <c r="E1154" s="79">
        <v>568.34</v>
      </c>
      <c r="F1154" s="79">
        <f>SUM(BASE_DATOS[[#This Row],[Capital($)]:[Interés
Resarcitorio($)]])</f>
        <v>3453.3030000000003</v>
      </c>
      <c r="G1154" s="8">
        <v>44952</v>
      </c>
      <c r="H1154" s="80" t="s">
        <v>58</v>
      </c>
      <c r="I1154" s="79" t="s">
        <v>7</v>
      </c>
      <c r="J1154" s="81">
        <v>60</v>
      </c>
      <c r="K1154" t="s">
        <v>48</v>
      </c>
    </row>
    <row r="1155" spans="2:11" x14ac:dyDescent="0.25">
      <c r="B1155" s="2">
        <v>27</v>
      </c>
      <c r="C1155" s="4">
        <v>1596.902</v>
      </c>
      <c r="D1155" s="4">
        <v>1379.2440000000001</v>
      </c>
      <c r="E1155" s="79">
        <v>0</v>
      </c>
      <c r="F1155" s="79">
        <f>SUM(BASE_DATOS[[#This Row],[Capital($)]:[Interés
Resarcitorio($)]])</f>
        <v>2976.1460000000002</v>
      </c>
      <c r="G1155" s="8">
        <v>44973</v>
      </c>
      <c r="H1155" s="80" t="s">
        <v>58</v>
      </c>
      <c r="I1155" s="79" t="s">
        <v>9</v>
      </c>
      <c r="J1155" s="81">
        <v>60</v>
      </c>
      <c r="K1155" t="s">
        <v>48</v>
      </c>
    </row>
    <row r="1156" spans="2:11" x14ac:dyDescent="0.25">
      <c r="B1156" s="2">
        <f>+B1155</f>
        <v>27</v>
      </c>
      <c r="C1156" s="4">
        <v>1596.902</v>
      </c>
      <c r="D1156" s="4">
        <v>1379.2440000000001</v>
      </c>
      <c r="E1156" s="79">
        <v>586.29999999999995</v>
      </c>
      <c r="F1156" s="79">
        <f>SUM(BASE_DATOS[[#This Row],[Capital($)]:[Interés
Resarcitorio($)]])</f>
        <v>3562.4459999999999</v>
      </c>
      <c r="G1156" s="8">
        <v>44983</v>
      </c>
      <c r="H1156" s="80" t="s">
        <v>58</v>
      </c>
      <c r="I1156" s="79" t="s">
        <v>7</v>
      </c>
      <c r="J1156" s="81">
        <v>60</v>
      </c>
      <c r="K1156" t="s">
        <v>48</v>
      </c>
    </row>
    <row r="1157" spans="2:11" x14ac:dyDescent="0.25">
      <c r="B1157" s="2">
        <v>28</v>
      </c>
      <c r="C1157" s="4">
        <v>1596.902</v>
      </c>
      <c r="D1157" s="4">
        <v>1470.4270000000001</v>
      </c>
      <c r="E1157" s="79">
        <v>0</v>
      </c>
      <c r="F1157" s="79">
        <f>SUM(BASE_DATOS[[#This Row],[Capital($)]:[Interés
Resarcitorio($)]])</f>
        <v>3067.3290000000002</v>
      </c>
      <c r="G1157" s="8">
        <v>45001</v>
      </c>
      <c r="H1157" s="80" t="s">
        <v>58</v>
      </c>
      <c r="I1157" s="79" t="s">
        <v>9</v>
      </c>
      <c r="J1157" s="81">
        <v>60</v>
      </c>
      <c r="K1157" t="s">
        <v>48</v>
      </c>
    </row>
    <row r="1158" spans="2:11" x14ac:dyDescent="0.25">
      <c r="B1158" s="2">
        <f>+B1157</f>
        <v>28</v>
      </c>
      <c r="C1158" s="4">
        <v>1596.902</v>
      </c>
      <c r="D1158" s="4">
        <v>1470.4270000000001</v>
      </c>
      <c r="E1158" s="79">
        <v>604.26</v>
      </c>
      <c r="F1158" s="79">
        <f>SUM(BASE_DATOS[[#This Row],[Capital($)]:[Interés
Resarcitorio($)]])</f>
        <v>3671.5889999999999</v>
      </c>
      <c r="G1158" s="8">
        <v>45011</v>
      </c>
      <c r="H1158" s="80" t="s">
        <v>58</v>
      </c>
      <c r="I1158" s="79" t="s">
        <v>7</v>
      </c>
      <c r="J1158" s="81">
        <v>60</v>
      </c>
      <c r="K1158" t="s">
        <v>48</v>
      </c>
    </row>
    <row r="1159" spans="2:11" x14ac:dyDescent="0.25">
      <c r="B1159" s="2">
        <v>29</v>
      </c>
      <c r="C1159" s="4">
        <v>1596.902</v>
      </c>
      <c r="D1159" s="4">
        <v>1561.6100000000001</v>
      </c>
      <c r="E1159" s="79">
        <v>0</v>
      </c>
      <c r="F1159" s="79">
        <f>SUM(BASE_DATOS[[#This Row],[Capital($)]:[Interés
Resarcitorio($)]])</f>
        <v>3158.5120000000002</v>
      </c>
      <c r="G1159" s="8">
        <v>45032</v>
      </c>
      <c r="H1159" s="80" t="s">
        <v>58</v>
      </c>
      <c r="I1159" s="79" t="s">
        <v>9</v>
      </c>
      <c r="J1159" s="81">
        <v>60</v>
      </c>
      <c r="K1159" t="s">
        <v>48</v>
      </c>
    </row>
    <row r="1160" spans="2:11" x14ac:dyDescent="0.25">
      <c r="B1160" s="2">
        <f>+B1159</f>
        <v>29</v>
      </c>
      <c r="C1160" s="4">
        <v>1596.902</v>
      </c>
      <c r="D1160" s="4">
        <v>1561.6100000000001</v>
      </c>
      <c r="E1160" s="79">
        <v>622.23</v>
      </c>
      <c r="F1160" s="79">
        <f>SUM(BASE_DATOS[[#This Row],[Capital($)]:[Interés
Resarcitorio($)]])</f>
        <v>3780.7420000000002</v>
      </c>
      <c r="G1160" s="8">
        <v>45042</v>
      </c>
      <c r="H1160" s="80" t="s">
        <v>58</v>
      </c>
      <c r="I1160" s="79" t="s">
        <v>7</v>
      </c>
      <c r="J1160" s="81">
        <v>60</v>
      </c>
      <c r="K1160" t="s">
        <v>48</v>
      </c>
    </row>
    <row r="1161" spans="2:11" x14ac:dyDescent="0.25">
      <c r="B1161" s="2">
        <v>30</v>
      </c>
      <c r="C1161" s="4">
        <v>1596.902</v>
      </c>
      <c r="D1161" s="4">
        <v>1652.7939999999999</v>
      </c>
      <c r="E1161" s="79">
        <v>0</v>
      </c>
      <c r="F1161" s="79">
        <f>SUM(BASE_DATOS[[#This Row],[Capital($)]:[Interés
Resarcitorio($)]])</f>
        <v>3249.6959999999999</v>
      </c>
      <c r="G1161" s="8">
        <v>45062</v>
      </c>
      <c r="H1161" s="80" t="s">
        <v>58</v>
      </c>
      <c r="I1161" s="79" t="s">
        <v>9</v>
      </c>
      <c r="J1161" s="81">
        <v>60</v>
      </c>
      <c r="K1161" t="s">
        <v>48</v>
      </c>
    </row>
    <row r="1162" spans="2:11" x14ac:dyDescent="0.25">
      <c r="B1162" s="2">
        <f>+B1161</f>
        <v>30</v>
      </c>
      <c r="C1162" s="4">
        <v>1596.902</v>
      </c>
      <c r="D1162" s="4">
        <v>1652.7939999999999</v>
      </c>
      <c r="E1162" s="79">
        <v>640.19000000000005</v>
      </c>
      <c r="F1162" s="79">
        <f>SUM(BASE_DATOS[[#This Row],[Capital($)]:[Interés
Resarcitorio($)]])</f>
        <v>3889.886</v>
      </c>
      <c r="G1162" s="8">
        <v>45072</v>
      </c>
      <c r="H1162" s="80" t="s">
        <v>58</v>
      </c>
      <c r="I1162" s="79" t="s">
        <v>7</v>
      </c>
      <c r="J1162" s="81">
        <v>60</v>
      </c>
      <c r="K1162" t="s">
        <v>48</v>
      </c>
    </row>
    <row r="1163" spans="2:11" x14ac:dyDescent="0.25">
      <c r="B1163" s="2">
        <v>31</v>
      </c>
      <c r="C1163" s="4">
        <v>1596.902</v>
      </c>
      <c r="D1163" s="4">
        <v>1775.4360000000001</v>
      </c>
      <c r="E1163" s="79">
        <v>0</v>
      </c>
      <c r="F1163" s="79">
        <f>SUM(BASE_DATOS[[#This Row],[Capital($)]:[Interés
Resarcitorio($)]])</f>
        <v>3372.3380000000002</v>
      </c>
      <c r="G1163" s="8">
        <v>45093</v>
      </c>
      <c r="H1163" s="80" t="s">
        <v>58</v>
      </c>
      <c r="I1163" s="79" t="s">
        <v>9</v>
      </c>
      <c r="J1163" s="81">
        <v>60</v>
      </c>
      <c r="K1163" t="s">
        <v>48</v>
      </c>
    </row>
    <row r="1164" spans="2:11" x14ac:dyDescent="0.25">
      <c r="B1164" s="2">
        <f>+B1163</f>
        <v>31</v>
      </c>
      <c r="C1164" s="4">
        <v>1596.902</v>
      </c>
      <c r="D1164" s="4">
        <v>1775.4360000000001</v>
      </c>
      <c r="E1164" s="79">
        <v>664.35</v>
      </c>
      <c r="F1164" s="79">
        <f>SUM(BASE_DATOS[[#This Row],[Capital($)]:[Interés
Resarcitorio($)]])</f>
        <v>4036.6880000000001</v>
      </c>
      <c r="G1164" s="8">
        <v>45103</v>
      </c>
      <c r="H1164" s="80" t="s">
        <v>58</v>
      </c>
      <c r="I1164" s="79" t="s">
        <v>7</v>
      </c>
      <c r="J1164" s="81">
        <v>60</v>
      </c>
      <c r="K1164" t="s">
        <v>48</v>
      </c>
    </row>
    <row r="1165" spans="2:11" x14ac:dyDescent="0.25">
      <c r="B1165" s="2">
        <v>32</v>
      </c>
      <c r="C1165" s="4">
        <v>1596.902</v>
      </c>
      <c r="D1165" s="4">
        <v>1898.078</v>
      </c>
      <c r="E1165" s="79">
        <v>0</v>
      </c>
      <c r="F1165" s="79">
        <f>SUM(BASE_DATOS[[#This Row],[Capital($)]:[Interés
Resarcitorio($)]])</f>
        <v>3494.98</v>
      </c>
      <c r="G1165" s="8">
        <v>45123</v>
      </c>
      <c r="H1165" s="80" t="s">
        <v>58</v>
      </c>
      <c r="I1165" s="79" t="s">
        <v>9</v>
      </c>
      <c r="J1165" s="81">
        <v>60</v>
      </c>
      <c r="K1165" t="s">
        <v>48</v>
      </c>
    </row>
    <row r="1166" spans="2:11" x14ac:dyDescent="0.25">
      <c r="B1166" s="2">
        <f>+B1165</f>
        <v>32</v>
      </c>
      <c r="C1166" s="4">
        <v>1596.902</v>
      </c>
      <c r="D1166" s="4">
        <v>1898.078</v>
      </c>
      <c r="E1166" s="79">
        <v>688.51</v>
      </c>
      <c r="F1166" s="79">
        <f>SUM(BASE_DATOS[[#This Row],[Capital($)]:[Interés
Resarcitorio($)]])</f>
        <v>4183.49</v>
      </c>
      <c r="G1166" s="8">
        <v>45133</v>
      </c>
      <c r="H1166" s="80" t="s">
        <v>58</v>
      </c>
      <c r="I1166" s="79" t="s">
        <v>7</v>
      </c>
      <c r="J1166" s="81">
        <v>60</v>
      </c>
      <c r="K1166" t="s">
        <v>48</v>
      </c>
    </row>
    <row r="1167" spans="2:11" x14ac:dyDescent="0.25">
      <c r="B1167" s="2">
        <v>33</v>
      </c>
      <c r="C1167" s="4">
        <v>1596.902</v>
      </c>
      <c r="D1167" s="4">
        <v>2020.72</v>
      </c>
      <c r="E1167" s="79">
        <v>0</v>
      </c>
      <c r="F1167" s="79">
        <f>SUM(BASE_DATOS[[#This Row],[Capital($)]:[Interés
Resarcitorio($)]])</f>
        <v>3617.6220000000003</v>
      </c>
      <c r="G1167" s="8">
        <v>45154</v>
      </c>
      <c r="H1167" s="80" t="s">
        <v>58</v>
      </c>
      <c r="I1167" s="79" t="s">
        <v>9</v>
      </c>
      <c r="J1167" s="81">
        <v>60</v>
      </c>
      <c r="K1167" t="s">
        <v>48</v>
      </c>
    </row>
    <row r="1168" spans="2:11" x14ac:dyDescent="0.25">
      <c r="B1168" s="2">
        <f>+B1167</f>
        <v>33</v>
      </c>
      <c r="C1168" s="4">
        <v>1596.902</v>
      </c>
      <c r="D1168" s="4">
        <v>2020.72</v>
      </c>
      <c r="E1168" s="79">
        <v>712.67</v>
      </c>
      <c r="F1168" s="79">
        <f>SUM(BASE_DATOS[[#This Row],[Capital($)]:[Interés
Resarcitorio($)]])</f>
        <v>4330.2920000000004</v>
      </c>
      <c r="G1168" s="8">
        <v>45164</v>
      </c>
      <c r="H1168" s="80" t="s">
        <v>58</v>
      </c>
      <c r="I1168" s="79" t="s">
        <v>7</v>
      </c>
      <c r="J1168" s="81">
        <v>60</v>
      </c>
      <c r="K1168" t="s">
        <v>48</v>
      </c>
    </row>
    <row r="1169" spans="2:11" x14ac:dyDescent="0.25">
      <c r="B1169" s="2">
        <v>34</v>
      </c>
      <c r="C1169" s="4">
        <v>1596.902</v>
      </c>
      <c r="D1169" s="4">
        <v>2143.3620000000001</v>
      </c>
      <c r="E1169" s="79">
        <v>0</v>
      </c>
      <c r="F1169" s="79">
        <f>SUM(BASE_DATOS[[#This Row],[Capital($)]:[Interés
Resarcitorio($)]])</f>
        <v>3740.2640000000001</v>
      </c>
      <c r="G1169" s="8">
        <v>45185</v>
      </c>
      <c r="H1169" s="80" t="s">
        <v>58</v>
      </c>
      <c r="I1169" s="79" t="s">
        <v>9</v>
      </c>
      <c r="J1169" s="81">
        <v>60</v>
      </c>
      <c r="K1169" t="s">
        <v>48</v>
      </c>
    </row>
    <row r="1170" spans="2:11" x14ac:dyDescent="0.25">
      <c r="B1170" s="2">
        <f>+B1169</f>
        <v>34</v>
      </c>
      <c r="C1170" s="4">
        <v>1596.902</v>
      </c>
      <c r="D1170" s="4">
        <v>2143.3620000000001</v>
      </c>
      <c r="E1170" s="79">
        <v>736.83</v>
      </c>
      <c r="F1170" s="79">
        <f>SUM(BASE_DATOS[[#This Row],[Capital($)]:[Interés
Resarcitorio($)]])</f>
        <v>4477.0940000000001</v>
      </c>
      <c r="G1170" s="8">
        <v>45195</v>
      </c>
      <c r="H1170" s="80" t="s">
        <v>58</v>
      </c>
      <c r="I1170" s="79" t="s">
        <v>7</v>
      </c>
      <c r="J1170" s="81">
        <v>60</v>
      </c>
      <c r="K1170" t="s">
        <v>48</v>
      </c>
    </row>
    <row r="1171" spans="2:11" x14ac:dyDescent="0.25">
      <c r="B1171" s="2">
        <v>35</v>
      </c>
      <c r="C1171" s="4">
        <v>1596.902</v>
      </c>
      <c r="D1171" s="4">
        <v>2266.0039999999999</v>
      </c>
      <c r="E1171" s="79">
        <v>0</v>
      </c>
      <c r="F1171" s="79">
        <f>SUM(BASE_DATOS[[#This Row],[Capital($)]:[Interés
Resarcitorio($)]])</f>
        <v>3862.9059999999999</v>
      </c>
      <c r="G1171" s="8">
        <v>45215</v>
      </c>
      <c r="H1171" s="80" t="s">
        <v>58</v>
      </c>
      <c r="I1171" s="79" t="s">
        <v>9</v>
      </c>
      <c r="J1171" s="81">
        <v>60</v>
      </c>
      <c r="K1171" t="s">
        <v>48</v>
      </c>
    </row>
    <row r="1172" spans="2:11" x14ac:dyDescent="0.25">
      <c r="B1172" s="2">
        <f>+B1171</f>
        <v>35</v>
      </c>
      <c r="C1172" s="4">
        <v>1596.902</v>
      </c>
      <c r="D1172" s="4">
        <v>2266.0039999999999</v>
      </c>
      <c r="E1172" s="79">
        <v>760.99</v>
      </c>
      <c r="F1172" s="79">
        <f>SUM(BASE_DATOS[[#This Row],[Capital($)]:[Interés
Resarcitorio($)]])</f>
        <v>4623.8959999999997</v>
      </c>
      <c r="G1172" s="8">
        <v>45225</v>
      </c>
      <c r="H1172" s="80" t="s">
        <v>58</v>
      </c>
      <c r="I1172" s="79" t="s">
        <v>7</v>
      </c>
      <c r="J1172" s="81">
        <v>60</v>
      </c>
      <c r="K1172" t="s">
        <v>48</v>
      </c>
    </row>
    <row r="1173" spans="2:11" x14ac:dyDescent="0.25">
      <c r="B1173" s="2">
        <v>36</v>
      </c>
      <c r="C1173" s="4">
        <v>1596.902</v>
      </c>
      <c r="D1173" s="4">
        <v>2388.6459999999997</v>
      </c>
      <c r="E1173" s="79">
        <v>0</v>
      </c>
      <c r="F1173" s="79">
        <f>SUM(BASE_DATOS[[#This Row],[Capital($)]:[Interés
Resarcitorio($)]])</f>
        <v>3985.5479999999998</v>
      </c>
      <c r="G1173" s="8">
        <v>45246</v>
      </c>
      <c r="H1173" s="80" t="s">
        <v>58</v>
      </c>
      <c r="I1173" s="79" t="s">
        <v>9</v>
      </c>
      <c r="J1173" s="81">
        <v>60</v>
      </c>
      <c r="K1173" t="s">
        <v>48</v>
      </c>
    </row>
    <row r="1174" spans="2:11" x14ac:dyDescent="0.25">
      <c r="B1174" s="2">
        <f>+B1173</f>
        <v>36</v>
      </c>
      <c r="C1174" s="4">
        <v>1596.902</v>
      </c>
      <c r="D1174" s="4">
        <v>2388.6459999999997</v>
      </c>
      <c r="E1174" s="79">
        <v>785.15</v>
      </c>
      <c r="F1174" s="79">
        <f>SUM(BASE_DATOS[[#This Row],[Capital($)]:[Interés
Resarcitorio($)]])</f>
        <v>4770.6979999999994</v>
      </c>
      <c r="G1174" s="8">
        <v>45256</v>
      </c>
      <c r="H1174" s="80" t="s">
        <v>58</v>
      </c>
      <c r="I1174" s="79" t="s">
        <v>7</v>
      </c>
      <c r="J1174" s="81">
        <v>60</v>
      </c>
      <c r="K1174" t="s">
        <v>48</v>
      </c>
    </row>
    <row r="1175" spans="2:11" x14ac:dyDescent="0.25">
      <c r="B1175" s="2">
        <v>37</v>
      </c>
      <c r="C1175" s="4">
        <v>1596.902</v>
      </c>
      <c r="D1175" s="4">
        <v>2560.6320000000001</v>
      </c>
      <c r="E1175" s="79">
        <v>0</v>
      </c>
      <c r="F1175" s="79">
        <f>SUM(BASE_DATOS[[#This Row],[Capital($)]:[Interés
Resarcitorio($)]])</f>
        <v>4157.5339999999997</v>
      </c>
      <c r="G1175" s="8">
        <v>45276</v>
      </c>
      <c r="H1175" s="80" t="s">
        <v>58</v>
      </c>
      <c r="I1175" s="79" t="s">
        <v>9</v>
      </c>
      <c r="J1175" s="81">
        <v>60</v>
      </c>
      <c r="K1175" t="s">
        <v>48</v>
      </c>
    </row>
    <row r="1176" spans="2:11" x14ac:dyDescent="0.25">
      <c r="B1176" s="2">
        <f>+B1175</f>
        <v>37</v>
      </c>
      <c r="C1176" s="4">
        <v>1596.902</v>
      </c>
      <c r="D1176" s="4">
        <v>2560.6320000000001</v>
      </c>
      <c r="E1176" s="79">
        <v>819.03</v>
      </c>
      <c r="F1176" s="79">
        <f>SUM(BASE_DATOS[[#This Row],[Capital($)]:[Interés
Resarcitorio($)]])</f>
        <v>4976.5639999999994</v>
      </c>
      <c r="G1176" s="8">
        <v>45286</v>
      </c>
      <c r="H1176" s="80" t="s">
        <v>58</v>
      </c>
      <c r="I1176" s="79" t="s">
        <v>7</v>
      </c>
      <c r="J1176" s="81">
        <v>60</v>
      </c>
      <c r="K1176" t="s">
        <v>48</v>
      </c>
    </row>
    <row r="1177" spans="2:11" x14ac:dyDescent="0.25">
      <c r="B1177" s="2">
        <v>38</v>
      </c>
      <c r="C1177" s="4">
        <v>1596.902</v>
      </c>
      <c r="D1177" s="4">
        <v>2732.6189999999997</v>
      </c>
      <c r="E1177" s="79">
        <v>0</v>
      </c>
      <c r="F1177" s="79">
        <f>SUM(BASE_DATOS[[#This Row],[Capital($)]:[Interés
Resarcitorio($)]])</f>
        <v>4329.5209999999997</v>
      </c>
      <c r="G1177" s="8">
        <v>45307</v>
      </c>
      <c r="H1177" s="80" t="s">
        <v>58</v>
      </c>
      <c r="I1177" s="79" t="s">
        <v>9</v>
      </c>
      <c r="J1177" s="81">
        <v>60</v>
      </c>
      <c r="K1177" t="s">
        <v>48</v>
      </c>
    </row>
    <row r="1178" spans="2:11" x14ac:dyDescent="0.25">
      <c r="B1178" s="2">
        <f>+B1177</f>
        <v>38</v>
      </c>
      <c r="C1178" s="4">
        <v>1596.902</v>
      </c>
      <c r="D1178" s="4">
        <v>2732.6189999999997</v>
      </c>
      <c r="E1178" s="79">
        <v>852.92</v>
      </c>
      <c r="F1178" s="79">
        <f>SUM(BASE_DATOS[[#This Row],[Capital($)]:[Interés
Resarcitorio($)]])</f>
        <v>5182.4409999999998</v>
      </c>
      <c r="G1178" s="8">
        <v>45317</v>
      </c>
      <c r="H1178" s="80" t="s">
        <v>58</v>
      </c>
      <c r="I1178" s="79" t="s">
        <v>7</v>
      </c>
      <c r="J1178" s="81">
        <v>60</v>
      </c>
      <c r="K1178" t="s">
        <v>48</v>
      </c>
    </row>
    <row r="1179" spans="2:11" x14ac:dyDescent="0.25">
      <c r="B1179" s="2">
        <v>39</v>
      </c>
      <c r="C1179" s="4">
        <v>1596.902</v>
      </c>
      <c r="D1179" s="4">
        <v>2904.605</v>
      </c>
      <c r="E1179" s="79">
        <v>0</v>
      </c>
      <c r="F1179" s="79">
        <f>SUM(BASE_DATOS[[#This Row],[Capital($)]:[Interés
Resarcitorio($)]])</f>
        <v>4501.5069999999996</v>
      </c>
      <c r="G1179" s="8">
        <v>45338</v>
      </c>
      <c r="H1179" s="80" t="s">
        <v>58</v>
      </c>
      <c r="I1179" s="79" t="s">
        <v>9</v>
      </c>
      <c r="J1179" s="81">
        <v>60</v>
      </c>
      <c r="K1179" t="s">
        <v>48</v>
      </c>
    </row>
    <row r="1180" spans="2:11" x14ac:dyDescent="0.25">
      <c r="B1180" s="2">
        <f>+B1179</f>
        <v>39</v>
      </c>
      <c r="C1180" s="4">
        <v>1596.902</v>
      </c>
      <c r="D1180" s="4">
        <v>2904.605</v>
      </c>
      <c r="E1180" s="79">
        <v>2291.27</v>
      </c>
      <c r="F1180" s="79">
        <f>SUM(BASE_DATOS[[#This Row],[Capital($)]:[Interés
Resarcitorio($)]])</f>
        <v>6792.777</v>
      </c>
      <c r="G1180" s="8">
        <v>45348</v>
      </c>
      <c r="H1180" s="80" t="s">
        <v>58</v>
      </c>
      <c r="I1180" s="79" t="s">
        <v>7</v>
      </c>
      <c r="J1180" s="81">
        <v>60</v>
      </c>
      <c r="K1180" t="s">
        <v>48</v>
      </c>
    </row>
    <row r="1181" spans="2:11" x14ac:dyDescent="0.25">
      <c r="B1181" s="2">
        <v>40</v>
      </c>
      <c r="C1181" s="4">
        <v>1596.902</v>
      </c>
      <c r="D1181" s="4">
        <v>3076.5909999999999</v>
      </c>
      <c r="E1181" s="79">
        <v>0</v>
      </c>
      <c r="F1181" s="79">
        <f>SUM(BASE_DATOS[[#This Row],[Capital($)]:[Interés
Resarcitorio($)]])</f>
        <v>4673.4930000000004</v>
      </c>
      <c r="G1181" s="8">
        <v>45367</v>
      </c>
      <c r="H1181" s="80" t="s">
        <v>58</v>
      </c>
      <c r="I1181" s="79" t="s">
        <v>9</v>
      </c>
      <c r="J1181" s="81">
        <v>60</v>
      </c>
      <c r="K1181" t="s">
        <v>48</v>
      </c>
    </row>
    <row r="1182" spans="2:11" x14ac:dyDescent="0.25">
      <c r="B1182" s="2">
        <f>+B1181</f>
        <v>40</v>
      </c>
      <c r="C1182" s="4">
        <v>1596.902</v>
      </c>
      <c r="D1182" s="4">
        <v>3076.5909999999999</v>
      </c>
      <c r="E1182" s="79">
        <v>2378.81</v>
      </c>
      <c r="F1182" s="79">
        <f>SUM(BASE_DATOS[[#This Row],[Capital($)]:[Interés
Resarcitorio($)]])</f>
        <v>7052.3029999999999</v>
      </c>
      <c r="G1182" s="8">
        <v>45377</v>
      </c>
      <c r="H1182" s="80" t="s">
        <v>58</v>
      </c>
      <c r="I1182" s="79" t="s">
        <v>7</v>
      </c>
      <c r="J1182" s="81">
        <v>60</v>
      </c>
      <c r="K1182" t="s">
        <v>48</v>
      </c>
    </row>
    <row r="1183" spans="2:11" x14ac:dyDescent="0.25">
      <c r="B1183" s="2">
        <v>41</v>
      </c>
      <c r="C1183" s="4">
        <v>1596.902</v>
      </c>
      <c r="D1183" s="4">
        <v>3248.578</v>
      </c>
      <c r="E1183" s="79">
        <v>0</v>
      </c>
      <c r="F1183" s="79">
        <f>SUM(BASE_DATOS[[#This Row],[Capital($)]:[Interés
Resarcitorio($)]])</f>
        <v>4845.4799999999996</v>
      </c>
      <c r="G1183" s="8">
        <v>45398</v>
      </c>
      <c r="H1183" s="80" t="s">
        <v>58</v>
      </c>
      <c r="I1183" s="79" t="s">
        <v>9</v>
      </c>
      <c r="J1183" s="81">
        <v>60</v>
      </c>
      <c r="K1183" t="s">
        <v>48</v>
      </c>
    </row>
    <row r="1184" spans="2:11" x14ac:dyDescent="0.25">
      <c r="B1184" s="2">
        <f>+B1183</f>
        <v>41</v>
      </c>
      <c r="C1184" s="4">
        <v>1596.902</v>
      </c>
      <c r="D1184" s="4">
        <v>3248.578</v>
      </c>
      <c r="E1184" s="79">
        <v>1949.5</v>
      </c>
      <c r="F1184" s="79">
        <f>SUM(BASE_DATOS[[#This Row],[Capital($)]:[Interés
Resarcitorio($)]])</f>
        <v>6794.98</v>
      </c>
      <c r="G1184" s="8">
        <v>45408</v>
      </c>
      <c r="H1184" s="80" t="s">
        <v>58</v>
      </c>
      <c r="I1184" s="79" t="s">
        <v>7</v>
      </c>
      <c r="J1184" s="81">
        <v>60</v>
      </c>
      <c r="K1184" t="s">
        <v>48</v>
      </c>
    </row>
    <row r="1185" spans="2:11" x14ac:dyDescent="0.25">
      <c r="B1185" s="2">
        <v>42</v>
      </c>
      <c r="C1185" s="4">
        <v>1596.902</v>
      </c>
      <c r="D1185" s="4">
        <v>3420.5639999999999</v>
      </c>
      <c r="E1185" s="79">
        <v>0</v>
      </c>
      <c r="F1185" s="79">
        <f>SUM(BASE_DATOS[[#This Row],[Capital($)]:[Interés
Resarcitorio($)]])</f>
        <v>5017.4660000000003</v>
      </c>
      <c r="G1185" s="8">
        <v>45428</v>
      </c>
      <c r="H1185" s="80" t="s">
        <v>58</v>
      </c>
      <c r="I1185" s="79" t="s">
        <v>9</v>
      </c>
      <c r="J1185" s="81">
        <v>60</v>
      </c>
      <c r="K1185" t="s">
        <v>48</v>
      </c>
    </row>
    <row r="1186" spans="2:11" x14ac:dyDescent="0.25">
      <c r="B1186" s="2">
        <f>+B1185</f>
        <v>42</v>
      </c>
      <c r="C1186" s="4">
        <v>1596.902</v>
      </c>
      <c r="D1186" s="4">
        <v>3420.5639999999999</v>
      </c>
      <c r="E1186" s="79">
        <v>2018.69</v>
      </c>
      <c r="F1186" s="79">
        <f>SUM(BASE_DATOS[[#This Row],[Capital($)]:[Interés
Resarcitorio($)]])</f>
        <v>7036.1560000000009</v>
      </c>
      <c r="G1186" s="8">
        <v>45438</v>
      </c>
      <c r="H1186" s="80" t="s">
        <v>58</v>
      </c>
      <c r="I1186" s="79" t="s">
        <v>7</v>
      </c>
      <c r="J1186" s="81">
        <v>60</v>
      </c>
      <c r="K1186" t="s">
        <v>48</v>
      </c>
    </row>
    <row r="1187" spans="2:11" x14ac:dyDescent="0.25">
      <c r="B1187" s="2">
        <v>43</v>
      </c>
      <c r="C1187" s="4">
        <v>1596.902</v>
      </c>
      <c r="D1187" s="4">
        <v>3463.0419999999999</v>
      </c>
      <c r="E1187" s="79">
        <v>0</v>
      </c>
      <c r="F1187" s="79">
        <f>SUM(BASE_DATOS[[#This Row],[Capital($)]:[Interés
Resarcitorio($)]])</f>
        <v>5059.9439999999995</v>
      </c>
      <c r="G1187" s="8">
        <v>45459</v>
      </c>
      <c r="H1187" s="80" t="s">
        <v>58</v>
      </c>
      <c r="I1187" s="79" t="s">
        <v>9</v>
      </c>
      <c r="J1187" s="81">
        <v>60</v>
      </c>
      <c r="K1187" t="s">
        <v>48</v>
      </c>
    </row>
    <row r="1188" spans="2:11" x14ac:dyDescent="0.25">
      <c r="B1188" s="2">
        <f>+B1187</f>
        <v>43</v>
      </c>
      <c r="C1188" s="4">
        <v>1596.902</v>
      </c>
      <c r="D1188" s="4">
        <v>3463.0419999999999</v>
      </c>
      <c r="E1188" s="79">
        <v>1081.1400000000001</v>
      </c>
      <c r="F1188" s="79">
        <f>SUM(BASE_DATOS[[#This Row],[Capital($)]:[Interés
Resarcitorio($)]])</f>
        <v>6141.0839999999998</v>
      </c>
      <c r="G1188" s="8">
        <v>45469</v>
      </c>
      <c r="H1188" s="80" t="s">
        <v>58</v>
      </c>
      <c r="I1188" s="79" t="s">
        <v>7</v>
      </c>
      <c r="J1188" s="81">
        <v>60</v>
      </c>
      <c r="K1188" t="s">
        <v>48</v>
      </c>
    </row>
    <row r="1189" spans="2:11" x14ac:dyDescent="0.25">
      <c r="B1189" s="2">
        <v>44</v>
      </c>
      <c r="C1189" s="4">
        <v>1596.902</v>
      </c>
      <c r="D1189" s="4">
        <v>3505.5190000000002</v>
      </c>
      <c r="E1189" s="79">
        <v>0</v>
      </c>
      <c r="F1189" s="79">
        <f>SUM(BASE_DATOS[[#This Row],[Capital($)]:[Interés
Resarcitorio($)]])</f>
        <v>5102.4210000000003</v>
      </c>
      <c r="G1189" s="8">
        <v>45489</v>
      </c>
      <c r="H1189" s="80" t="s">
        <v>58</v>
      </c>
      <c r="I1189" s="79" t="s">
        <v>9</v>
      </c>
      <c r="J1189" s="81">
        <v>60</v>
      </c>
      <c r="K1189" t="s">
        <v>48</v>
      </c>
    </row>
    <row r="1190" spans="2:11" x14ac:dyDescent="0.25">
      <c r="B1190" s="2">
        <f>+B1189</f>
        <v>44</v>
      </c>
      <c r="C1190" s="4">
        <v>1596.902</v>
      </c>
      <c r="D1190" s="4">
        <v>3505.5190000000002</v>
      </c>
      <c r="E1190" s="79">
        <v>1090.22</v>
      </c>
      <c r="F1190" s="79">
        <f>SUM(BASE_DATOS[[#This Row],[Capital($)]:[Interés
Resarcitorio($)]])</f>
        <v>6192.6410000000005</v>
      </c>
      <c r="G1190" s="8">
        <v>45499</v>
      </c>
      <c r="H1190" s="80" t="s">
        <v>58</v>
      </c>
      <c r="I1190" s="79" t="s">
        <v>7</v>
      </c>
      <c r="J1190" s="81">
        <v>60</v>
      </c>
      <c r="K1190" t="s">
        <v>48</v>
      </c>
    </row>
    <row r="1191" spans="2:11" x14ac:dyDescent="0.25">
      <c r="B1191" s="2">
        <v>45</v>
      </c>
      <c r="C1191" s="4">
        <v>1596.902</v>
      </c>
      <c r="D1191" s="4">
        <v>3547.9970000000003</v>
      </c>
      <c r="E1191" s="79">
        <v>0</v>
      </c>
      <c r="F1191" s="79">
        <f>SUM(BASE_DATOS[[#This Row],[Capital($)]:[Interés
Resarcitorio($)]])</f>
        <v>5144.8990000000003</v>
      </c>
      <c r="G1191" s="8">
        <v>45520</v>
      </c>
      <c r="H1191" s="80" t="s">
        <v>58</v>
      </c>
      <c r="I1191" s="79" t="s">
        <v>9</v>
      </c>
      <c r="J1191" s="81">
        <v>60</v>
      </c>
      <c r="K1191" t="s">
        <v>48</v>
      </c>
    </row>
    <row r="1192" spans="2:11" x14ac:dyDescent="0.25">
      <c r="B1192" s="2">
        <f>+B1191</f>
        <v>45</v>
      </c>
      <c r="C1192" s="4">
        <v>1596.902</v>
      </c>
      <c r="D1192" s="4">
        <v>3547.9970000000003</v>
      </c>
      <c r="E1192" s="79">
        <v>1099.29</v>
      </c>
      <c r="F1192" s="79">
        <f>SUM(BASE_DATOS[[#This Row],[Capital($)]:[Interés
Resarcitorio($)]])</f>
        <v>6244.1890000000003</v>
      </c>
      <c r="G1192" s="8">
        <v>45530</v>
      </c>
      <c r="H1192" s="80" t="s">
        <v>58</v>
      </c>
      <c r="I1192" s="79" t="s">
        <v>7</v>
      </c>
      <c r="J1192" s="81">
        <v>60</v>
      </c>
      <c r="K1192" t="s">
        <v>48</v>
      </c>
    </row>
    <row r="1193" spans="2:11" x14ac:dyDescent="0.25">
      <c r="B1193" s="2">
        <v>46</v>
      </c>
      <c r="C1193" s="4">
        <v>1596.902</v>
      </c>
      <c r="D1193" s="4">
        <v>3590.4739999999997</v>
      </c>
      <c r="E1193" s="79">
        <v>0</v>
      </c>
      <c r="F1193" s="79">
        <f>SUM(BASE_DATOS[[#This Row],[Capital($)]:[Interés
Resarcitorio($)]])</f>
        <v>5187.3760000000002</v>
      </c>
      <c r="G1193" s="8">
        <v>45551</v>
      </c>
      <c r="H1193" s="80" t="s">
        <v>58</v>
      </c>
      <c r="I1193" s="79" t="s">
        <v>9</v>
      </c>
      <c r="J1193" s="81">
        <v>60</v>
      </c>
      <c r="K1193" t="s">
        <v>48</v>
      </c>
    </row>
    <row r="1194" spans="2:11" x14ac:dyDescent="0.25">
      <c r="B1194" s="2">
        <f>+B1193</f>
        <v>46</v>
      </c>
      <c r="C1194" s="4">
        <v>1596.902</v>
      </c>
      <c r="D1194" s="4">
        <v>3590.4739999999997</v>
      </c>
      <c r="E1194" s="79">
        <v>1108.3699999999999</v>
      </c>
      <c r="F1194" s="79">
        <f>SUM(BASE_DATOS[[#This Row],[Capital($)]:[Interés
Resarcitorio($)]])</f>
        <v>6295.7460000000001</v>
      </c>
      <c r="G1194" s="8">
        <v>45561</v>
      </c>
      <c r="H1194" s="80" t="s">
        <v>58</v>
      </c>
      <c r="I1194" s="79" t="s">
        <v>7</v>
      </c>
      <c r="J1194" s="81">
        <v>60</v>
      </c>
      <c r="K1194" t="s">
        <v>48</v>
      </c>
    </row>
    <row r="1195" spans="2:11" x14ac:dyDescent="0.25">
      <c r="B1195" s="2">
        <v>47</v>
      </c>
      <c r="C1195" s="4">
        <v>1596.902</v>
      </c>
      <c r="D1195" s="4">
        <v>3632.9519999999998</v>
      </c>
      <c r="E1195" s="79">
        <v>0</v>
      </c>
      <c r="F1195" s="79">
        <f>SUM(BASE_DATOS[[#This Row],[Capital($)]:[Interés
Resarcitorio($)]])</f>
        <v>5229.8539999999994</v>
      </c>
      <c r="G1195" s="8">
        <v>45581</v>
      </c>
      <c r="H1195" s="80" t="s">
        <v>58</v>
      </c>
      <c r="I1195" s="79" t="s">
        <v>9</v>
      </c>
      <c r="J1195" s="81">
        <v>60</v>
      </c>
      <c r="K1195" t="s">
        <v>48</v>
      </c>
    </row>
    <row r="1196" spans="2:11" x14ac:dyDescent="0.25">
      <c r="B1196" s="2">
        <f>+B1195</f>
        <v>47</v>
      </c>
      <c r="C1196" s="4">
        <v>1596.902</v>
      </c>
      <c r="D1196" s="4">
        <v>3632.9519999999998</v>
      </c>
      <c r="E1196" s="79">
        <v>1117.45</v>
      </c>
      <c r="F1196" s="79">
        <f>SUM(BASE_DATOS[[#This Row],[Capital($)]:[Interés
Resarcitorio($)]])</f>
        <v>6347.3039999999992</v>
      </c>
      <c r="G1196" s="8">
        <v>45591</v>
      </c>
      <c r="H1196" s="80" t="s">
        <v>58</v>
      </c>
      <c r="I1196" s="79" t="s">
        <v>7</v>
      </c>
      <c r="J1196" s="81">
        <v>60</v>
      </c>
      <c r="K1196" t="s">
        <v>48</v>
      </c>
    </row>
    <row r="1197" spans="2:11" x14ac:dyDescent="0.25">
      <c r="B1197" s="2">
        <v>48</v>
      </c>
      <c r="C1197" s="4">
        <v>1596.902</v>
      </c>
      <c r="D1197" s="4">
        <v>3675.4300000000003</v>
      </c>
      <c r="E1197" s="79">
        <v>0</v>
      </c>
      <c r="F1197" s="79">
        <f>SUM(BASE_DATOS[[#This Row],[Capital($)]:[Interés
Resarcitorio($)]])</f>
        <v>5272.3320000000003</v>
      </c>
      <c r="G1197" s="8">
        <v>45612</v>
      </c>
      <c r="H1197" s="80" t="s">
        <v>58</v>
      </c>
      <c r="I1197" s="79" t="s">
        <v>9</v>
      </c>
      <c r="J1197" s="81">
        <v>60</v>
      </c>
      <c r="K1197" t="s">
        <v>48</v>
      </c>
    </row>
    <row r="1198" spans="2:11" x14ac:dyDescent="0.25">
      <c r="B1198" s="2">
        <f>+B1197</f>
        <v>48</v>
      </c>
      <c r="C1198" s="4">
        <v>1596.902</v>
      </c>
      <c r="D1198" s="4">
        <v>3675.4300000000003</v>
      </c>
      <c r="E1198" s="79">
        <v>1126.52</v>
      </c>
      <c r="F1198" s="79">
        <f>SUM(BASE_DATOS[[#This Row],[Capital($)]:[Interés
Resarcitorio($)]])</f>
        <v>6398.8520000000008</v>
      </c>
      <c r="G1198" s="8">
        <v>45622</v>
      </c>
      <c r="H1198" s="80" t="s">
        <v>58</v>
      </c>
      <c r="I1198" s="79" t="s">
        <v>7</v>
      </c>
      <c r="J1198" s="81">
        <v>60</v>
      </c>
      <c r="K1198" t="s">
        <v>48</v>
      </c>
    </row>
    <row r="1199" spans="2:11" x14ac:dyDescent="0.25">
      <c r="B1199" s="2">
        <v>49</v>
      </c>
      <c r="C1199" s="4">
        <v>1596.902</v>
      </c>
      <c r="D1199" s="4">
        <v>3723.4960000000001</v>
      </c>
      <c r="E1199" s="79">
        <v>0</v>
      </c>
      <c r="F1199" s="79">
        <f>SUM(BASE_DATOS[[#This Row],[Capital($)]:[Interés
Resarcitorio($)]])</f>
        <v>5320.3980000000001</v>
      </c>
      <c r="G1199" s="8">
        <v>45642</v>
      </c>
      <c r="H1199" s="80" t="s">
        <v>58</v>
      </c>
      <c r="I1199" s="79" t="s">
        <v>9</v>
      </c>
      <c r="J1199" s="81">
        <v>60</v>
      </c>
      <c r="K1199" t="s">
        <v>48</v>
      </c>
    </row>
    <row r="1200" spans="2:11" x14ac:dyDescent="0.25">
      <c r="B1200" s="2">
        <f>+B1199</f>
        <v>49</v>
      </c>
      <c r="C1200" s="4">
        <v>1596.902</v>
      </c>
      <c r="D1200" s="4">
        <v>3723.4960000000001</v>
      </c>
      <c r="E1200" s="79">
        <v>1324.78</v>
      </c>
      <c r="F1200" s="79">
        <f>SUM(BASE_DATOS[[#This Row],[Capital($)]:[Interés
Resarcitorio($)]])</f>
        <v>6645.1779999999999</v>
      </c>
      <c r="G1200" s="8">
        <v>45652</v>
      </c>
      <c r="H1200" s="80" t="s">
        <v>58</v>
      </c>
      <c r="I1200" s="79" t="s">
        <v>7</v>
      </c>
      <c r="J1200" s="81">
        <v>60</v>
      </c>
      <c r="K1200" t="s">
        <v>48</v>
      </c>
    </row>
    <row r="1201" spans="2:11" x14ac:dyDescent="0.25">
      <c r="B1201" s="2">
        <v>50</v>
      </c>
      <c r="C1201" s="4">
        <v>1596.902</v>
      </c>
      <c r="D1201" s="4">
        <v>3771.5629999999996</v>
      </c>
      <c r="E1201" s="79">
        <v>0</v>
      </c>
      <c r="F1201" s="79">
        <f>SUM(BASE_DATOS[[#This Row],[Capital($)]:[Interés
Resarcitorio($)]])</f>
        <v>5368.4650000000001</v>
      </c>
      <c r="G1201" s="8">
        <v>45673</v>
      </c>
      <c r="H1201" s="80" t="s">
        <v>58</v>
      </c>
      <c r="I1201" s="79" t="s">
        <v>9</v>
      </c>
      <c r="J1201" s="81">
        <v>60</v>
      </c>
      <c r="K1201" t="s">
        <v>48</v>
      </c>
    </row>
    <row r="1202" spans="2:11" x14ac:dyDescent="0.25">
      <c r="B1202" s="2">
        <f>+B1201</f>
        <v>50</v>
      </c>
      <c r="C1202" s="4">
        <v>1596.902</v>
      </c>
      <c r="D1202" s="4">
        <v>3771.5629999999996</v>
      </c>
      <c r="E1202" s="79">
        <v>1336.75</v>
      </c>
      <c r="F1202" s="79">
        <f>SUM(BASE_DATOS[[#This Row],[Capital($)]:[Interés
Resarcitorio($)]])</f>
        <v>6705.2150000000001</v>
      </c>
      <c r="G1202" s="8">
        <v>45683</v>
      </c>
      <c r="H1202" s="80" t="s">
        <v>58</v>
      </c>
      <c r="I1202" s="79" t="s">
        <v>7</v>
      </c>
      <c r="J1202" s="81">
        <v>60</v>
      </c>
      <c r="K1202" t="s">
        <v>48</v>
      </c>
    </row>
    <row r="1203" spans="2:11" x14ac:dyDescent="0.25">
      <c r="B1203" s="2">
        <v>51</v>
      </c>
      <c r="C1203" s="4">
        <v>1596.902</v>
      </c>
      <c r="D1203" s="4">
        <v>3819.63</v>
      </c>
      <c r="E1203" s="79">
        <v>0</v>
      </c>
      <c r="F1203" s="79">
        <f>SUM(BASE_DATOS[[#This Row],[Capital($)]:[Interés
Resarcitorio($)]])</f>
        <v>5416.5320000000002</v>
      </c>
      <c r="G1203" s="8">
        <v>45704</v>
      </c>
      <c r="H1203" s="80" t="s">
        <v>58</v>
      </c>
      <c r="I1203" s="79" t="s">
        <v>9</v>
      </c>
      <c r="J1203" s="81">
        <v>60</v>
      </c>
      <c r="K1203" t="s">
        <v>48</v>
      </c>
    </row>
    <row r="1204" spans="2:11" x14ac:dyDescent="0.25">
      <c r="B1204" s="2">
        <f>+B1203</f>
        <v>51</v>
      </c>
      <c r="C1204" s="4">
        <v>1596.902</v>
      </c>
      <c r="D1204" s="4">
        <v>3819.63</v>
      </c>
      <c r="E1204" s="79">
        <v>1310.8</v>
      </c>
      <c r="F1204" s="79">
        <f>SUM(BASE_DATOS[[#This Row],[Capital($)]:[Interés
Resarcitorio($)]])</f>
        <v>6727.3320000000003</v>
      </c>
      <c r="G1204" s="8">
        <v>45714</v>
      </c>
      <c r="H1204" s="80" t="s">
        <v>58</v>
      </c>
      <c r="I1204" s="79" t="s">
        <v>7</v>
      </c>
      <c r="J1204" s="81">
        <v>60</v>
      </c>
      <c r="K1204" t="s">
        <v>48</v>
      </c>
    </row>
    <row r="1205" spans="2:11" x14ac:dyDescent="0.25">
      <c r="B1205" s="2">
        <v>52</v>
      </c>
      <c r="C1205" s="4">
        <v>1596.902</v>
      </c>
      <c r="D1205" s="4">
        <v>3867.6970000000001</v>
      </c>
      <c r="E1205" s="79">
        <v>0</v>
      </c>
      <c r="F1205" s="79">
        <f>SUM(BASE_DATOS[[#This Row],[Capital($)]:[Interés
Resarcitorio($)]])</f>
        <v>5464.5990000000002</v>
      </c>
      <c r="G1205" s="8">
        <v>45732</v>
      </c>
      <c r="H1205" s="80" t="s">
        <v>58</v>
      </c>
      <c r="I1205" s="79" t="s">
        <v>9</v>
      </c>
      <c r="J1205" s="81">
        <v>60</v>
      </c>
      <c r="K1205" t="s">
        <v>48</v>
      </c>
    </row>
    <row r="1206" spans="2:11" x14ac:dyDescent="0.25">
      <c r="B1206" s="2">
        <f>+B1205</f>
        <v>52</v>
      </c>
      <c r="C1206" s="4">
        <v>1596.902</v>
      </c>
      <c r="D1206" s="4">
        <v>3867.6970000000001</v>
      </c>
      <c r="E1206" s="79">
        <v>728.61</v>
      </c>
      <c r="F1206" s="79">
        <f>SUM(BASE_DATOS[[#This Row],[Capital($)]:[Interés
Resarcitorio($)]])</f>
        <v>6193.2089999999998</v>
      </c>
      <c r="G1206" s="8">
        <v>45742</v>
      </c>
      <c r="H1206" s="80" t="s">
        <v>58</v>
      </c>
      <c r="I1206" s="79" t="s">
        <v>7</v>
      </c>
      <c r="J1206" s="81">
        <v>60</v>
      </c>
      <c r="K1206" t="s">
        <v>48</v>
      </c>
    </row>
    <row r="1207" spans="2:11" x14ac:dyDescent="0.25">
      <c r="B1207" s="2">
        <v>53</v>
      </c>
      <c r="C1207" s="4">
        <v>1596.902</v>
      </c>
      <c r="D1207" s="4">
        <v>3915.7629999999999</v>
      </c>
      <c r="E1207" s="79">
        <v>0</v>
      </c>
      <c r="F1207" s="79">
        <f>SUM(BASE_DATOS[[#This Row],[Capital($)]:[Interés
Resarcitorio($)]])</f>
        <v>5512.665</v>
      </c>
      <c r="G1207" s="8">
        <v>45763</v>
      </c>
      <c r="H1207" s="80" t="s">
        <v>58</v>
      </c>
      <c r="I1207" s="79" t="s">
        <v>6</v>
      </c>
      <c r="J1207" s="81">
        <v>60</v>
      </c>
      <c r="K1207" t="s">
        <v>48</v>
      </c>
    </row>
    <row r="1208" spans="2:11" x14ac:dyDescent="0.25">
      <c r="B1208" s="2">
        <f>+B1207</f>
        <v>53</v>
      </c>
      <c r="C1208" s="4">
        <v>1596.902</v>
      </c>
      <c r="D1208" s="4">
        <v>3915.7629999999999</v>
      </c>
      <c r="E1208" s="79">
        <v>735.02</v>
      </c>
      <c r="F1208" s="79">
        <f>SUM(BASE_DATOS[[#This Row],[Capital($)]:[Interés
Resarcitorio($)]])</f>
        <v>6247.6849999999995</v>
      </c>
      <c r="G1208" s="8">
        <v>45773</v>
      </c>
      <c r="H1208" s="80" t="s">
        <v>58</v>
      </c>
      <c r="I1208" s="79" t="s">
        <v>7</v>
      </c>
      <c r="J1208" s="81">
        <v>60</v>
      </c>
      <c r="K1208" t="s">
        <v>48</v>
      </c>
    </row>
    <row r="1209" spans="2:11" x14ac:dyDescent="0.25">
      <c r="B1209" s="2">
        <v>54</v>
      </c>
      <c r="C1209" s="4">
        <v>1596.902</v>
      </c>
      <c r="D1209" s="4">
        <v>3963.8300000000004</v>
      </c>
      <c r="E1209" s="79">
        <v>0</v>
      </c>
      <c r="F1209" s="79">
        <f>SUM(BASE_DATOS[[#This Row],[Capital($)]:[Interés
Resarcitorio($)]])</f>
        <v>5560.732</v>
      </c>
      <c r="G1209" s="8">
        <v>45793</v>
      </c>
      <c r="H1209" s="80" t="s">
        <v>58</v>
      </c>
      <c r="I1209" s="79" t="s">
        <v>9</v>
      </c>
      <c r="J1209" s="81">
        <v>60</v>
      </c>
      <c r="K1209" t="s">
        <v>48</v>
      </c>
    </row>
    <row r="1210" spans="2:11" x14ac:dyDescent="0.25">
      <c r="B1210" s="2">
        <f>+B1209</f>
        <v>54</v>
      </c>
      <c r="C1210" s="4">
        <v>1596.902</v>
      </c>
      <c r="D1210" s="4">
        <v>3963.8300000000004</v>
      </c>
      <c r="E1210" s="79">
        <v>741.43</v>
      </c>
      <c r="F1210" s="79">
        <f>SUM(BASE_DATOS[[#This Row],[Capital($)]:[Interés
Resarcitorio($)]])</f>
        <v>6302.1620000000003</v>
      </c>
      <c r="G1210" s="8">
        <v>45803</v>
      </c>
      <c r="H1210" s="80" t="s">
        <v>58</v>
      </c>
      <c r="I1210" s="79" t="s">
        <v>7</v>
      </c>
      <c r="J1210" s="81">
        <v>60</v>
      </c>
      <c r="K1210" t="s">
        <v>48</v>
      </c>
    </row>
    <row r="1211" spans="2:11" x14ac:dyDescent="0.25">
      <c r="B1211" s="2">
        <v>55</v>
      </c>
      <c r="C1211" s="4">
        <v>1596.902</v>
      </c>
      <c r="D1211" s="4">
        <v>4011.8969999999999</v>
      </c>
      <c r="E1211" s="79">
        <v>0</v>
      </c>
      <c r="F1211" s="79">
        <f>SUM(BASE_DATOS[[#This Row],[Capital($)]:[Interés
Resarcitorio($)]])</f>
        <v>5608.799</v>
      </c>
      <c r="G1211" s="8">
        <v>45824</v>
      </c>
      <c r="H1211" s="80" t="s">
        <v>58</v>
      </c>
      <c r="I1211" s="79" t="s">
        <v>9</v>
      </c>
      <c r="J1211" s="81">
        <v>60</v>
      </c>
      <c r="K1211" t="s">
        <v>48</v>
      </c>
    </row>
    <row r="1212" spans="2:11" x14ac:dyDescent="0.25">
      <c r="B1212" s="2">
        <f>+B1211</f>
        <v>55</v>
      </c>
      <c r="C1212" s="4">
        <v>1596.902</v>
      </c>
      <c r="D1212" s="4">
        <v>4011.8969999999999</v>
      </c>
      <c r="E1212" s="79">
        <v>747.84</v>
      </c>
      <c r="F1212" s="79">
        <f>SUM(BASE_DATOS[[#This Row],[Capital($)]:[Interés
Resarcitorio($)]])</f>
        <v>6356.6390000000001</v>
      </c>
      <c r="G1212" s="8">
        <v>45834</v>
      </c>
      <c r="H1212" s="80" t="s">
        <v>58</v>
      </c>
      <c r="I1212" s="79" t="s">
        <v>7</v>
      </c>
      <c r="J1212" s="81">
        <v>60</v>
      </c>
      <c r="K1212" t="s">
        <v>48</v>
      </c>
    </row>
    <row r="1213" spans="2:11" x14ac:dyDescent="0.25">
      <c r="B1213" s="2">
        <v>56</v>
      </c>
      <c r="C1213" s="4">
        <v>1596.902</v>
      </c>
      <c r="D1213" s="4">
        <v>4059.9639999999999</v>
      </c>
      <c r="E1213" s="79">
        <v>0</v>
      </c>
      <c r="F1213" s="79">
        <f>SUM(BASE_DATOS[[#This Row],[Capital($)]:[Interés
Resarcitorio($)]])</f>
        <v>5656.866</v>
      </c>
      <c r="G1213" s="8">
        <v>45854</v>
      </c>
      <c r="H1213" s="80" t="s">
        <v>58</v>
      </c>
      <c r="I1213" s="79" t="s">
        <v>6</v>
      </c>
      <c r="J1213" s="81">
        <v>60</v>
      </c>
      <c r="K1213" t="s">
        <v>48</v>
      </c>
    </row>
    <row r="1214" spans="2:11" x14ac:dyDescent="0.25">
      <c r="B1214" s="2">
        <f>+B1213</f>
        <v>56</v>
      </c>
      <c r="C1214" s="4">
        <v>1596.902</v>
      </c>
      <c r="D1214" s="4">
        <v>4059.9639999999999</v>
      </c>
      <c r="E1214" s="79">
        <v>754.25</v>
      </c>
      <c r="F1214" s="79">
        <f>SUM(BASE_DATOS[[#This Row],[Capital($)]:[Interés
Resarcitorio($)]])</f>
        <v>6411.116</v>
      </c>
      <c r="G1214" s="8">
        <v>45864</v>
      </c>
      <c r="H1214" s="80" t="s">
        <v>58</v>
      </c>
      <c r="I1214" s="79" t="s">
        <v>7</v>
      </c>
      <c r="J1214" s="81">
        <v>60</v>
      </c>
      <c r="K1214" t="s">
        <v>48</v>
      </c>
    </row>
    <row r="1215" spans="2:11" x14ac:dyDescent="0.25">
      <c r="B1215" s="2">
        <v>57</v>
      </c>
      <c r="C1215" s="4">
        <v>1596.902</v>
      </c>
      <c r="D1215" s="4">
        <v>4108.0300000000007</v>
      </c>
      <c r="E1215" s="79">
        <v>0</v>
      </c>
      <c r="F1215" s="79">
        <f>SUM(BASE_DATOS[[#This Row],[Capital($)]:[Interés
Resarcitorio($)]])</f>
        <v>5704.9320000000007</v>
      </c>
      <c r="G1215" s="8">
        <v>45885</v>
      </c>
      <c r="H1215" s="80" t="s">
        <v>58</v>
      </c>
      <c r="I1215" s="79" t="s">
        <v>6</v>
      </c>
      <c r="J1215" s="81">
        <v>60</v>
      </c>
      <c r="K1215" t="s">
        <v>48</v>
      </c>
    </row>
    <row r="1216" spans="2:11" x14ac:dyDescent="0.25">
      <c r="B1216" s="2">
        <f>+B1215</f>
        <v>57</v>
      </c>
      <c r="C1216" s="4">
        <v>1596.902</v>
      </c>
      <c r="D1216" s="4">
        <v>4108.0300000000007</v>
      </c>
      <c r="E1216" s="79">
        <v>760.66</v>
      </c>
      <c r="F1216" s="79">
        <f>SUM(BASE_DATOS[[#This Row],[Capital($)]:[Interés
Resarcitorio($)]])</f>
        <v>6465.5920000000006</v>
      </c>
      <c r="G1216" s="8">
        <v>45895</v>
      </c>
      <c r="H1216" s="80" t="s">
        <v>58</v>
      </c>
      <c r="I1216" s="79" t="s">
        <v>7</v>
      </c>
      <c r="J1216" s="81">
        <v>60</v>
      </c>
      <c r="K1216" t="s">
        <v>48</v>
      </c>
    </row>
    <row r="1217" spans="2:11" x14ac:dyDescent="0.25">
      <c r="B1217" s="2">
        <v>58</v>
      </c>
      <c r="C1217" s="4">
        <v>1596.902</v>
      </c>
      <c r="D1217" s="4">
        <v>4156.0969999999998</v>
      </c>
      <c r="E1217" s="79">
        <v>0</v>
      </c>
      <c r="F1217" s="79">
        <f>SUM(BASE_DATOS[[#This Row],[Capital($)]:[Interés
Resarcitorio($)]])</f>
        <v>5752.9989999999998</v>
      </c>
      <c r="G1217" s="8">
        <v>45916</v>
      </c>
      <c r="H1217" s="80" t="s">
        <v>58</v>
      </c>
      <c r="I1217" s="79" t="s">
        <v>6</v>
      </c>
      <c r="J1217" s="81">
        <v>60</v>
      </c>
      <c r="K1217" t="s">
        <v>48</v>
      </c>
    </row>
    <row r="1218" spans="2:11" x14ac:dyDescent="0.25">
      <c r="B1218" s="2">
        <f>+B1217</f>
        <v>58</v>
      </c>
      <c r="C1218" s="4">
        <v>1596.902</v>
      </c>
      <c r="D1218" s="4">
        <v>4156.0969999999998</v>
      </c>
      <c r="E1218" s="79">
        <v>767.07</v>
      </c>
      <c r="F1218" s="79">
        <f>SUM(BASE_DATOS[[#This Row],[Capital($)]:[Interés
Resarcitorio($)]])</f>
        <v>6520.0689999999995</v>
      </c>
      <c r="G1218" s="8">
        <v>45926</v>
      </c>
      <c r="H1218" s="80" t="s">
        <v>58</v>
      </c>
      <c r="I1218" s="79" t="s">
        <v>7</v>
      </c>
      <c r="J1218" s="81">
        <v>60</v>
      </c>
      <c r="K1218" t="s">
        <v>48</v>
      </c>
    </row>
    <row r="1219" spans="2:11" x14ac:dyDescent="0.25">
      <c r="B1219" s="2">
        <v>59</v>
      </c>
      <c r="C1219" s="4">
        <v>1596.902</v>
      </c>
      <c r="D1219" s="4">
        <v>4204.1639999999998</v>
      </c>
      <c r="E1219" s="79">
        <v>0</v>
      </c>
      <c r="F1219" s="79">
        <f>SUM(BASE_DATOS[[#This Row],[Capital($)]:[Interés
Resarcitorio($)]])</f>
        <v>5801.0659999999998</v>
      </c>
      <c r="G1219" s="8">
        <v>45946</v>
      </c>
      <c r="H1219" s="80" t="s">
        <v>58</v>
      </c>
      <c r="I1219" s="79" t="s">
        <v>6</v>
      </c>
      <c r="J1219" s="81">
        <v>60</v>
      </c>
      <c r="K1219" t="s">
        <v>48</v>
      </c>
    </row>
    <row r="1220" spans="2:11" x14ac:dyDescent="0.25">
      <c r="B1220" s="2">
        <f>+B1219</f>
        <v>59</v>
      </c>
      <c r="C1220" s="4">
        <v>1596.902</v>
      </c>
      <c r="D1220" s="4">
        <v>4204.1639999999998</v>
      </c>
      <c r="E1220" s="79">
        <v>773.48</v>
      </c>
      <c r="F1220" s="79">
        <f>SUM(BASE_DATOS[[#This Row],[Capital($)]:[Interés
Resarcitorio($)]])</f>
        <v>6574.5460000000003</v>
      </c>
      <c r="G1220" s="8">
        <v>45956</v>
      </c>
      <c r="H1220" s="80" t="s">
        <v>58</v>
      </c>
      <c r="I1220" s="79" t="s">
        <v>7</v>
      </c>
      <c r="J1220" s="81">
        <v>60</v>
      </c>
      <c r="K1220" t="s">
        <v>48</v>
      </c>
    </row>
    <row r="1221" spans="2:11" x14ac:dyDescent="0.25">
      <c r="B1221" s="2">
        <v>60</v>
      </c>
      <c r="C1221" s="4">
        <v>1596.9209999999998</v>
      </c>
      <c r="D1221" s="4">
        <v>4252.2809999999999</v>
      </c>
      <c r="E1221" s="79">
        <v>0</v>
      </c>
      <c r="F1221" s="79">
        <f>SUM(BASE_DATOS[[#This Row],[Capital($)]:[Interés
Resarcitorio($)]])</f>
        <v>5849.2019999999993</v>
      </c>
      <c r="G1221" s="8">
        <v>45977</v>
      </c>
      <c r="H1221" s="80" t="s">
        <v>58</v>
      </c>
      <c r="I1221" s="79" t="s">
        <v>6</v>
      </c>
      <c r="J1221" s="81">
        <v>60</v>
      </c>
      <c r="K1221" t="s">
        <v>48</v>
      </c>
    </row>
    <row r="1222" spans="2:11" x14ac:dyDescent="0.25">
      <c r="B1222" s="2">
        <f>+B1221</f>
        <v>60</v>
      </c>
      <c r="C1222" s="4">
        <v>1596.9209999999998</v>
      </c>
      <c r="D1222" s="4">
        <v>4252.2809999999999</v>
      </c>
      <c r="E1222" s="79">
        <v>779.89</v>
      </c>
      <c r="F1222" s="79">
        <f>SUM(BASE_DATOS[[#This Row],[Capital($)]:[Interés
Resarcitorio($)]])</f>
        <v>6629.0919999999996</v>
      </c>
      <c r="G1222" s="8">
        <v>45987</v>
      </c>
      <c r="H1222" s="80" t="s">
        <v>58</v>
      </c>
      <c r="I1222" s="79" t="s">
        <v>7</v>
      </c>
      <c r="J1222" s="81">
        <v>60</v>
      </c>
      <c r="K1222" t="s">
        <v>48</v>
      </c>
    </row>
    <row r="1223" spans="2:11" x14ac:dyDescent="0.25">
      <c r="B1223" s="2">
        <v>1</v>
      </c>
      <c r="C1223" s="4">
        <v>1641.3220000000001</v>
      </c>
      <c r="D1223" s="4">
        <v>47513.591999999997</v>
      </c>
      <c r="E1223" s="79">
        <v>0</v>
      </c>
      <c r="F1223" s="79">
        <f>SUM(BASE_DATOS[[#This Row],[Capital($)]:[Interés
Resarcitorio($)]])</f>
        <v>49154.913999999997</v>
      </c>
      <c r="G1223" s="8">
        <v>45093</v>
      </c>
      <c r="H1223" s="80" t="s">
        <v>62</v>
      </c>
      <c r="I1223" s="79" t="s">
        <v>9</v>
      </c>
      <c r="J1223" s="81">
        <v>84</v>
      </c>
      <c r="K1223" t="s">
        <v>47</v>
      </c>
    </row>
    <row r="1224" spans="2:11" x14ac:dyDescent="0.25">
      <c r="B1224" s="2">
        <v>1</v>
      </c>
      <c r="C1224" s="4">
        <v>1641.3220000000001</v>
      </c>
      <c r="D1224" s="4">
        <v>47513.591999999997</v>
      </c>
      <c r="E1224" s="79">
        <v>9683.52</v>
      </c>
      <c r="F1224" s="79">
        <f>SUM(BASE_DATOS[[#This Row],[Capital($)]:[Interés
Resarcitorio($)]])</f>
        <v>58838.433999999994</v>
      </c>
      <c r="G1224" s="8">
        <v>45103</v>
      </c>
      <c r="H1224" s="80" t="s">
        <v>62</v>
      </c>
      <c r="I1224" s="79" t="s">
        <v>7</v>
      </c>
      <c r="J1224" s="81">
        <v>84</v>
      </c>
      <c r="K1224" t="s">
        <v>47</v>
      </c>
    </row>
    <row r="1225" spans="2:11" x14ac:dyDescent="0.25">
      <c r="B1225" s="2">
        <v>2</v>
      </c>
      <c r="C1225" s="4">
        <v>1709.1089999999999</v>
      </c>
      <c r="D1225" s="4">
        <v>47445.805</v>
      </c>
      <c r="E1225" s="79">
        <v>0</v>
      </c>
      <c r="F1225" s="79">
        <f>SUM(BASE_DATOS[[#This Row],[Capital($)]:[Interés
Resarcitorio($)]])</f>
        <v>49154.913999999997</v>
      </c>
      <c r="G1225" s="8">
        <v>45123</v>
      </c>
      <c r="H1225" s="80" t="s">
        <v>62</v>
      </c>
      <c r="I1225" s="79" t="s">
        <v>9</v>
      </c>
      <c r="J1225" s="81">
        <v>84</v>
      </c>
      <c r="K1225" t="s">
        <v>47</v>
      </c>
    </row>
    <row r="1226" spans="2:11" x14ac:dyDescent="0.25">
      <c r="B1226" s="2">
        <v>2</v>
      </c>
      <c r="C1226" s="4">
        <v>1709.1089999999999</v>
      </c>
      <c r="D1226" s="4">
        <v>47445.805</v>
      </c>
      <c r="E1226" s="79">
        <v>9683.52</v>
      </c>
      <c r="F1226" s="79">
        <f>SUM(BASE_DATOS[[#This Row],[Capital($)]:[Interés
Resarcitorio($)]])</f>
        <v>58838.433999999994</v>
      </c>
      <c r="G1226" s="8">
        <v>45133</v>
      </c>
      <c r="H1226" s="80" t="s">
        <v>62</v>
      </c>
      <c r="I1226" s="79" t="s">
        <v>7</v>
      </c>
      <c r="J1226" s="81">
        <v>84</v>
      </c>
      <c r="K1226" t="s">
        <v>47</v>
      </c>
    </row>
    <row r="1227" spans="2:11" x14ac:dyDescent="0.25">
      <c r="B1227" s="2">
        <v>3</v>
      </c>
      <c r="C1227" s="4">
        <v>1779.6950000000002</v>
      </c>
      <c r="D1227" s="4">
        <v>47375.218999999997</v>
      </c>
      <c r="E1227" s="79">
        <v>0</v>
      </c>
      <c r="F1227" s="79">
        <f>SUM(BASE_DATOS[[#This Row],[Capital($)]:[Interés
Resarcitorio($)]])</f>
        <v>49154.913999999997</v>
      </c>
      <c r="G1227" s="8">
        <v>45154</v>
      </c>
      <c r="H1227" s="80" t="s">
        <v>62</v>
      </c>
      <c r="I1227" s="79" t="s">
        <v>9</v>
      </c>
      <c r="J1227" s="81">
        <v>84</v>
      </c>
      <c r="K1227" t="s">
        <v>47</v>
      </c>
    </row>
    <row r="1228" spans="2:11" x14ac:dyDescent="0.25">
      <c r="B1228" s="2">
        <v>3</v>
      </c>
      <c r="C1228" s="4">
        <v>1779.6950000000002</v>
      </c>
      <c r="D1228" s="4">
        <v>47375.218999999997</v>
      </c>
      <c r="E1228" s="79">
        <v>9683.52</v>
      </c>
      <c r="F1228" s="79">
        <f>SUM(BASE_DATOS[[#This Row],[Capital($)]:[Interés
Resarcitorio($)]])</f>
        <v>58838.433999999994</v>
      </c>
      <c r="G1228" s="8">
        <v>45164</v>
      </c>
      <c r="H1228" s="80" t="s">
        <v>62</v>
      </c>
      <c r="I1228" s="79" t="s">
        <v>7</v>
      </c>
      <c r="J1228" s="81">
        <v>84</v>
      </c>
      <c r="K1228" t="s">
        <v>47</v>
      </c>
    </row>
    <row r="1229" spans="2:11" x14ac:dyDescent="0.25">
      <c r="B1229" s="2">
        <v>4</v>
      </c>
      <c r="C1229" s="4">
        <v>1853.1970000000001</v>
      </c>
      <c r="D1229" s="4">
        <v>47301.716999999997</v>
      </c>
      <c r="E1229" s="79">
        <v>0</v>
      </c>
      <c r="F1229" s="79">
        <f>SUM(BASE_DATOS[[#This Row],[Capital($)]:[Interés
Resarcitorio($)]])</f>
        <v>49154.913999999997</v>
      </c>
      <c r="G1229" s="8">
        <v>45185</v>
      </c>
      <c r="H1229" s="80" t="s">
        <v>62</v>
      </c>
      <c r="I1229" s="79" t="s">
        <v>9</v>
      </c>
      <c r="J1229" s="81">
        <v>84</v>
      </c>
      <c r="K1229" t="s">
        <v>47</v>
      </c>
    </row>
    <row r="1230" spans="2:11" x14ac:dyDescent="0.25">
      <c r="B1230" s="2">
        <v>4</v>
      </c>
      <c r="C1230" s="4">
        <v>1853.1970000000001</v>
      </c>
      <c r="D1230" s="4">
        <v>47301.716999999997</v>
      </c>
      <c r="E1230" s="79">
        <v>9683.52</v>
      </c>
      <c r="F1230" s="79">
        <f>SUM(BASE_DATOS[[#This Row],[Capital($)]:[Interés
Resarcitorio($)]])</f>
        <v>58838.433999999994</v>
      </c>
      <c r="G1230" s="8">
        <v>45195</v>
      </c>
      <c r="H1230" s="80" t="s">
        <v>62</v>
      </c>
      <c r="I1230" s="79" t="s">
        <v>7</v>
      </c>
      <c r="J1230" s="81">
        <v>84</v>
      </c>
      <c r="K1230" t="s">
        <v>47</v>
      </c>
    </row>
    <row r="1231" spans="2:11" x14ac:dyDescent="0.25">
      <c r="B1231" s="2">
        <v>5</v>
      </c>
      <c r="C1231" s="4">
        <v>1929.7339999999999</v>
      </c>
      <c r="D1231" s="4">
        <v>47225.18</v>
      </c>
      <c r="E1231" s="79">
        <v>0</v>
      </c>
      <c r="F1231" s="79">
        <f>SUM(BASE_DATOS[[#This Row],[Capital($)]:[Interés
Resarcitorio($)]])</f>
        <v>49154.913999999997</v>
      </c>
      <c r="G1231" s="8">
        <v>45215</v>
      </c>
      <c r="H1231" s="80" t="s">
        <v>62</v>
      </c>
      <c r="I1231" s="79" t="s">
        <v>9</v>
      </c>
      <c r="J1231" s="81">
        <v>84</v>
      </c>
      <c r="K1231" t="s">
        <v>47</v>
      </c>
    </row>
    <row r="1232" spans="2:11" x14ac:dyDescent="0.25">
      <c r="B1232" s="2">
        <v>5</v>
      </c>
      <c r="C1232" s="4">
        <v>1929.7339999999999</v>
      </c>
      <c r="D1232" s="4">
        <v>47225.18</v>
      </c>
      <c r="E1232" s="79">
        <v>9683.52</v>
      </c>
      <c r="F1232" s="79">
        <f>SUM(BASE_DATOS[[#This Row],[Capital($)]:[Interés
Resarcitorio($)]])</f>
        <v>58838.433999999994</v>
      </c>
      <c r="G1232" s="8">
        <v>45225</v>
      </c>
      <c r="H1232" s="80" t="s">
        <v>62</v>
      </c>
      <c r="I1232" s="79" t="s">
        <v>7</v>
      </c>
      <c r="J1232" s="81">
        <v>84</v>
      </c>
      <c r="K1232" t="s">
        <v>47</v>
      </c>
    </row>
    <row r="1233" spans="2:11" x14ac:dyDescent="0.25">
      <c r="B1233" s="2">
        <v>6</v>
      </c>
      <c r="C1233" s="4">
        <v>2009.432</v>
      </c>
      <c r="D1233" s="4">
        <v>47145.482000000004</v>
      </c>
      <c r="E1233" s="79">
        <v>0</v>
      </c>
      <c r="F1233" s="79">
        <f>SUM(BASE_DATOS[[#This Row],[Capital($)]:[Interés
Resarcitorio($)]])</f>
        <v>49154.914000000004</v>
      </c>
      <c r="G1233" s="8">
        <v>45246</v>
      </c>
      <c r="H1233" s="80" t="s">
        <v>62</v>
      </c>
      <c r="I1233" s="79" t="s">
        <v>9</v>
      </c>
      <c r="J1233" s="81">
        <v>84</v>
      </c>
      <c r="K1233" t="s">
        <v>47</v>
      </c>
    </row>
    <row r="1234" spans="2:11" x14ac:dyDescent="0.25">
      <c r="B1234" s="2">
        <v>6</v>
      </c>
      <c r="C1234" s="4">
        <v>2009.432</v>
      </c>
      <c r="D1234" s="4">
        <v>47145.482000000004</v>
      </c>
      <c r="E1234" s="79">
        <v>9683.52</v>
      </c>
      <c r="F1234" s="79">
        <f>SUM(BASE_DATOS[[#This Row],[Capital($)]:[Interés
Resarcitorio($)]])</f>
        <v>58838.434000000008</v>
      </c>
      <c r="G1234" s="8">
        <v>45256</v>
      </c>
      <c r="H1234" s="80" t="s">
        <v>62</v>
      </c>
      <c r="I1234" s="79" t="s">
        <v>7</v>
      </c>
      <c r="J1234" s="81">
        <v>84</v>
      </c>
      <c r="K1234" t="s">
        <v>47</v>
      </c>
    </row>
    <row r="1235" spans="2:11" x14ac:dyDescent="0.25">
      <c r="B1235" s="2">
        <v>7</v>
      </c>
      <c r="C1235" s="4">
        <v>2092.4209999999998</v>
      </c>
      <c r="D1235" s="4">
        <v>47062.493000000002</v>
      </c>
      <c r="E1235" s="79">
        <v>0</v>
      </c>
      <c r="F1235" s="79">
        <f>SUM(BASE_DATOS[[#This Row],[Capital($)]:[Interés
Resarcitorio($)]])</f>
        <v>49154.914000000004</v>
      </c>
      <c r="G1235" s="8">
        <v>45276</v>
      </c>
      <c r="H1235" s="80" t="s">
        <v>62</v>
      </c>
      <c r="I1235" s="79" t="s">
        <v>9</v>
      </c>
      <c r="J1235" s="81">
        <v>84</v>
      </c>
      <c r="K1235" t="s">
        <v>47</v>
      </c>
    </row>
    <row r="1236" spans="2:11" x14ac:dyDescent="0.25">
      <c r="B1236" s="2">
        <v>7</v>
      </c>
      <c r="C1236" s="4">
        <v>2092.4209999999998</v>
      </c>
      <c r="D1236" s="4">
        <v>47062.493000000002</v>
      </c>
      <c r="E1236" s="79">
        <v>9683.52</v>
      </c>
      <c r="F1236" s="79">
        <f>SUM(BASE_DATOS[[#This Row],[Capital($)]:[Interés
Resarcitorio($)]])</f>
        <v>58838.434000000008</v>
      </c>
      <c r="G1236" s="8">
        <v>45286</v>
      </c>
      <c r="H1236" s="80" t="s">
        <v>62</v>
      </c>
      <c r="I1236" s="79" t="s">
        <v>7</v>
      </c>
      <c r="J1236" s="81">
        <v>84</v>
      </c>
      <c r="K1236" t="s">
        <v>47</v>
      </c>
    </row>
    <row r="1237" spans="2:11" x14ac:dyDescent="0.25">
      <c r="B1237" s="2">
        <v>8</v>
      </c>
      <c r="C1237" s="4">
        <v>2178.8380000000002</v>
      </c>
      <c r="D1237" s="4">
        <v>46976.076000000001</v>
      </c>
      <c r="E1237" s="79">
        <v>0</v>
      </c>
      <c r="F1237" s="79">
        <f>SUM(BASE_DATOS[[#This Row],[Capital($)]:[Interés
Resarcitorio($)]])</f>
        <v>49154.914000000004</v>
      </c>
      <c r="G1237" s="8">
        <v>45307</v>
      </c>
      <c r="H1237" s="80" t="s">
        <v>62</v>
      </c>
      <c r="I1237" s="79" t="s">
        <v>9</v>
      </c>
      <c r="J1237" s="81">
        <v>84</v>
      </c>
      <c r="K1237" t="s">
        <v>47</v>
      </c>
    </row>
    <row r="1238" spans="2:11" x14ac:dyDescent="0.25">
      <c r="B1238" s="2">
        <v>8</v>
      </c>
      <c r="C1238" s="4">
        <v>2178.8380000000002</v>
      </c>
      <c r="D1238" s="4">
        <v>46976.076000000001</v>
      </c>
      <c r="E1238" s="79">
        <v>9683.52</v>
      </c>
      <c r="F1238" s="79">
        <f>SUM(BASE_DATOS[[#This Row],[Capital($)]:[Interés
Resarcitorio($)]])</f>
        <v>58838.434000000008</v>
      </c>
      <c r="G1238" s="8">
        <v>45317</v>
      </c>
      <c r="H1238" s="80" t="s">
        <v>62</v>
      </c>
      <c r="I1238" s="79" t="s">
        <v>7</v>
      </c>
      <c r="J1238" s="81">
        <v>84</v>
      </c>
      <c r="K1238" t="s">
        <v>47</v>
      </c>
    </row>
    <row r="1239" spans="2:11" x14ac:dyDescent="0.25">
      <c r="B1239" s="2">
        <v>9</v>
      </c>
      <c r="C1239" s="4">
        <v>2268.8240000000001</v>
      </c>
      <c r="D1239" s="4">
        <v>46886.090000000004</v>
      </c>
      <c r="E1239" s="79">
        <v>0</v>
      </c>
      <c r="F1239" s="79">
        <f>SUM(BASE_DATOS[[#This Row],[Capital($)]:[Interés
Resarcitorio($)]])</f>
        <v>49154.914000000004</v>
      </c>
      <c r="G1239" s="8">
        <v>45338</v>
      </c>
      <c r="H1239" s="80" t="s">
        <v>62</v>
      </c>
      <c r="I1239" s="79" t="s">
        <v>9</v>
      </c>
      <c r="J1239" s="81">
        <v>84</v>
      </c>
      <c r="K1239" t="s">
        <v>47</v>
      </c>
    </row>
    <row r="1240" spans="2:11" x14ac:dyDescent="0.25">
      <c r="B1240" s="2">
        <v>9</v>
      </c>
      <c r="C1240" s="4">
        <v>2268.8240000000001</v>
      </c>
      <c r="D1240" s="4">
        <v>46886.090000000004</v>
      </c>
      <c r="E1240" s="79">
        <v>25019.85</v>
      </c>
      <c r="F1240" s="79">
        <f>SUM(BASE_DATOS[[#This Row],[Capital($)]:[Interés
Resarcitorio($)]])</f>
        <v>74174.763999999996</v>
      </c>
      <c r="G1240" s="8">
        <v>45348</v>
      </c>
      <c r="H1240" s="80" t="s">
        <v>62</v>
      </c>
      <c r="I1240" s="79" t="s">
        <v>7</v>
      </c>
      <c r="J1240" s="81">
        <v>84</v>
      </c>
      <c r="K1240" t="s">
        <v>47</v>
      </c>
    </row>
    <row r="1241" spans="2:11" x14ac:dyDescent="0.25">
      <c r="B1241" s="2">
        <v>10</v>
      </c>
      <c r="C1241" s="4">
        <v>2362.527</v>
      </c>
      <c r="D1241" s="4">
        <v>46792.387000000002</v>
      </c>
      <c r="E1241" s="79">
        <v>0</v>
      </c>
      <c r="F1241" s="79">
        <f>SUM(BASE_DATOS[[#This Row],[Capital($)]:[Interés
Resarcitorio($)]])</f>
        <v>49154.914000000004</v>
      </c>
      <c r="G1241" s="8">
        <v>45367</v>
      </c>
      <c r="H1241" s="80" t="s">
        <v>62</v>
      </c>
      <c r="I1241" s="79" t="s">
        <v>9</v>
      </c>
      <c r="J1241" s="81">
        <v>84</v>
      </c>
      <c r="K1241" t="s">
        <v>47</v>
      </c>
    </row>
    <row r="1242" spans="2:11" x14ac:dyDescent="0.25">
      <c r="B1242" s="2">
        <v>10</v>
      </c>
      <c r="C1242" s="4">
        <v>2362.527</v>
      </c>
      <c r="D1242" s="4">
        <v>46792.387000000002</v>
      </c>
      <c r="E1242" s="79">
        <v>25019.85</v>
      </c>
      <c r="F1242" s="79">
        <f>SUM(BASE_DATOS[[#This Row],[Capital($)]:[Interés
Resarcitorio($)]])</f>
        <v>74174.763999999996</v>
      </c>
      <c r="G1242" s="8">
        <v>45377</v>
      </c>
      <c r="H1242" s="80" t="s">
        <v>62</v>
      </c>
      <c r="I1242" s="79" t="s">
        <v>7</v>
      </c>
      <c r="J1242" s="81">
        <v>84</v>
      </c>
      <c r="K1242" t="s">
        <v>47</v>
      </c>
    </row>
    <row r="1243" spans="2:11" x14ac:dyDescent="0.25">
      <c r="B1243" s="2">
        <v>11</v>
      </c>
      <c r="C1243" s="4">
        <v>2460.0990000000002</v>
      </c>
      <c r="D1243" s="4">
        <v>46694.815000000002</v>
      </c>
      <c r="E1243" s="79">
        <v>0</v>
      </c>
      <c r="F1243" s="79">
        <f>SUM(BASE_DATOS[[#This Row],[Capital($)]:[Interés
Resarcitorio($)]])</f>
        <v>49154.914000000004</v>
      </c>
      <c r="G1243" s="8">
        <v>45398</v>
      </c>
      <c r="H1243" s="80" t="s">
        <v>62</v>
      </c>
      <c r="I1243" s="79" t="s">
        <v>9</v>
      </c>
      <c r="J1243" s="81">
        <v>84</v>
      </c>
      <c r="K1243" t="s">
        <v>47</v>
      </c>
    </row>
    <row r="1244" spans="2:11" x14ac:dyDescent="0.25">
      <c r="B1244" s="2">
        <v>11</v>
      </c>
      <c r="C1244" s="4">
        <v>2460.0990000000002</v>
      </c>
      <c r="D1244" s="4">
        <v>46694.815000000002</v>
      </c>
      <c r="E1244" s="79">
        <v>19776.66</v>
      </c>
      <c r="F1244" s="79">
        <f>SUM(BASE_DATOS[[#This Row],[Capital($)]:[Interés
Resarcitorio($)]])</f>
        <v>68931.574000000008</v>
      </c>
      <c r="G1244" s="8">
        <v>45408</v>
      </c>
      <c r="H1244" s="80" t="s">
        <v>62</v>
      </c>
      <c r="I1244" s="79" t="s">
        <v>7</v>
      </c>
      <c r="J1244" s="81">
        <v>84</v>
      </c>
      <c r="K1244" t="s">
        <v>47</v>
      </c>
    </row>
    <row r="1245" spans="2:11" x14ac:dyDescent="0.25">
      <c r="B1245" s="2">
        <v>12</v>
      </c>
      <c r="C1245" s="4">
        <v>2561.701</v>
      </c>
      <c r="D1245" s="4">
        <v>46593.213000000003</v>
      </c>
      <c r="E1245" s="79">
        <v>0</v>
      </c>
      <c r="F1245" s="79">
        <f>SUM(BASE_DATOS[[#This Row],[Capital($)]:[Interés
Resarcitorio($)]])</f>
        <v>49154.914000000004</v>
      </c>
      <c r="G1245" s="8">
        <v>45428</v>
      </c>
      <c r="H1245" s="80" t="s">
        <v>62</v>
      </c>
      <c r="I1245" s="79" t="s">
        <v>9</v>
      </c>
      <c r="J1245" s="81">
        <v>84</v>
      </c>
      <c r="K1245" t="s">
        <v>47</v>
      </c>
    </row>
    <row r="1246" spans="2:11" x14ac:dyDescent="0.25">
      <c r="B1246" s="2">
        <v>12</v>
      </c>
      <c r="C1246" s="4">
        <v>2561.701</v>
      </c>
      <c r="D1246" s="4">
        <v>46593.213000000003</v>
      </c>
      <c r="E1246" s="79">
        <v>19776.66</v>
      </c>
      <c r="F1246" s="79">
        <f>SUM(BASE_DATOS[[#This Row],[Capital($)]:[Interés
Resarcitorio($)]])</f>
        <v>68931.574000000008</v>
      </c>
      <c r="G1246" s="8">
        <v>45438</v>
      </c>
      <c r="H1246" s="80" t="s">
        <v>62</v>
      </c>
      <c r="I1246" s="79" t="s">
        <v>7</v>
      </c>
      <c r="J1246" s="81">
        <v>84</v>
      </c>
      <c r="K1246" t="s">
        <v>47</v>
      </c>
    </row>
    <row r="1247" spans="2:11" x14ac:dyDescent="0.25">
      <c r="B1247" s="2">
        <v>13</v>
      </c>
      <c r="C1247" s="4">
        <v>2667.4990000000003</v>
      </c>
      <c r="D1247" s="4">
        <v>46487.415000000001</v>
      </c>
      <c r="E1247" s="79">
        <v>0</v>
      </c>
      <c r="F1247" s="79">
        <f>SUM(BASE_DATOS[[#This Row],[Capital($)]:[Interés
Resarcitorio($)]])</f>
        <v>49154.914000000004</v>
      </c>
      <c r="G1247" s="8">
        <v>45459</v>
      </c>
      <c r="H1247" s="80" t="s">
        <v>62</v>
      </c>
      <c r="I1247" s="79" t="s">
        <v>9</v>
      </c>
      <c r="J1247" s="81">
        <v>84</v>
      </c>
      <c r="K1247" t="s">
        <v>47</v>
      </c>
    </row>
    <row r="1248" spans="2:11" x14ac:dyDescent="0.25">
      <c r="B1248" s="2">
        <v>13</v>
      </c>
      <c r="C1248" s="4">
        <v>2667.4990000000003</v>
      </c>
      <c r="D1248" s="4">
        <v>46487.415000000001</v>
      </c>
      <c r="E1248" s="79">
        <v>10502.77</v>
      </c>
      <c r="F1248" s="79">
        <f>SUM(BASE_DATOS[[#This Row],[Capital($)]:[Interés
Resarcitorio($)]])</f>
        <v>59657.684000000008</v>
      </c>
      <c r="G1248" s="8">
        <v>45469</v>
      </c>
      <c r="H1248" s="80" t="s">
        <v>62</v>
      </c>
      <c r="I1248" s="79" t="s">
        <v>7</v>
      </c>
      <c r="J1248" s="81">
        <v>84</v>
      </c>
      <c r="K1248" t="s">
        <v>47</v>
      </c>
    </row>
    <row r="1249" spans="2:11" x14ac:dyDescent="0.25">
      <c r="B1249" s="2">
        <v>14</v>
      </c>
      <c r="C1249" s="4">
        <v>2777.6669999999999</v>
      </c>
      <c r="D1249" s="4">
        <v>46377.246999999996</v>
      </c>
      <c r="E1249" s="79">
        <v>0</v>
      </c>
      <c r="F1249" s="79">
        <f>SUM(BASE_DATOS[[#This Row],[Capital($)]:[Interés
Resarcitorio($)]])</f>
        <v>49154.913999999997</v>
      </c>
      <c r="G1249" s="8">
        <v>45489</v>
      </c>
      <c r="H1249" s="80" t="s">
        <v>62</v>
      </c>
      <c r="I1249" s="79" t="s">
        <v>9</v>
      </c>
      <c r="J1249" s="81">
        <v>84</v>
      </c>
      <c r="K1249" t="s">
        <v>47</v>
      </c>
    </row>
    <row r="1250" spans="2:11" x14ac:dyDescent="0.25">
      <c r="B1250" s="2">
        <v>14</v>
      </c>
      <c r="C1250" s="4">
        <v>2777.6669999999999</v>
      </c>
      <c r="D1250" s="4">
        <v>46377.246999999996</v>
      </c>
      <c r="E1250" s="79">
        <v>10502.77</v>
      </c>
      <c r="F1250" s="79">
        <f>SUM(BASE_DATOS[[#This Row],[Capital($)]:[Interés
Resarcitorio($)]])</f>
        <v>59657.683999999994</v>
      </c>
      <c r="G1250" s="8">
        <v>45499</v>
      </c>
      <c r="H1250" s="80" t="s">
        <v>62</v>
      </c>
      <c r="I1250" s="79" t="s">
        <v>7</v>
      </c>
      <c r="J1250" s="81">
        <v>84</v>
      </c>
      <c r="K1250" t="s">
        <v>47</v>
      </c>
    </row>
    <row r="1251" spans="2:11" x14ac:dyDescent="0.25">
      <c r="B1251" s="2">
        <v>15</v>
      </c>
      <c r="C1251" s="4">
        <v>2892.3849999999998</v>
      </c>
      <c r="D1251" s="4">
        <v>46262.528999999995</v>
      </c>
      <c r="E1251" s="79">
        <v>0</v>
      </c>
      <c r="F1251" s="79">
        <f>SUM(BASE_DATOS[[#This Row],[Capital($)]:[Interés
Resarcitorio($)]])</f>
        <v>49154.913999999997</v>
      </c>
      <c r="G1251" s="8">
        <v>45520</v>
      </c>
      <c r="H1251" s="80" t="s">
        <v>62</v>
      </c>
      <c r="I1251" s="79" t="s">
        <v>9</v>
      </c>
      <c r="J1251" s="81">
        <v>84</v>
      </c>
      <c r="K1251" t="s">
        <v>47</v>
      </c>
    </row>
    <row r="1252" spans="2:11" x14ac:dyDescent="0.25">
      <c r="B1252" s="2">
        <v>15</v>
      </c>
      <c r="C1252" s="4">
        <v>2892.3849999999998</v>
      </c>
      <c r="D1252" s="4">
        <v>46262.528999999995</v>
      </c>
      <c r="E1252" s="79">
        <v>10502.77</v>
      </c>
      <c r="F1252" s="79">
        <f>SUM(BASE_DATOS[[#This Row],[Capital($)]:[Interés
Resarcitorio($)]])</f>
        <v>59657.683999999994</v>
      </c>
      <c r="G1252" s="8">
        <v>45530</v>
      </c>
      <c r="H1252" s="80" t="s">
        <v>62</v>
      </c>
      <c r="I1252" s="79" t="s">
        <v>7</v>
      </c>
      <c r="J1252" s="81">
        <v>84</v>
      </c>
      <c r="K1252" t="s">
        <v>47</v>
      </c>
    </row>
    <row r="1253" spans="2:11" x14ac:dyDescent="0.25">
      <c r="B1253" s="2">
        <v>16</v>
      </c>
      <c r="C1253" s="4">
        <v>3011.84</v>
      </c>
      <c r="D1253" s="4">
        <v>46143.074000000001</v>
      </c>
      <c r="E1253" s="79">
        <v>0</v>
      </c>
      <c r="F1253" s="79">
        <f>SUM(BASE_DATOS[[#This Row],[Capital($)]:[Interés
Resarcitorio($)]])</f>
        <v>49154.914000000004</v>
      </c>
      <c r="G1253" s="8">
        <v>45551</v>
      </c>
      <c r="H1253" s="80" t="s">
        <v>62</v>
      </c>
      <c r="I1253" s="79" t="s">
        <v>9</v>
      </c>
      <c r="J1253" s="81">
        <v>84</v>
      </c>
      <c r="K1253" t="s">
        <v>47</v>
      </c>
    </row>
    <row r="1254" spans="2:11" x14ac:dyDescent="0.25">
      <c r="B1254" s="2">
        <v>16</v>
      </c>
      <c r="C1254" s="4">
        <v>3011.84</v>
      </c>
      <c r="D1254" s="4">
        <v>46143.074000000001</v>
      </c>
      <c r="E1254" s="79">
        <v>10502.77</v>
      </c>
      <c r="F1254" s="79">
        <f>SUM(BASE_DATOS[[#This Row],[Capital($)]:[Interés
Resarcitorio($)]])</f>
        <v>59657.684000000008</v>
      </c>
      <c r="G1254" s="8">
        <v>45561</v>
      </c>
      <c r="H1254" s="80" t="s">
        <v>62</v>
      </c>
      <c r="I1254" s="79" t="s">
        <v>7</v>
      </c>
      <c r="J1254" s="81">
        <v>84</v>
      </c>
      <c r="K1254" t="s">
        <v>47</v>
      </c>
    </row>
    <row r="1255" spans="2:11" x14ac:dyDescent="0.25">
      <c r="B1255" s="2">
        <v>17</v>
      </c>
      <c r="C1255" s="4">
        <v>3136.2290000000003</v>
      </c>
      <c r="D1255" s="4">
        <v>46018.684999999998</v>
      </c>
      <c r="E1255" s="79">
        <v>0</v>
      </c>
      <c r="F1255" s="79">
        <f>SUM(BASE_DATOS[[#This Row],[Capital($)]:[Interés
Resarcitorio($)]])</f>
        <v>49154.913999999997</v>
      </c>
      <c r="G1255" s="8">
        <v>45581</v>
      </c>
      <c r="H1255" s="80" t="s">
        <v>62</v>
      </c>
      <c r="I1255" s="79" t="s">
        <v>9</v>
      </c>
      <c r="J1255" s="81">
        <v>84</v>
      </c>
      <c r="K1255" t="s">
        <v>47</v>
      </c>
    </row>
    <row r="1256" spans="2:11" x14ac:dyDescent="0.25">
      <c r="B1256" s="2">
        <v>17</v>
      </c>
      <c r="C1256" s="4">
        <v>3136.2290000000003</v>
      </c>
      <c r="D1256" s="4">
        <v>46018.684999999998</v>
      </c>
      <c r="E1256" s="79">
        <v>10502.77</v>
      </c>
      <c r="F1256" s="79">
        <f>SUM(BASE_DATOS[[#This Row],[Capital($)]:[Interés
Resarcitorio($)]])</f>
        <v>59657.683999999994</v>
      </c>
      <c r="G1256" s="8">
        <v>45591</v>
      </c>
      <c r="H1256" s="80" t="s">
        <v>62</v>
      </c>
      <c r="I1256" s="79" t="s">
        <v>7</v>
      </c>
      <c r="J1256" s="81">
        <v>84</v>
      </c>
      <c r="K1256" t="s">
        <v>47</v>
      </c>
    </row>
    <row r="1257" spans="2:11" x14ac:dyDescent="0.25">
      <c r="B1257" s="2">
        <v>18</v>
      </c>
      <c r="C1257" s="4">
        <v>3265.7550000000001</v>
      </c>
      <c r="D1257" s="4">
        <v>45889.159</v>
      </c>
      <c r="E1257" s="79">
        <v>0</v>
      </c>
      <c r="F1257" s="79">
        <f>SUM(BASE_DATOS[[#This Row],[Capital($)]:[Interés
Resarcitorio($)]])</f>
        <v>49154.913999999997</v>
      </c>
      <c r="G1257" s="8">
        <v>45612</v>
      </c>
      <c r="H1257" s="80" t="s">
        <v>62</v>
      </c>
      <c r="I1257" s="79" t="s">
        <v>9</v>
      </c>
      <c r="J1257" s="81">
        <v>84</v>
      </c>
      <c r="K1257" t="s">
        <v>47</v>
      </c>
    </row>
    <row r="1258" spans="2:11" x14ac:dyDescent="0.25">
      <c r="B1258" s="2">
        <v>18</v>
      </c>
      <c r="C1258" s="4">
        <v>3265.7550000000001</v>
      </c>
      <c r="D1258" s="4">
        <v>45889.159</v>
      </c>
      <c r="E1258" s="79">
        <v>10502.77</v>
      </c>
      <c r="F1258" s="79">
        <f>SUM(BASE_DATOS[[#This Row],[Capital($)]:[Interés
Resarcitorio($)]])</f>
        <v>59657.683999999994</v>
      </c>
      <c r="G1258" s="8">
        <v>45622</v>
      </c>
      <c r="H1258" s="80" t="s">
        <v>62</v>
      </c>
      <c r="I1258" s="79" t="s">
        <v>7</v>
      </c>
      <c r="J1258" s="81">
        <v>84</v>
      </c>
      <c r="K1258" t="s">
        <v>47</v>
      </c>
    </row>
    <row r="1259" spans="2:11" x14ac:dyDescent="0.25">
      <c r="B1259" s="2">
        <v>19</v>
      </c>
      <c r="C1259" s="4">
        <v>3400.6309999999999</v>
      </c>
      <c r="D1259" s="4">
        <v>45754.283000000003</v>
      </c>
      <c r="E1259" s="79">
        <v>0</v>
      </c>
      <c r="F1259" s="79">
        <f>SUM(BASE_DATOS[[#This Row],[Capital($)]:[Interés
Resarcitorio($)]])</f>
        <v>49154.914000000004</v>
      </c>
      <c r="G1259" s="8">
        <v>45642</v>
      </c>
      <c r="H1259" s="80" t="s">
        <v>62</v>
      </c>
      <c r="I1259" s="79" t="s">
        <v>9</v>
      </c>
      <c r="J1259" s="81">
        <v>84</v>
      </c>
      <c r="K1259" t="s">
        <v>47</v>
      </c>
    </row>
    <row r="1260" spans="2:11" x14ac:dyDescent="0.25">
      <c r="B1260" s="2">
        <v>19</v>
      </c>
      <c r="C1260" s="4">
        <v>3400.6309999999999</v>
      </c>
      <c r="D1260" s="4">
        <v>45754.283000000003</v>
      </c>
      <c r="E1260" s="79">
        <v>12239.57</v>
      </c>
      <c r="F1260" s="79">
        <f>SUM(BASE_DATOS[[#This Row],[Capital($)]:[Interés
Resarcitorio($)]])</f>
        <v>61394.484000000004</v>
      </c>
      <c r="G1260" s="8">
        <v>45652</v>
      </c>
      <c r="H1260" s="80" t="s">
        <v>62</v>
      </c>
      <c r="I1260" s="79" t="s">
        <v>7</v>
      </c>
      <c r="J1260" s="81">
        <v>84</v>
      </c>
      <c r="K1260" t="s">
        <v>47</v>
      </c>
    </row>
    <row r="1261" spans="2:11" x14ac:dyDescent="0.25">
      <c r="B1261" s="2">
        <v>20</v>
      </c>
      <c r="C1261" s="4">
        <v>3541.0769999999998</v>
      </c>
      <c r="D1261" s="4">
        <v>45613.837</v>
      </c>
      <c r="E1261" s="79">
        <v>0</v>
      </c>
      <c r="F1261" s="79">
        <f>SUM(BASE_DATOS[[#This Row],[Capital($)]:[Interés
Resarcitorio($)]])</f>
        <v>49154.913999999997</v>
      </c>
      <c r="G1261" s="8">
        <v>45673</v>
      </c>
      <c r="H1261" s="80" t="s">
        <v>62</v>
      </c>
      <c r="I1261" s="79" t="s">
        <v>9</v>
      </c>
      <c r="J1261" s="81">
        <v>84</v>
      </c>
      <c r="K1261" t="s">
        <v>47</v>
      </c>
    </row>
    <row r="1262" spans="2:11" x14ac:dyDescent="0.25">
      <c r="B1262" s="2">
        <v>20</v>
      </c>
      <c r="C1262" s="4">
        <v>3541.0769999999998</v>
      </c>
      <c r="D1262" s="4">
        <v>45613.837</v>
      </c>
      <c r="E1262" s="79">
        <v>12239.57</v>
      </c>
      <c r="F1262" s="79">
        <f>SUM(BASE_DATOS[[#This Row],[Capital($)]:[Interés
Resarcitorio($)]])</f>
        <v>61394.483999999997</v>
      </c>
      <c r="G1262" s="8">
        <v>45683</v>
      </c>
      <c r="H1262" s="80" t="s">
        <v>62</v>
      </c>
      <c r="I1262" s="79" t="s">
        <v>7</v>
      </c>
      <c r="J1262" s="81">
        <v>84</v>
      </c>
      <c r="K1262" t="s">
        <v>47</v>
      </c>
    </row>
    <row r="1263" spans="2:11" x14ac:dyDescent="0.25">
      <c r="B1263" s="2">
        <v>21</v>
      </c>
      <c r="C1263" s="4">
        <v>3687.3239999999996</v>
      </c>
      <c r="D1263" s="4">
        <v>45467.590000000004</v>
      </c>
      <c r="E1263" s="79">
        <v>0</v>
      </c>
      <c r="F1263" s="79">
        <f>SUM(BASE_DATOS[[#This Row],[Capital($)]:[Interés
Resarcitorio($)]])</f>
        <v>49154.914000000004</v>
      </c>
      <c r="G1263" s="8">
        <v>45704</v>
      </c>
      <c r="H1263" s="80" t="s">
        <v>62</v>
      </c>
      <c r="I1263" s="79" t="s">
        <v>9</v>
      </c>
      <c r="J1263" s="81">
        <v>84</v>
      </c>
      <c r="K1263" t="s">
        <v>47</v>
      </c>
    </row>
    <row r="1264" spans="2:11" x14ac:dyDescent="0.25">
      <c r="B1264" s="2">
        <v>21</v>
      </c>
      <c r="C1264" s="4">
        <v>3687.3239999999996</v>
      </c>
      <c r="D1264" s="4">
        <v>45467.590000000004</v>
      </c>
      <c r="E1264" s="79">
        <v>11895.49</v>
      </c>
      <c r="F1264" s="79">
        <f>SUM(BASE_DATOS[[#This Row],[Capital($)]:[Interés
Resarcitorio($)]])</f>
        <v>61050.404000000002</v>
      </c>
      <c r="G1264" s="8">
        <v>45714</v>
      </c>
      <c r="H1264" s="80" t="s">
        <v>62</v>
      </c>
      <c r="I1264" s="79" t="s">
        <v>7</v>
      </c>
      <c r="J1264" s="81">
        <v>84</v>
      </c>
      <c r="K1264" t="s">
        <v>47</v>
      </c>
    </row>
    <row r="1265" spans="2:11" x14ac:dyDescent="0.25">
      <c r="B1265" s="2">
        <v>22</v>
      </c>
      <c r="C1265" s="4">
        <v>3839.6099999999997</v>
      </c>
      <c r="D1265" s="4">
        <v>45315.303999999996</v>
      </c>
      <c r="E1265" s="79">
        <v>0</v>
      </c>
      <c r="F1265" s="79">
        <f>SUM(BASE_DATOS[[#This Row],[Capital($)]:[Interés
Resarcitorio($)]])</f>
        <v>49154.913999999997</v>
      </c>
      <c r="G1265" s="8">
        <v>45732</v>
      </c>
      <c r="H1265" s="80" t="s">
        <v>62</v>
      </c>
      <c r="I1265" s="79" t="s">
        <v>9</v>
      </c>
      <c r="J1265" s="81">
        <v>84</v>
      </c>
      <c r="K1265" t="s">
        <v>47</v>
      </c>
    </row>
    <row r="1266" spans="2:11" x14ac:dyDescent="0.25">
      <c r="B1266" s="2">
        <v>22</v>
      </c>
      <c r="C1266" s="4">
        <v>3839.6099999999997</v>
      </c>
      <c r="D1266" s="4">
        <v>45315.303999999996</v>
      </c>
      <c r="E1266" s="79">
        <v>6553.99</v>
      </c>
      <c r="F1266" s="79">
        <f>SUM(BASE_DATOS[[#This Row],[Capital($)]:[Interés
Resarcitorio($)]])</f>
        <v>55708.903999999995</v>
      </c>
      <c r="G1266" s="8">
        <v>45742</v>
      </c>
      <c r="H1266" s="80" t="s">
        <v>62</v>
      </c>
      <c r="I1266" s="79" t="s">
        <v>7</v>
      </c>
      <c r="J1266" s="81">
        <v>84</v>
      </c>
      <c r="K1266" t="s">
        <v>47</v>
      </c>
    </row>
    <row r="1267" spans="2:11" x14ac:dyDescent="0.25">
      <c r="B1267" s="2">
        <v>23</v>
      </c>
      <c r="C1267" s="4">
        <v>3998.1860000000001</v>
      </c>
      <c r="D1267" s="4">
        <v>45156.728000000003</v>
      </c>
      <c r="E1267" s="79">
        <v>0</v>
      </c>
      <c r="F1267" s="79">
        <f>SUM(BASE_DATOS[[#This Row],[Capital($)]:[Interés
Resarcitorio($)]])</f>
        <v>49154.914000000004</v>
      </c>
      <c r="G1267" s="8">
        <v>45763</v>
      </c>
      <c r="H1267" s="80" t="s">
        <v>62</v>
      </c>
      <c r="I1267" s="79" t="s">
        <v>9</v>
      </c>
      <c r="J1267" s="81">
        <v>84</v>
      </c>
      <c r="K1267" t="s">
        <v>47</v>
      </c>
    </row>
    <row r="1268" spans="2:11" x14ac:dyDescent="0.25">
      <c r="B1268" s="2">
        <v>23</v>
      </c>
      <c r="C1268" s="4">
        <v>3998.1860000000001</v>
      </c>
      <c r="D1268" s="4">
        <v>45156.728000000003</v>
      </c>
      <c r="E1268" s="79">
        <v>6553.99</v>
      </c>
      <c r="F1268" s="79">
        <f>SUM(BASE_DATOS[[#This Row],[Capital($)]:[Interés
Resarcitorio($)]])</f>
        <v>55708.904000000002</v>
      </c>
      <c r="G1268" s="8">
        <v>45773</v>
      </c>
      <c r="H1268" s="80" t="s">
        <v>62</v>
      </c>
      <c r="I1268" s="79" t="s">
        <v>7</v>
      </c>
      <c r="J1268" s="81">
        <v>84</v>
      </c>
      <c r="K1268" t="s">
        <v>47</v>
      </c>
    </row>
    <row r="1269" spans="2:11" x14ac:dyDescent="0.25">
      <c r="B1269" s="2">
        <v>24</v>
      </c>
      <c r="C1269" s="4">
        <v>4163.3109999999997</v>
      </c>
      <c r="D1269" s="4">
        <v>44991.603000000003</v>
      </c>
      <c r="E1269" s="79">
        <v>0</v>
      </c>
      <c r="F1269" s="79">
        <f>SUM(BASE_DATOS[[#This Row],[Capital($)]:[Interés
Resarcitorio($)]])</f>
        <v>49154.914000000004</v>
      </c>
      <c r="G1269" s="8">
        <v>45793</v>
      </c>
      <c r="H1269" s="80" t="s">
        <v>62</v>
      </c>
      <c r="I1269" s="79" t="s">
        <v>9</v>
      </c>
      <c r="J1269" s="81">
        <v>84</v>
      </c>
      <c r="K1269" t="s">
        <v>47</v>
      </c>
    </row>
    <row r="1270" spans="2:11" x14ac:dyDescent="0.25">
      <c r="B1270" s="2">
        <v>24</v>
      </c>
      <c r="C1270" s="4">
        <v>4163.3109999999997</v>
      </c>
      <c r="D1270" s="4">
        <v>44991.603000000003</v>
      </c>
      <c r="E1270" s="79">
        <v>6553.99</v>
      </c>
      <c r="F1270" s="79">
        <f>SUM(BASE_DATOS[[#This Row],[Capital($)]:[Interés
Resarcitorio($)]])</f>
        <v>55708.904000000002</v>
      </c>
      <c r="G1270" s="8">
        <v>45803</v>
      </c>
      <c r="H1270" s="80" t="s">
        <v>62</v>
      </c>
      <c r="I1270" s="79" t="s">
        <v>7</v>
      </c>
      <c r="J1270" s="81">
        <v>84</v>
      </c>
      <c r="K1270" t="s">
        <v>47</v>
      </c>
    </row>
    <row r="1271" spans="2:11" x14ac:dyDescent="0.25">
      <c r="B1271" s="2">
        <v>25</v>
      </c>
      <c r="C1271" s="4">
        <v>4335.2559999999994</v>
      </c>
      <c r="D1271" s="4">
        <v>44819.658000000003</v>
      </c>
      <c r="E1271" s="79">
        <v>0</v>
      </c>
      <c r="F1271" s="79">
        <f>SUM(BASE_DATOS[[#This Row],[Capital($)]:[Interés
Resarcitorio($)]])</f>
        <v>49154.914000000004</v>
      </c>
      <c r="G1271" s="8">
        <v>45824</v>
      </c>
      <c r="H1271" s="80" t="s">
        <v>62</v>
      </c>
      <c r="I1271" s="79" t="s">
        <v>9</v>
      </c>
      <c r="J1271" s="81">
        <v>84</v>
      </c>
      <c r="K1271" t="s">
        <v>47</v>
      </c>
    </row>
    <row r="1272" spans="2:11" x14ac:dyDescent="0.25">
      <c r="B1272" s="2">
        <v>25</v>
      </c>
      <c r="C1272" s="4">
        <v>4335.2559999999994</v>
      </c>
      <c r="D1272" s="4">
        <v>44819.658000000003</v>
      </c>
      <c r="E1272" s="79">
        <v>6553.99</v>
      </c>
      <c r="F1272" s="79">
        <f>SUM(BASE_DATOS[[#This Row],[Capital($)]:[Interés
Resarcitorio($)]])</f>
        <v>55708.904000000002</v>
      </c>
      <c r="G1272" s="8">
        <v>45834</v>
      </c>
      <c r="H1272" s="80" t="s">
        <v>62</v>
      </c>
      <c r="I1272" s="79" t="s">
        <v>7</v>
      </c>
      <c r="J1272" s="81">
        <v>84</v>
      </c>
      <c r="K1272" t="s">
        <v>47</v>
      </c>
    </row>
    <row r="1273" spans="2:11" x14ac:dyDescent="0.25">
      <c r="B1273" s="2">
        <v>26</v>
      </c>
      <c r="C1273" s="4">
        <v>4514.3019999999997</v>
      </c>
      <c r="D1273" s="4">
        <v>44640.612000000001</v>
      </c>
      <c r="E1273" s="79">
        <v>0</v>
      </c>
      <c r="F1273" s="79">
        <f>SUM(BASE_DATOS[[#This Row],[Capital($)]:[Interés
Resarcitorio($)]])</f>
        <v>49154.914000000004</v>
      </c>
      <c r="G1273" s="8">
        <v>45854</v>
      </c>
      <c r="H1273" s="80" t="s">
        <v>62</v>
      </c>
      <c r="I1273" s="79" t="s">
        <v>6</v>
      </c>
      <c r="J1273" s="81">
        <v>84</v>
      </c>
      <c r="K1273" t="s">
        <v>47</v>
      </c>
    </row>
    <row r="1274" spans="2:11" x14ac:dyDescent="0.25">
      <c r="B1274" s="2">
        <v>26</v>
      </c>
      <c r="C1274" s="4">
        <v>4514.3019999999997</v>
      </c>
      <c r="D1274" s="4">
        <v>44640.612000000001</v>
      </c>
      <c r="E1274" s="79">
        <v>6553.99</v>
      </c>
      <c r="F1274" s="79">
        <f>SUM(BASE_DATOS[[#This Row],[Capital($)]:[Interés
Resarcitorio($)]])</f>
        <v>55708.904000000002</v>
      </c>
      <c r="G1274" s="8">
        <v>45864</v>
      </c>
      <c r="H1274" s="80" t="s">
        <v>62</v>
      </c>
      <c r="I1274" s="79" t="s">
        <v>7</v>
      </c>
      <c r="J1274" s="81">
        <v>84</v>
      </c>
      <c r="K1274" t="s">
        <v>47</v>
      </c>
    </row>
    <row r="1275" spans="2:11" x14ac:dyDescent="0.25">
      <c r="B1275" s="2">
        <v>27</v>
      </c>
      <c r="C1275" s="4">
        <v>4700.7420000000002</v>
      </c>
      <c r="D1275" s="4">
        <v>44454.171999999999</v>
      </c>
      <c r="E1275" s="79">
        <v>0</v>
      </c>
      <c r="F1275" s="79">
        <f>SUM(BASE_DATOS[[#This Row],[Capital($)]:[Interés
Resarcitorio($)]])</f>
        <v>49154.913999999997</v>
      </c>
      <c r="G1275" s="8">
        <v>45885</v>
      </c>
      <c r="H1275" s="80" t="s">
        <v>62</v>
      </c>
      <c r="I1275" s="79" t="s">
        <v>6</v>
      </c>
      <c r="J1275" s="81">
        <v>84</v>
      </c>
      <c r="K1275" t="s">
        <v>47</v>
      </c>
    </row>
    <row r="1276" spans="2:11" x14ac:dyDescent="0.25">
      <c r="B1276" s="2">
        <v>27</v>
      </c>
      <c r="C1276" s="4">
        <v>4700.7420000000002</v>
      </c>
      <c r="D1276" s="4">
        <v>44454.171999999999</v>
      </c>
      <c r="E1276" s="79">
        <v>6553.99</v>
      </c>
      <c r="F1276" s="79">
        <f>SUM(BASE_DATOS[[#This Row],[Capital($)]:[Interés
Resarcitorio($)]])</f>
        <v>55708.903999999995</v>
      </c>
      <c r="G1276" s="8">
        <v>45895</v>
      </c>
      <c r="H1276" s="80" t="s">
        <v>62</v>
      </c>
      <c r="I1276" s="79" t="s">
        <v>7</v>
      </c>
      <c r="J1276" s="81">
        <v>84</v>
      </c>
      <c r="K1276" t="s">
        <v>47</v>
      </c>
    </row>
    <row r="1277" spans="2:11" x14ac:dyDescent="0.25">
      <c r="B1277" s="2">
        <v>28</v>
      </c>
      <c r="C1277" s="4">
        <v>4894.8829999999998</v>
      </c>
      <c r="D1277" s="4">
        <v>44260.031000000003</v>
      </c>
      <c r="E1277" s="79">
        <v>0</v>
      </c>
      <c r="F1277" s="79">
        <f>SUM(BASE_DATOS[[#This Row],[Capital($)]:[Interés
Resarcitorio($)]])</f>
        <v>49154.914000000004</v>
      </c>
      <c r="G1277" s="8">
        <v>45916</v>
      </c>
      <c r="H1277" s="80" t="s">
        <v>62</v>
      </c>
      <c r="I1277" s="79" t="s">
        <v>6</v>
      </c>
      <c r="J1277" s="81">
        <v>84</v>
      </c>
      <c r="K1277" t="s">
        <v>47</v>
      </c>
    </row>
    <row r="1278" spans="2:11" x14ac:dyDescent="0.25">
      <c r="B1278" s="2">
        <v>28</v>
      </c>
      <c r="C1278" s="4">
        <v>4894.8829999999998</v>
      </c>
      <c r="D1278" s="4">
        <v>44260.031000000003</v>
      </c>
      <c r="E1278" s="79">
        <v>6553.99</v>
      </c>
      <c r="F1278" s="79">
        <f>SUM(BASE_DATOS[[#This Row],[Capital($)]:[Interés
Resarcitorio($)]])</f>
        <v>55708.904000000002</v>
      </c>
      <c r="G1278" s="8">
        <v>45926</v>
      </c>
      <c r="H1278" s="80" t="s">
        <v>62</v>
      </c>
      <c r="I1278" s="79" t="s">
        <v>7</v>
      </c>
      <c r="J1278" s="81">
        <v>84</v>
      </c>
      <c r="K1278" t="s">
        <v>47</v>
      </c>
    </row>
    <row r="1279" spans="2:11" x14ac:dyDescent="0.25">
      <c r="B1279" s="2">
        <v>29</v>
      </c>
      <c r="C1279" s="4">
        <v>5097.0419999999995</v>
      </c>
      <c r="D1279" s="4">
        <v>44057.871999999996</v>
      </c>
      <c r="E1279" s="79">
        <v>0</v>
      </c>
      <c r="F1279" s="79">
        <f>SUM(BASE_DATOS[[#This Row],[Capital($)]:[Interés
Resarcitorio($)]])</f>
        <v>49154.913999999997</v>
      </c>
      <c r="G1279" s="8">
        <v>45946</v>
      </c>
      <c r="H1279" s="80" t="s">
        <v>62</v>
      </c>
      <c r="I1279" s="79" t="s">
        <v>6</v>
      </c>
      <c r="J1279" s="81">
        <v>84</v>
      </c>
      <c r="K1279" t="s">
        <v>47</v>
      </c>
    </row>
    <row r="1280" spans="2:11" x14ac:dyDescent="0.25">
      <c r="B1280" s="2">
        <v>29</v>
      </c>
      <c r="C1280" s="4">
        <v>5097.0419999999995</v>
      </c>
      <c r="D1280" s="4">
        <v>44057.871999999996</v>
      </c>
      <c r="E1280" s="79">
        <v>6553.99</v>
      </c>
      <c r="F1280" s="79">
        <f>SUM(BASE_DATOS[[#This Row],[Capital($)]:[Interés
Resarcitorio($)]])</f>
        <v>55708.903999999995</v>
      </c>
      <c r="G1280" s="8">
        <v>45956</v>
      </c>
      <c r="H1280" s="80" t="s">
        <v>62</v>
      </c>
      <c r="I1280" s="79" t="s">
        <v>7</v>
      </c>
      <c r="J1280" s="81">
        <v>84</v>
      </c>
      <c r="K1280" t="s">
        <v>47</v>
      </c>
    </row>
    <row r="1281" spans="2:11" x14ac:dyDescent="0.25">
      <c r="B1281" s="2">
        <v>30</v>
      </c>
      <c r="C1281" s="4">
        <v>5307.55</v>
      </c>
      <c r="D1281" s="4">
        <v>43847.364000000001</v>
      </c>
      <c r="E1281" s="79">
        <v>0</v>
      </c>
      <c r="F1281" s="79">
        <f>SUM(BASE_DATOS[[#This Row],[Capital($)]:[Interés
Resarcitorio($)]])</f>
        <v>49154.914000000004</v>
      </c>
      <c r="G1281" s="8">
        <v>45977</v>
      </c>
      <c r="H1281" s="80" t="s">
        <v>62</v>
      </c>
      <c r="I1281" s="79" t="s">
        <v>6</v>
      </c>
      <c r="J1281" s="81">
        <v>84</v>
      </c>
      <c r="K1281" t="s">
        <v>47</v>
      </c>
    </row>
    <row r="1282" spans="2:11" x14ac:dyDescent="0.25">
      <c r="B1282" s="2">
        <v>30</v>
      </c>
      <c r="C1282" s="4">
        <v>5307.55</v>
      </c>
      <c r="D1282" s="4">
        <v>43847.364000000001</v>
      </c>
      <c r="E1282" s="79">
        <v>6553.99</v>
      </c>
      <c r="F1282" s="79">
        <f>SUM(BASE_DATOS[[#This Row],[Capital($)]:[Interés
Resarcitorio($)]])</f>
        <v>55708.904000000002</v>
      </c>
      <c r="G1282" s="8">
        <v>45987</v>
      </c>
      <c r="H1282" s="80" t="s">
        <v>62</v>
      </c>
      <c r="I1282" s="79" t="s">
        <v>7</v>
      </c>
      <c r="J1282" s="81">
        <v>84</v>
      </c>
      <c r="K1282" t="s">
        <v>47</v>
      </c>
    </row>
    <row r="1283" spans="2:11" x14ac:dyDescent="0.25">
      <c r="B1283" s="2">
        <v>31</v>
      </c>
      <c r="C1283" s="4">
        <v>5526.7510000000002</v>
      </c>
      <c r="D1283" s="4">
        <v>43628.163</v>
      </c>
      <c r="E1283" s="79">
        <v>0</v>
      </c>
      <c r="F1283" s="79">
        <f>SUM(BASE_DATOS[[#This Row],[Capital($)]:[Interés
Resarcitorio($)]])</f>
        <v>49154.914000000004</v>
      </c>
      <c r="G1283" s="8">
        <v>46007</v>
      </c>
      <c r="H1283" s="80" t="s">
        <v>62</v>
      </c>
      <c r="I1283" s="79" t="s">
        <v>6</v>
      </c>
      <c r="J1283" s="81">
        <v>84</v>
      </c>
      <c r="K1283" t="s">
        <v>47</v>
      </c>
    </row>
    <row r="1284" spans="2:11" x14ac:dyDescent="0.25">
      <c r="B1284" s="2">
        <v>31</v>
      </c>
      <c r="C1284" s="4">
        <v>5526.7510000000002</v>
      </c>
      <c r="D1284" s="4">
        <v>43628.163</v>
      </c>
      <c r="E1284" s="79">
        <v>6553.99</v>
      </c>
      <c r="F1284" s="79">
        <f>SUM(BASE_DATOS[[#This Row],[Capital($)]:[Interés
Resarcitorio($)]])</f>
        <v>55708.904000000002</v>
      </c>
      <c r="G1284" s="8">
        <v>46017</v>
      </c>
      <c r="H1284" s="80" t="s">
        <v>62</v>
      </c>
      <c r="I1284" s="79" t="s">
        <v>7</v>
      </c>
      <c r="J1284" s="81">
        <v>84</v>
      </c>
      <c r="K1284" t="s">
        <v>47</v>
      </c>
    </row>
    <row r="1285" spans="2:11" x14ac:dyDescent="0.25">
      <c r="B1285" s="2">
        <v>32</v>
      </c>
      <c r="C1285" s="4">
        <v>5755.0059999999994</v>
      </c>
      <c r="D1285" s="4">
        <v>43399.908000000003</v>
      </c>
      <c r="E1285" s="79">
        <v>0</v>
      </c>
      <c r="F1285" s="79">
        <f>SUM(BASE_DATOS[[#This Row],[Capital($)]:[Interés
Resarcitorio($)]])</f>
        <v>49154.914000000004</v>
      </c>
      <c r="G1285" s="8">
        <v>46038</v>
      </c>
      <c r="H1285" s="80" t="s">
        <v>62</v>
      </c>
      <c r="I1285" s="79" t="s">
        <v>6</v>
      </c>
      <c r="J1285" s="81">
        <v>84</v>
      </c>
      <c r="K1285" t="s">
        <v>47</v>
      </c>
    </row>
    <row r="1286" spans="2:11" x14ac:dyDescent="0.25">
      <c r="B1286" s="2">
        <v>32</v>
      </c>
      <c r="C1286" s="4">
        <v>5755.0059999999994</v>
      </c>
      <c r="D1286" s="4">
        <v>43399.908000000003</v>
      </c>
      <c r="E1286" s="79">
        <v>6553.99</v>
      </c>
      <c r="F1286" s="79">
        <f>SUM(BASE_DATOS[[#This Row],[Capital($)]:[Interés
Resarcitorio($)]])</f>
        <v>55708.904000000002</v>
      </c>
      <c r="G1286" s="8">
        <v>46048</v>
      </c>
      <c r="H1286" s="80" t="s">
        <v>62</v>
      </c>
      <c r="I1286" s="79" t="s">
        <v>7</v>
      </c>
      <c r="J1286" s="81">
        <v>84</v>
      </c>
      <c r="K1286" t="s">
        <v>47</v>
      </c>
    </row>
    <row r="1287" spans="2:11" x14ac:dyDescent="0.25">
      <c r="B1287" s="2">
        <v>33</v>
      </c>
      <c r="C1287" s="4">
        <v>5992.6880000000001</v>
      </c>
      <c r="D1287" s="4">
        <v>43162.226000000002</v>
      </c>
      <c r="E1287" s="79">
        <v>0</v>
      </c>
      <c r="F1287" s="79">
        <f>SUM(BASE_DATOS[[#This Row],[Capital($)]:[Interés
Resarcitorio($)]])</f>
        <v>49154.914000000004</v>
      </c>
      <c r="G1287" s="8">
        <v>46069</v>
      </c>
      <c r="H1287" s="80" t="s">
        <v>62</v>
      </c>
      <c r="I1287" s="79" t="s">
        <v>6</v>
      </c>
      <c r="J1287" s="81">
        <v>84</v>
      </c>
      <c r="K1287" t="s">
        <v>47</v>
      </c>
    </row>
    <row r="1288" spans="2:11" x14ac:dyDescent="0.25">
      <c r="B1288" s="2">
        <v>33</v>
      </c>
      <c r="C1288" s="4">
        <v>5992.6880000000001</v>
      </c>
      <c r="D1288" s="4">
        <v>43162.226000000002</v>
      </c>
      <c r="E1288" s="79">
        <v>6553.99</v>
      </c>
      <c r="F1288" s="79">
        <f>SUM(BASE_DATOS[[#This Row],[Capital($)]:[Interés
Resarcitorio($)]])</f>
        <v>55708.904000000002</v>
      </c>
      <c r="G1288" s="8">
        <v>46079</v>
      </c>
      <c r="H1288" s="80" t="s">
        <v>62</v>
      </c>
      <c r="I1288" s="79" t="s">
        <v>7</v>
      </c>
      <c r="J1288" s="81">
        <v>84</v>
      </c>
      <c r="K1288" t="s">
        <v>47</v>
      </c>
    </row>
    <row r="1289" spans="2:11" x14ac:dyDescent="0.25">
      <c r="B1289" s="2">
        <v>34</v>
      </c>
      <c r="C1289" s="4">
        <v>6240.1859999999997</v>
      </c>
      <c r="D1289" s="4">
        <v>42914.728000000003</v>
      </c>
      <c r="E1289" s="79">
        <v>0</v>
      </c>
      <c r="F1289" s="79">
        <f>SUM(BASE_DATOS[[#This Row],[Capital($)]:[Interés
Resarcitorio($)]])</f>
        <v>49154.914000000004</v>
      </c>
      <c r="G1289" s="8">
        <v>46097</v>
      </c>
      <c r="H1289" s="80" t="s">
        <v>62</v>
      </c>
      <c r="I1289" s="79" t="s">
        <v>6</v>
      </c>
      <c r="J1289" s="81">
        <v>84</v>
      </c>
      <c r="K1289" t="s">
        <v>47</v>
      </c>
    </row>
    <row r="1290" spans="2:11" x14ac:dyDescent="0.25">
      <c r="B1290" s="2">
        <v>34</v>
      </c>
      <c r="C1290" s="4">
        <v>6240.1859999999997</v>
      </c>
      <c r="D1290" s="4">
        <v>42914.728000000003</v>
      </c>
      <c r="E1290" s="79">
        <v>6553.99</v>
      </c>
      <c r="F1290" s="79">
        <f>SUM(BASE_DATOS[[#This Row],[Capital($)]:[Interés
Resarcitorio($)]])</f>
        <v>55708.904000000002</v>
      </c>
      <c r="G1290" s="8">
        <v>46107</v>
      </c>
      <c r="H1290" s="80" t="s">
        <v>62</v>
      </c>
      <c r="I1290" s="79" t="s">
        <v>7</v>
      </c>
      <c r="J1290" s="81">
        <v>84</v>
      </c>
      <c r="K1290" t="s">
        <v>47</v>
      </c>
    </row>
    <row r="1291" spans="2:11" x14ac:dyDescent="0.25">
      <c r="B1291" s="2">
        <v>35</v>
      </c>
      <c r="C1291" s="4">
        <v>6497.9059999999999</v>
      </c>
      <c r="D1291" s="4">
        <v>42657.008000000002</v>
      </c>
      <c r="E1291" s="79">
        <v>0</v>
      </c>
      <c r="F1291" s="79">
        <f>SUM(BASE_DATOS[[#This Row],[Capital($)]:[Interés
Resarcitorio($)]])</f>
        <v>49154.914000000004</v>
      </c>
      <c r="G1291" s="8">
        <v>46128</v>
      </c>
      <c r="H1291" s="80" t="s">
        <v>62</v>
      </c>
      <c r="I1291" s="79" t="s">
        <v>6</v>
      </c>
      <c r="J1291" s="81">
        <v>84</v>
      </c>
      <c r="K1291" t="s">
        <v>47</v>
      </c>
    </row>
    <row r="1292" spans="2:11" x14ac:dyDescent="0.25">
      <c r="B1292" s="2">
        <v>35</v>
      </c>
      <c r="C1292" s="4">
        <v>6497.9059999999999</v>
      </c>
      <c r="D1292" s="4">
        <v>42657.008000000002</v>
      </c>
      <c r="E1292" s="79">
        <v>6553.99</v>
      </c>
      <c r="F1292" s="79">
        <f>SUM(BASE_DATOS[[#This Row],[Capital($)]:[Interés
Resarcitorio($)]])</f>
        <v>55708.904000000002</v>
      </c>
      <c r="G1292" s="8">
        <v>46138</v>
      </c>
      <c r="H1292" s="80" t="s">
        <v>62</v>
      </c>
      <c r="I1292" s="79" t="s">
        <v>7</v>
      </c>
      <c r="J1292" s="81">
        <v>84</v>
      </c>
      <c r="K1292" t="s">
        <v>47</v>
      </c>
    </row>
    <row r="1293" spans="2:11" x14ac:dyDescent="0.25">
      <c r="B1293" s="2">
        <v>36</v>
      </c>
      <c r="C1293" s="4">
        <v>6766.2690000000002</v>
      </c>
      <c r="D1293" s="4">
        <v>42388.645000000004</v>
      </c>
      <c r="E1293" s="79">
        <v>0</v>
      </c>
      <c r="F1293" s="79">
        <f>SUM(BASE_DATOS[[#This Row],[Capital($)]:[Interés
Resarcitorio($)]])</f>
        <v>49154.914000000004</v>
      </c>
      <c r="G1293" s="8">
        <v>46158</v>
      </c>
      <c r="H1293" s="80" t="s">
        <v>62</v>
      </c>
      <c r="I1293" s="79" t="s">
        <v>6</v>
      </c>
      <c r="J1293" s="81">
        <v>84</v>
      </c>
      <c r="K1293" t="s">
        <v>47</v>
      </c>
    </row>
    <row r="1294" spans="2:11" x14ac:dyDescent="0.25">
      <c r="B1294" s="2">
        <v>36</v>
      </c>
      <c r="C1294" s="4">
        <v>6766.2690000000002</v>
      </c>
      <c r="D1294" s="4">
        <v>42388.645000000004</v>
      </c>
      <c r="E1294" s="79">
        <v>6553.99</v>
      </c>
      <c r="F1294" s="79">
        <f>SUM(BASE_DATOS[[#This Row],[Capital($)]:[Interés
Resarcitorio($)]])</f>
        <v>55708.904000000002</v>
      </c>
      <c r="G1294" s="8">
        <v>46168</v>
      </c>
      <c r="H1294" s="80" t="s">
        <v>62</v>
      </c>
      <c r="I1294" s="79" t="s">
        <v>7</v>
      </c>
      <c r="J1294" s="81">
        <v>84</v>
      </c>
      <c r="K1294" t="s">
        <v>47</v>
      </c>
    </row>
    <row r="1295" spans="2:11" x14ac:dyDescent="0.25">
      <c r="B1295" s="2">
        <v>37</v>
      </c>
      <c r="C1295" s="4">
        <v>7045.7160000000003</v>
      </c>
      <c r="D1295" s="4">
        <v>42109.197999999997</v>
      </c>
      <c r="E1295" s="79">
        <v>0</v>
      </c>
      <c r="F1295" s="79">
        <f>SUM(BASE_DATOS[[#This Row],[Capital($)]:[Interés
Resarcitorio($)]])</f>
        <v>49154.913999999997</v>
      </c>
      <c r="G1295" s="8">
        <v>46189</v>
      </c>
      <c r="H1295" s="80" t="s">
        <v>62</v>
      </c>
      <c r="I1295" s="79" t="s">
        <v>6</v>
      </c>
      <c r="J1295" s="81">
        <v>84</v>
      </c>
      <c r="K1295" t="s">
        <v>47</v>
      </c>
    </row>
    <row r="1296" spans="2:11" x14ac:dyDescent="0.25">
      <c r="B1296" s="2">
        <v>37</v>
      </c>
      <c r="C1296" s="4">
        <v>7045.7160000000003</v>
      </c>
      <c r="D1296" s="4">
        <v>42109.197999999997</v>
      </c>
      <c r="E1296" s="79">
        <v>6553.99</v>
      </c>
      <c r="F1296" s="79">
        <f>SUM(BASE_DATOS[[#This Row],[Capital($)]:[Interés
Resarcitorio($)]])</f>
        <v>55708.903999999995</v>
      </c>
      <c r="G1296" s="8">
        <v>46199</v>
      </c>
      <c r="H1296" s="80" t="s">
        <v>62</v>
      </c>
      <c r="I1296" s="79" t="s">
        <v>7</v>
      </c>
      <c r="J1296" s="81">
        <v>84</v>
      </c>
      <c r="K1296" t="s">
        <v>47</v>
      </c>
    </row>
    <row r="1297" spans="2:11" x14ac:dyDescent="0.25">
      <c r="B1297" s="2">
        <v>38</v>
      </c>
      <c r="C1297" s="4">
        <v>7336.7039999999997</v>
      </c>
      <c r="D1297" s="4">
        <v>41818.21</v>
      </c>
      <c r="E1297" s="79">
        <v>0</v>
      </c>
      <c r="F1297" s="79">
        <f>SUM(BASE_DATOS[[#This Row],[Capital($)]:[Interés
Resarcitorio($)]])</f>
        <v>49154.913999999997</v>
      </c>
      <c r="G1297" s="8">
        <v>46219</v>
      </c>
      <c r="H1297" s="80" t="s">
        <v>62</v>
      </c>
      <c r="I1297" s="79" t="s">
        <v>6</v>
      </c>
      <c r="J1297" s="81">
        <v>84</v>
      </c>
      <c r="K1297" t="s">
        <v>47</v>
      </c>
    </row>
    <row r="1298" spans="2:11" x14ac:dyDescent="0.25">
      <c r="B1298" s="2">
        <v>38</v>
      </c>
      <c r="C1298" s="4">
        <v>7336.7039999999997</v>
      </c>
      <c r="D1298" s="4">
        <v>41818.21</v>
      </c>
      <c r="E1298" s="79">
        <v>6553.99</v>
      </c>
      <c r="F1298" s="79">
        <f>SUM(BASE_DATOS[[#This Row],[Capital($)]:[Interés
Resarcitorio($)]])</f>
        <v>55708.903999999995</v>
      </c>
      <c r="G1298" s="8">
        <v>46229</v>
      </c>
      <c r="H1298" s="80" t="s">
        <v>62</v>
      </c>
      <c r="I1298" s="79" t="s">
        <v>7</v>
      </c>
      <c r="J1298" s="81">
        <v>84</v>
      </c>
      <c r="K1298" t="s">
        <v>47</v>
      </c>
    </row>
    <row r="1299" spans="2:11" x14ac:dyDescent="0.25">
      <c r="B1299" s="2">
        <v>39</v>
      </c>
      <c r="C1299" s="4">
        <v>7639.7100000000009</v>
      </c>
      <c r="D1299" s="4">
        <v>41515.203999999998</v>
      </c>
      <c r="E1299" s="79">
        <v>0</v>
      </c>
      <c r="F1299" s="79">
        <f>SUM(BASE_DATOS[[#This Row],[Capital($)]:[Interés
Resarcitorio($)]])</f>
        <v>49154.913999999997</v>
      </c>
      <c r="G1299" s="8">
        <v>46250</v>
      </c>
      <c r="H1299" s="80" t="s">
        <v>62</v>
      </c>
      <c r="I1299" s="79" t="s">
        <v>6</v>
      </c>
      <c r="J1299" s="81">
        <v>84</v>
      </c>
      <c r="K1299" t="s">
        <v>47</v>
      </c>
    </row>
    <row r="1300" spans="2:11" x14ac:dyDescent="0.25">
      <c r="B1300" s="2">
        <v>39</v>
      </c>
      <c r="C1300" s="4">
        <v>7639.7100000000009</v>
      </c>
      <c r="D1300" s="4">
        <v>41515.203999999998</v>
      </c>
      <c r="E1300" s="79">
        <v>6553.99</v>
      </c>
      <c r="F1300" s="79">
        <f>SUM(BASE_DATOS[[#This Row],[Capital($)]:[Interés
Resarcitorio($)]])</f>
        <v>55708.903999999995</v>
      </c>
      <c r="G1300" s="8">
        <v>46260</v>
      </c>
      <c r="H1300" s="80" t="s">
        <v>62</v>
      </c>
      <c r="I1300" s="79" t="s">
        <v>7</v>
      </c>
      <c r="J1300" s="81">
        <v>84</v>
      </c>
      <c r="K1300" t="s">
        <v>47</v>
      </c>
    </row>
    <row r="1301" spans="2:11" x14ac:dyDescent="0.25">
      <c r="B1301" s="2">
        <v>40</v>
      </c>
      <c r="C1301" s="4">
        <v>7955.2300000000005</v>
      </c>
      <c r="D1301" s="4">
        <v>41199.684000000001</v>
      </c>
      <c r="E1301" s="79">
        <v>0</v>
      </c>
      <c r="F1301" s="79">
        <f>SUM(BASE_DATOS[[#This Row],[Capital($)]:[Interés
Resarcitorio($)]])</f>
        <v>49154.914000000004</v>
      </c>
      <c r="G1301" s="8">
        <v>46281</v>
      </c>
      <c r="H1301" s="80" t="s">
        <v>62</v>
      </c>
      <c r="I1301" s="79" t="s">
        <v>6</v>
      </c>
      <c r="J1301" s="81">
        <v>84</v>
      </c>
      <c r="K1301" t="s">
        <v>47</v>
      </c>
    </row>
    <row r="1302" spans="2:11" x14ac:dyDescent="0.25">
      <c r="B1302" s="2">
        <v>40</v>
      </c>
      <c r="C1302" s="4">
        <v>7955.2300000000005</v>
      </c>
      <c r="D1302" s="4">
        <v>41199.684000000001</v>
      </c>
      <c r="E1302" s="79">
        <v>6553.99</v>
      </c>
      <c r="F1302" s="79">
        <f>SUM(BASE_DATOS[[#This Row],[Capital($)]:[Interés
Resarcitorio($)]])</f>
        <v>55708.904000000002</v>
      </c>
      <c r="G1302" s="8">
        <v>46291</v>
      </c>
      <c r="H1302" s="80" t="s">
        <v>62</v>
      </c>
      <c r="I1302" s="79" t="s">
        <v>7</v>
      </c>
      <c r="J1302" s="81">
        <v>84</v>
      </c>
      <c r="K1302" t="s">
        <v>47</v>
      </c>
    </row>
    <row r="1303" spans="2:11" x14ac:dyDescent="0.25">
      <c r="B1303" s="2">
        <v>41</v>
      </c>
      <c r="C1303" s="4">
        <v>8283.780999999999</v>
      </c>
      <c r="D1303" s="4">
        <v>40871.133000000002</v>
      </c>
      <c r="E1303" s="79">
        <v>0</v>
      </c>
      <c r="F1303" s="79">
        <f>SUM(BASE_DATOS[[#This Row],[Capital($)]:[Interés
Resarcitorio($)]])</f>
        <v>49154.914000000004</v>
      </c>
      <c r="G1303" s="8">
        <v>46311</v>
      </c>
      <c r="H1303" s="80" t="s">
        <v>62</v>
      </c>
      <c r="I1303" s="79" t="s">
        <v>6</v>
      </c>
      <c r="J1303" s="81">
        <v>84</v>
      </c>
      <c r="K1303" t="s">
        <v>47</v>
      </c>
    </row>
    <row r="1304" spans="2:11" x14ac:dyDescent="0.25">
      <c r="B1304" s="2">
        <v>41</v>
      </c>
      <c r="C1304" s="4">
        <v>8283.780999999999</v>
      </c>
      <c r="D1304" s="4">
        <v>40871.133000000002</v>
      </c>
      <c r="E1304" s="79">
        <v>6553.99</v>
      </c>
      <c r="F1304" s="79">
        <f>SUM(BASE_DATOS[[#This Row],[Capital($)]:[Interés
Resarcitorio($)]])</f>
        <v>55708.904000000002</v>
      </c>
      <c r="G1304" s="8">
        <v>46321</v>
      </c>
      <c r="H1304" s="80" t="s">
        <v>62</v>
      </c>
      <c r="I1304" s="79" t="s">
        <v>7</v>
      </c>
      <c r="J1304" s="81">
        <v>84</v>
      </c>
      <c r="K1304" t="s">
        <v>47</v>
      </c>
    </row>
    <row r="1305" spans="2:11" x14ac:dyDescent="0.25">
      <c r="B1305" s="2">
        <v>42</v>
      </c>
      <c r="C1305" s="4">
        <v>8625.9009999999998</v>
      </c>
      <c r="D1305" s="4">
        <v>40529.012999999999</v>
      </c>
      <c r="E1305" s="79">
        <v>0</v>
      </c>
      <c r="F1305" s="79">
        <f>SUM(BASE_DATOS[[#This Row],[Capital($)]:[Interés
Resarcitorio($)]])</f>
        <v>49154.913999999997</v>
      </c>
      <c r="G1305" s="8">
        <v>46342</v>
      </c>
      <c r="H1305" s="80" t="s">
        <v>62</v>
      </c>
      <c r="I1305" s="79" t="s">
        <v>6</v>
      </c>
      <c r="J1305" s="81">
        <v>84</v>
      </c>
      <c r="K1305" t="s">
        <v>47</v>
      </c>
    </row>
    <row r="1306" spans="2:11" x14ac:dyDescent="0.25">
      <c r="B1306" s="2">
        <v>42</v>
      </c>
      <c r="C1306" s="4">
        <v>8625.9009999999998</v>
      </c>
      <c r="D1306" s="4">
        <v>40529.012999999999</v>
      </c>
      <c r="E1306" s="79">
        <v>6553.99</v>
      </c>
      <c r="F1306" s="79">
        <f>SUM(BASE_DATOS[[#This Row],[Capital($)]:[Interés
Resarcitorio($)]])</f>
        <v>55708.903999999995</v>
      </c>
      <c r="G1306" s="8">
        <v>46352</v>
      </c>
      <c r="H1306" s="80" t="s">
        <v>62</v>
      </c>
      <c r="I1306" s="79" t="s">
        <v>7</v>
      </c>
      <c r="J1306" s="81">
        <v>84</v>
      </c>
      <c r="K1306" t="s">
        <v>47</v>
      </c>
    </row>
    <row r="1307" spans="2:11" x14ac:dyDescent="0.25">
      <c r="B1307" s="2">
        <v>43</v>
      </c>
      <c r="C1307" s="4">
        <v>8982.1509999999998</v>
      </c>
      <c r="D1307" s="4">
        <v>40172.762999999999</v>
      </c>
      <c r="E1307" s="79">
        <v>0</v>
      </c>
      <c r="F1307" s="79">
        <f>SUM(BASE_DATOS[[#This Row],[Capital($)]:[Interés
Resarcitorio($)]])</f>
        <v>49154.913999999997</v>
      </c>
      <c r="G1307" s="8">
        <v>46372</v>
      </c>
      <c r="H1307" s="80" t="s">
        <v>62</v>
      </c>
      <c r="I1307" s="79" t="s">
        <v>6</v>
      </c>
      <c r="J1307" s="81">
        <v>84</v>
      </c>
      <c r="K1307" t="s">
        <v>47</v>
      </c>
    </row>
    <row r="1308" spans="2:11" x14ac:dyDescent="0.25">
      <c r="B1308" s="2">
        <v>43</v>
      </c>
      <c r="C1308" s="4">
        <v>8982.1509999999998</v>
      </c>
      <c r="D1308" s="4">
        <v>40172.762999999999</v>
      </c>
      <c r="E1308" s="79">
        <v>6553.99</v>
      </c>
      <c r="F1308" s="79">
        <f>SUM(BASE_DATOS[[#This Row],[Capital($)]:[Interés
Resarcitorio($)]])</f>
        <v>55708.903999999995</v>
      </c>
      <c r="G1308" s="8">
        <v>46382</v>
      </c>
      <c r="H1308" s="80" t="s">
        <v>62</v>
      </c>
      <c r="I1308" s="79" t="s">
        <v>7</v>
      </c>
      <c r="J1308" s="81">
        <v>84</v>
      </c>
      <c r="K1308" t="s">
        <v>47</v>
      </c>
    </row>
    <row r="1309" spans="2:11" x14ac:dyDescent="0.25">
      <c r="B1309" s="2">
        <v>44</v>
      </c>
      <c r="C1309" s="4">
        <v>9353.1139999999996</v>
      </c>
      <c r="D1309" s="4">
        <v>39801.800000000003</v>
      </c>
      <c r="E1309" s="79">
        <v>0</v>
      </c>
      <c r="F1309" s="79">
        <f>SUM(BASE_DATOS[[#This Row],[Capital($)]:[Interés
Resarcitorio($)]])</f>
        <v>49154.914000000004</v>
      </c>
      <c r="G1309" s="8">
        <v>46403</v>
      </c>
      <c r="H1309" s="80" t="s">
        <v>62</v>
      </c>
      <c r="I1309" s="79" t="s">
        <v>6</v>
      </c>
      <c r="J1309" s="81">
        <v>84</v>
      </c>
      <c r="K1309" t="s">
        <v>47</v>
      </c>
    </row>
    <row r="1310" spans="2:11" x14ac:dyDescent="0.25">
      <c r="B1310" s="2">
        <v>44</v>
      </c>
      <c r="C1310" s="4">
        <v>9353.1139999999996</v>
      </c>
      <c r="D1310" s="4">
        <v>39801.800000000003</v>
      </c>
      <c r="E1310" s="79">
        <v>6553.99</v>
      </c>
      <c r="F1310" s="79">
        <f>SUM(BASE_DATOS[[#This Row],[Capital($)]:[Interés
Resarcitorio($)]])</f>
        <v>55708.904000000002</v>
      </c>
      <c r="G1310" s="8">
        <v>46413</v>
      </c>
      <c r="H1310" s="80" t="s">
        <v>62</v>
      </c>
      <c r="I1310" s="79" t="s">
        <v>7</v>
      </c>
      <c r="J1310" s="81">
        <v>84</v>
      </c>
      <c r="K1310" t="s">
        <v>47</v>
      </c>
    </row>
    <row r="1311" spans="2:11" x14ac:dyDescent="0.25">
      <c r="B1311" s="2">
        <v>45</v>
      </c>
      <c r="C1311" s="4">
        <v>9739.3979999999992</v>
      </c>
      <c r="D1311" s="4">
        <v>39415.515999999996</v>
      </c>
      <c r="E1311" s="79">
        <v>0</v>
      </c>
      <c r="F1311" s="79">
        <f>SUM(BASE_DATOS[[#This Row],[Capital($)]:[Interés
Resarcitorio($)]])</f>
        <v>49154.913999999997</v>
      </c>
      <c r="G1311" s="8">
        <v>46434</v>
      </c>
      <c r="H1311" s="80" t="s">
        <v>62</v>
      </c>
      <c r="I1311" s="79" t="s">
        <v>6</v>
      </c>
      <c r="J1311" s="81">
        <v>84</v>
      </c>
      <c r="K1311" t="s">
        <v>47</v>
      </c>
    </row>
    <row r="1312" spans="2:11" x14ac:dyDescent="0.25">
      <c r="B1312" s="2">
        <v>45</v>
      </c>
      <c r="C1312" s="4">
        <v>9739.3979999999992</v>
      </c>
      <c r="D1312" s="4">
        <v>39415.515999999996</v>
      </c>
      <c r="E1312" s="79">
        <v>6553.99</v>
      </c>
      <c r="F1312" s="79">
        <f>SUM(BASE_DATOS[[#This Row],[Capital($)]:[Interés
Resarcitorio($)]])</f>
        <v>55708.903999999995</v>
      </c>
      <c r="G1312" s="8">
        <v>46444</v>
      </c>
      <c r="H1312" s="80" t="s">
        <v>62</v>
      </c>
      <c r="I1312" s="79" t="s">
        <v>7</v>
      </c>
      <c r="J1312" s="81">
        <v>84</v>
      </c>
      <c r="K1312" t="s">
        <v>47</v>
      </c>
    </row>
    <row r="1313" spans="2:11" x14ac:dyDescent="0.25">
      <c r="B1313" s="2">
        <v>46</v>
      </c>
      <c r="C1313" s="4">
        <v>10141.635</v>
      </c>
      <c r="D1313" s="4">
        <v>39013.278999999995</v>
      </c>
      <c r="E1313" s="79">
        <v>0</v>
      </c>
      <c r="F1313" s="79">
        <f>SUM(BASE_DATOS[[#This Row],[Capital($)]:[Interés
Resarcitorio($)]])</f>
        <v>49154.913999999997</v>
      </c>
      <c r="G1313" s="8">
        <v>46462</v>
      </c>
      <c r="H1313" s="80" t="s">
        <v>62</v>
      </c>
      <c r="I1313" s="79" t="s">
        <v>6</v>
      </c>
      <c r="J1313" s="81">
        <v>84</v>
      </c>
      <c r="K1313" t="s">
        <v>47</v>
      </c>
    </row>
    <row r="1314" spans="2:11" x14ac:dyDescent="0.25">
      <c r="B1314" s="2">
        <v>46</v>
      </c>
      <c r="C1314" s="4">
        <v>10141.635</v>
      </c>
      <c r="D1314" s="4">
        <v>39013.278999999995</v>
      </c>
      <c r="E1314" s="79">
        <v>6553.99</v>
      </c>
      <c r="F1314" s="79">
        <f>SUM(BASE_DATOS[[#This Row],[Capital($)]:[Interés
Resarcitorio($)]])</f>
        <v>55708.903999999995</v>
      </c>
      <c r="G1314" s="8">
        <v>46472</v>
      </c>
      <c r="H1314" s="80" t="s">
        <v>62</v>
      </c>
      <c r="I1314" s="79" t="s">
        <v>7</v>
      </c>
      <c r="J1314" s="81">
        <v>84</v>
      </c>
      <c r="K1314" t="s">
        <v>47</v>
      </c>
    </row>
    <row r="1315" spans="2:11" x14ac:dyDescent="0.25">
      <c r="B1315" s="2">
        <v>47</v>
      </c>
      <c r="C1315" s="4">
        <v>10560.484</v>
      </c>
      <c r="D1315" s="4">
        <v>38594.43</v>
      </c>
      <c r="E1315" s="79">
        <v>0</v>
      </c>
      <c r="F1315" s="79">
        <f>SUM(BASE_DATOS[[#This Row],[Capital($)]:[Interés
Resarcitorio($)]])</f>
        <v>49154.914000000004</v>
      </c>
      <c r="G1315" s="8">
        <v>46493</v>
      </c>
      <c r="H1315" s="80" t="s">
        <v>62</v>
      </c>
      <c r="I1315" s="79" t="s">
        <v>6</v>
      </c>
      <c r="J1315" s="81">
        <v>84</v>
      </c>
      <c r="K1315" t="s">
        <v>47</v>
      </c>
    </row>
    <row r="1316" spans="2:11" x14ac:dyDescent="0.25">
      <c r="B1316" s="2">
        <v>47</v>
      </c>
      <c r="C1316" s="4">
        <v>10560.484</v>
      </c>
      <c r="D1316" s="4">
        <v>38594.43</v>
      </c>
      <c r="E1316" s="79">
        <v>6553.99</v>
      </c>
      <c r="F1316" s="79">
        <f>SUM(BASE_DATOS[[#This Row],[Capital($)]:[Interés
Resarcitorio($)]])</f>
        <v>55708.904000000002</v>
      </c>
      <c r="G1316" s="8">
        <v>46503</v>
      </c>
      <c r="H1316" s="80" t="s">
        <v>62</v>
      </c>
      <c r="I1316" s="79" t="s">
        <v>7</v>
      </c>
      <c r="J1316" s="81">
        <v>84</v>
      </c>
      <c r="K1316" t="s">
        <v>47</v>
      </c>
    </row>
    <row r="1317" spans="2:11" x14ac:dyDescent="0.25">
      <c r="B1317" s="2">
        <v>48</v>
      </c>
      <c r="C1317" s="4">
        <v>10996.632000000001</v>
      </c>
      <c r="D1317" s="4">
        <v>38158.281999999999</v>
      </c>
      <c r="E1317" s="79">
        <v>0</v>
      </c>
      <c r="F1317" s="79">
        <f>SUM(BASE_DATOS[[#This Row],[Capital($)]:[Interés
Resarcitorio($)]])</f>
        <v>49154.914000000004</v>
      </c>
      <c r="G1317" s="8">
        <v>46523</v>
      </c>
      <c r="H1317" s="80" t="s">
        <v>62</v>
      </c>
      <c r="I1317" s="79" t="s">
        <v>6</v>
      </c>
      <c r="J1317" s="81">
        <v>84</v>
      </c>
      <c r="K1317" t="s">
        <v>47</v>
      </c>
    </row>
    <row r="1318" spans="2:11" x14ac:dyDescent="0.25">
      <c r="B1318" s="2">
        <v>48</v>
      </c>
      <c r="C1318" s="4">
        <v>10996.632000000001</v>
      </c>
      <c r="D1318" s="4">
        <v>38158.281999999999</v>
      </c>
      <c r="E1318" s="79">
        <v>6553.99</v>
      </c>
      <c r="F1318" s="79">
        <f>SUM(BASE_DATOS[[#This Row],[Capital($)]:[Interés
Resarcitorio($)]])</f>
        <v>55708.904000000002</v>
      </c>
      <c r="G1318" s="8">
        <v>46533</v>
      </c>
      <c r="H1318" s="80" t="s">
        <v>62</v>
      </c>
      <c r="I1318" s="79" t="s">
        <v>7</v>
      </c>
      <c r="J1318" s="81">
        <v>84</v>
      </c>
      <c r="K1318" t="s">
        <v>47</v>
      </c>
    </row>
    <row r="1319" spans="2:11" x14ac:dyDescent="0.25">
      <c r="B1319" s="2">
        <v>49</v>
      </c>
      <c r="C1319" s="4">
        <v>11450.793</v>
      </c>
      <c r="D1319" s="4">
        <v>37704.120999999999</v>
      </c>
      <c r="E1319" s="79">
        <v>0</v>
      </c>
      <c r="F1319" s="79">
        <f>SUM(BASE_DATOS[[#This Row],[Capital($)]:[Interés
Resarcitorio($)]])</f>
        <v>49154.913999999997</v>
      </c>
      <c r="G1319" s="8">
        <v>46554</v>
      </c>
      <c r="H1319" s="80" t="s">
        <v>62</v>
      </c>
      <c r="I1319" s="79" t="s">
        <v>6</v>
      </c>
      <c r="J1319" s="81">
        <v>84</v>
      </c>
      <c r="K1319" t="s">
        <v>47</v>
      </c>
    </row>
    <row r="1320" spans="2:11" x14ac:dyDescent="0.25">
      <c r="B1320" s="2">
        <v>49</v>
      </c>
      <c r="C1320" s="4">
        <v>11450.793</v>
      </c>
      <c r="D1320" s="4">
        <v>37704.120999999999</v>
      </c>
      <c r="E1320" s="79">
        <v>6553.99</v>
      </c>
      <c r="F1320" s="79">
        <f>SUM(BASE_DATOS[[#This Row],[Capital($)]:[Interés
Resarcitorio($)]])</f>
        <v>55708.903999999995</v>
      </c>
      <c r="G1320" s="8">
        <v>46564</v>
      </c>
      <c r="H1320" s="80" t="s">
        <v>62</v>
      </c>
      <c r="I1320" s="79" t="s">
        <v>7</v>
      </c>
      <c r="J1320" s="81">
        <v>84</v>
      </c>
      <c r="K1320" t="s">
        <v>47</v>
      </c>
    </row>
    <row r="1321" spans="2:11" x14ac:dyDescent="0.25">
      <c r="B1321" s="2">
        <v>50</v>
      </c>
      <c r="C1321" s="4">
        <v>11923.710999999999</v>
      </c>
      <c r="D1321" s="4">
        <v>37231.203000000001</v>
      </c>
      <c r="E1321" s="79">
        <v>0</v>
      </c>
      <c r="F1321" s="79">
        <f>SUM(BASE_DATOS[[#This Row],[Capital($)]:[Interés
Resarcitorio($)]])</f>
        <v>49154.914000000004</v>
      </c>
      <c r="G1321" s="8">
        <v>46584</v>
      </c>
      <c r="H1321" s="80" t="s">
        <v>62</v>
      </c>
      <c r="I1321" s="79" t="s">
        <v>6</v>
      </c>
      <c r="J1321" s="81">
        <v>84</v>
      </c>
      <c r="K1321" t="s">
        <v>47</v>
      </c>
    </row>
    <row r="1322" spans="2:11" x14ac:dyDescent="0.25">
      <c r="B1322" s="2">
        <v>50</v>
      </c>
      <c r="C1322" s="4">
        <v>11923.710999999999</v>
      </c>
      <c r="D1322" s="4">
        <v>37231.203000000001</v>
      </c>
      <c r="E1322" s="79">
        <v>6553.99</v>
      </c>
      <c r="F1322" s="79">
        <f>SUM(BASE_DATOS[[#This Row],[Capital($)]:[Interés
Resarcitorio($)]])</f>
        <v>55708.904000000002</v>
      </c>
      <c r="G1322" s="8">
        <v>46594</v>
      </c>
      <c r="H1322" s="80" t="s">
        <v>62</v>
      </c>
      <c r="I1322" s="79" t="s">
        <v>7</v>
      </c>
      <c r="J1322" s="81">
        <v>84</v>
      </c>
      <c r="K1322" t="s">
        <v>47</v>
      </c>
    </row>
    <row r="1323" spans="2:11" x14ac:dyDescent="0.25">
      <c r="B1323" s="2">
        <v>51</v>
      </c>
      <c r="C1323" s="4">
        <v>12416.16</v>
      </c>
      <c r="D1323" s="4">
        <v>36738.754000000001</v>
      </c>
      <c r="E1323" s="79">
        <v>0</v>
      </c>
      <c r="F1323" s="79">
        <f>SUM(BASE_DATOS[[#This Row],[Capital($)]:[Interés
Resarcitorio($)]])</f>
        <v>49154.914000000004</v>
      </c>
      <c r="G1323" s="8">
        <v>46615</v>
      </c>
      <c r="H1323" s="80" t="s">
        <v>62</v>
      </c>
      <c r="I1323" s="79" t="s">
        <v>6</v>
      </c>
      <c r="J1323" s="81">
        <v>84</v>
      </c>
      <c r="K1323" t="s">
        <v>47</v>
      </c>
    </row>
    <row r="1324" spans="2:11" x14ac:dyDescent="0.25">
      <c r="B1324" s="2">
        <v>51</v>
      </c>
      <c r="C1324" s="4">
        <v>12416.16</v>
      </c>
      <c r="D1324" s="4">
        <v>36738.754000000001</v>
      </c>
      <c r="E1324" s="79">
        <v>6553.99</v>
      </c>
      <c r="F1324" s="79">
        <f>SUM(BASE_DATOS[[#This Row],[Capital($)]:[Interés
Resarcitorio($)]])</f>
        <v>55708.904000000002</v>
      </c>
      <c r="G1324" s="8">
        <v>46625</v>
      </c>
      <c r="H1324" s="80" t="s">
        <v>62</v>
      </c>
      <c r="I1324" s="79" t="s">
        <v>7</v>
      </c>
      <c r="J1324" s="81">
        <v>84</v>
      </c>
      <c r="K1324" t="s">
        <v>47</v>
      </c>
    </row>
    <row r="1325" spans="2:11" x14ac:dyDescent="0.25">
      <c r="B1325" s="2">
        <v>52</v>
      </c>
      <c r="C1325" s="4">
        <v>12928.947</v>
      </c>
      <c r="D1325" s="4">
        <v>36225.966999999997</v>
      </c>
      <c r="E1325" s="79">
        <v>0</v>
      </c>
      <c r="F1325" s="79">
        <f>SUM(BASE_DATOS[[#This Row],[Capital($)]:[Interés
Resarcitorio($)]])</f>
        <v>49154.913999999997</v>
      </c>
      <c r="G1325" s="8">
        <v>46646</v>
      </c>
      <c r="H1325" s="80" t="s">
        <v>62</v>
      </c>
      <c r="I1325" s="79" t="s">
        <v>6</v>
      </c>
      <c r="J1325" s="81">
        <v>84</v>
      </c>
      <c r="K1325" t="s">
        <v>47</v>
      </c>
    </row>
    <row r="1326" spans="2:11" x14ac:dyDescent="0.25">
      <c r="B1326" s="2">
        <v>52</v>
      </c>
      <c r="C1326" s="4">
        <v>12928.947</v>
      </c>
      <c r="D1326" s="4">
        <v>36225.966999999997</v>
      </c>
      <c r="E1326" s="79">
        <v>6553.99</v>
      </c>
      <c r="F1326" s="79">
        <f>SUM(BASE_DATOS[[#This Row],[Capital($)]:[Interés
Resarcitorio($)]])</f>
        <v>55708.903999999995</v>
      </c>
      <c r="G1326" s="8">
        <v>46656</v>
      </c>
      <c r="H1326" s="80" t="s">
        <v>62</v>
      </c>
      <c r="I1326" s="79" t="s">
        <v>7</v>
      </c>
      <c r="J1326" s="81">
        <v>84</v>
      </c>
      <c r="K1326" t="s">
        <v>47</v>
      </c>
    </row>
    <row r="1327" spans="2:11" x14ac:dyDescent="0.25">
      <c r="B1327" s="2">
        <v>53</v>
      </c>
      <c r="C1327" s="4">
        <v>13462.913</v>
      </c>
      <c r="D1327" s="4">
        <v>35692.001000000004</v>
      </c>
      <c r="E1327" s="79">
        <v>0</v>
      </c>
      <c r="F1327" s="79">
        <f>SUM(BASE_DATOS[[#This Row],[Capital($)]:[Interés
Resarcitorio($)]])</f>
        <v>49154.914000000004</v>
      </c>
      <c r="G1327" s="8">
        <v>46676</v>
      </c>
      <c r="H1327" s="80" t="s">
        <v>62</v>
      </c>
      <c r="I1327" s="79" t="s">
        <v>6</v>
      </c>
      <c r="J1327" s="81">
        <v>84</v>
      </c>
      <c r="K1327" t="s">
        <v>47</v>
      </c>
    </row>
    <row r="1328" spans="2:11" x14ac:dyDescent="0.25">
      <c r="B1328" s="2">
        <v>53</v>
      </c>
      <c r="C1328" s="4">
        <v>13462.913</v>
      </c>
      <c r="D1328" s="4">
        <v>35692.001000000004</v>
      </c>
      <c r="E1328" s="79">
        <v>6553.99</v>
      </c>
      <c r="F1328" s="79">
        <f>SUM(BASE_DATOS[[#This Row],[Capital($)]:[Interés
Resarcitorio($)]])</f>
        <v>55708.904000000002</v>
      </c>
      <c r="G1328" s="8">
        <v>46686</v>
      </c>
      <c r="H1328" s="80" t="s">
        <v>62</v>
      </c>
      <c r="I1328" s="79" t="s">
        <v>7</v>
      </c>
      <c r="J1328" s="81">
        <v>84</v>
      </c>
      <c r="K1328" t="s">
        <v>47</v>
      </c>
    </row>
    <row r="1329" spans="2:11" x14ac:dyDescent="0.25">
      <c r="B1329" s="2">
        <v>54</v>
      </c>
      <c r="C1329" s="4">
        <v>14018.931</v>
      </c>
      <c r="D1329" s="4">
        <v>35135.983</v>
      </c>
      <c r="E1329" s="79">
        <v>0</v>
      </c>
      <c r="F1329" s="79">
        <f>SUM(BASE_DATOS[[#This Row],[Capital($)]:[Interés
Resarcitorio($)]])</f>
        <v>49154.914000000004</v>
      </c>
      <c r="G1329" s="8">
        <v>46707</v>
      </c>
      <c r="H1329" s="80" t="s">
        <v>62</v>
      </c>
      <c r="I1329" s="79" t="s">
        <v>6</v>
      </c>
      <c r="J1329" s="81">
        <v>84</v>
      </c>
      <c r="K1329" t="s">
        <v>47</v>
      </c>
    </row>
    <row r="1330" spans="2:11" x14ac:dyDescent="0.25">
      <c r="B1330" s="2">
        <v>54</v>
      </c>
      <c r="C1330" s="4">
        <v>14018.931</v>
      </c>
      <c r="D1330" s="4">
        <v>35135.983</v>
      </c>
      <c r="E1330" s="79">
        <v>6553.99</v>
      </c>
      <c r="F1330" s="79">
        <f>SUM(BASE_DATOS[[#This Row],[Capital($)]:[Interés
Resarcitorio($)]])</f>
        <v>55708.904000000002</v>
      </c>
      <c r="G1330" s="8">
        <v>46717</v>
      </c>
      <c r="H1330" s="80" t="s">
        <v>62</v>
      </c>
      <c r="I1330" s="79" t="s">
        <v>7</v>
      </c>
      <c r="J1330" s="81">
        <v>84</v>
      </c>
      <c r="K1330" t="s">
        <v>47</v>
      </c>
    </row>
    <row r="1331" spans="2:11" x14ac:dyDescent="0.25">
      <c r="B1331" s="2">
        <v>55</v>
      </c>
      <c r="C1331" s="4">
        <v>14597.913</v>
      </c>
      <c r="D1331" s="4">
        <v>34557.001000000004</v>
      </c>
      <c r="E1331" s="79">
        <v>0</v>
      </c>
      <c r="F1331" s="79">
        <f>SUM(BASE_DATOS[[#This Row],[Capital($)]:[Interés
Resarcitorio($)]])</f>
        <v>49154.914000000004</v>
      </c>
      <c r="G1331" s="8">
        <v>46737</v>
      </c>
      <c r="H1331" s="80" t="s">
        <v>62</v>
      </c>
      <c r="I1331" s="79" t="s">
        <v>6</v>
      </c>
      <c r="J1331" s="81">
        <v>84</v>
      </c>
      <c r="K1331" t="s">
        <v>47</v>
      </c>
    </row>
    <row r="1332" spans="2:11" x14ac:dyDescent="0.25">
      <c r="B1332" s="2">
        <v>55</v>
      </c>
      <c r="C1332" s="4">
        <v>14597.913</v>
      </c>
      <c r="D1332" s="4">
        <v>34557.001000000004</v>
      </c>
      <c r="E1332" s="79">
        <v>6553.99</v>
      </c>
      <c r="F1332" s="79">
        <f>SUM(BASE_DATOS[[#This Row],[Capital($)]:[Interés
Resarcitorio($)]])</f>
        <v>55708.904000000002</v>
      </c>
      <c r="G1332" s="8">
        <v>46747</v>
      </c>
      <c r="H1332" s="80" t="s">
        <v>62</v>
      </c>
      <c r="I1332" s="79" t="s">
        <v>7</v>
      </c>
      <c r="J1332" s="81">
        <v>84</v>
      </c>
      <c r="K1332" t="s">
        <v>47</v>
      </c>
    </row>
    <row r="1333" spans="2:11" x14ac:dyDescent="0.25">
      <c r="B1333" s="2">
        <v>56</v>
      </c>
      <c r="C1333" s="4">
        <v>15200.807000000001</v>
      </c>
      <c r="D1333" s="4">
        <v>33954.107000000004</v>
      </c>
      <c r="E1333" s="79">
        <v>0</v>
      </c>
      <c r="F1333" s="79">
        <f>SUM(BASE_DATOS[[#This Row],[Capital($)]:[Interés
Resarcitorio($)]])</f>
        <v>49154.914000000004</v>
      </c>
      <c r="G1333" s="8">
        <v>46768</v>
      </c>
      <c r="H1333" s="80" t="s">
        <v>62</v>
      </c>
      <c r="I1333" s="79" t="s">
        <v>6</v>
      </c>
      <c r="J1333" s="81">
        <v>84</v>
      </c>
      <c r="K1333" t="s">
        <v>47</v>
      </c>
    </row>
    <row r="1334" spans="2:11" x14ac:dyDescent="0.25">
      <c r="B1334" s="2">
        <v>56</v>
      </c>
      <c r="C1334" s="4">
        <v>15200.807000000001</v>
      </c>
      <c r="D1334" s="4">
        <v>33954.107000000004</v>
      </c>
      <c r="E1334" s="79">
        <v>6553.99</v>
      </c>
      <c r="F1334" s="79">
        <f>SUM(BASE_DATOS[[#This Row],[Capital($)]:[Interés
Resarcitorio($)]])</f>
        <v>55708.904000000002</v>
      </c>
      <c r="G1334" s="8">
        <v>46778</v>
      </c>
      <c r="H1334" s="80" t="s">
        <v>62</v>
      </c>
      <c r="I1334" s="79" t="s">
        <v>7</v>
      </c>
      <c r="J1334" s="81">
        <v>84</v>
      </c>
      <c r="K1334" t="s">
        <v>47</v>
      </c>
    </row>
    <row r="1335" spans="2:11" x14ac:dyDescent="0.25">
      <c r="B1335" s="2">
        <v>57</v>
      </c>
      <c r="C1335" s="4">
        <v>15828.6</v>
      </c>
      <c r="D1335" s="4">
        <v>33326.313999999998</v>
      </c>
      <c r="E1335" s="79">
        <v>0</v>
      </c>
      <c r="F1335" s="79">
        <f>SUM(BASE_DATOS[[#This Row],[Capital($)]:[Interés
Resarcitorio($)]])</f>
        <v>49154.913999999997</v>
      </c>
      <c r="G1335" s="8">
        <v>46799</v>
      </c>
      <c r="H1335" s="80" t="s">
        <v>62</v>
      </c>
      <c r="I1335" s="79" t="s">
        <v>6</v>
      </c>
      <c r="J1335" s="81">
        <v>84</v>
      </c>
      <c r="K1335" t="s">
        <v>47</v>
      </c>
    </row>
    <row r="1336" spans="2:11" x14ac:dyDescent="0.25">
      <c r="B1336" s="2">
        <v>57</v>
      </c>
      <c r="C1336" s="4">
        <v>15828.6</v>
      </c>
      <c r="D1336" s="4">
        <v>33326.313999999998</v>
      </c>
      <c r="E1336" s="79">
        <v>6553.99</v>
      </c>
      <c r="F1336" s="79">
        <f>SUM(BASE_DATOS[[#This Row],[Capital($)]:[Interés
Resarcitorio($)]])</f>
        <v>55708.903999999995</v>
      </c>
      <c r="G1336" s="8">
        <v>46809</v>
      </c>
      <c r="H1336" s="80" t="s">
        <v>62</v>
      </c>
      <c r="I1336" s="79" t="s">
        <v>7</v>
      </c>
      <c r="J1336" s="81">
        <v>84</v>
      </c>
      <c r="K1336" t="s">
        <v>47</v>
      </c>
    </row>
    <row r="1337" spans="2:11" x14ac:dyDescent="0.25">
      <c r="B1337" s="2">
        <v>58</v>
      </c>
      <c r="C1337" s="4">
        <v>16482.322</v>
      </c>
      <c r="D1337" s="4">
        <v>32672.591999999997</v>
      </c>
      <c r="E1337" s="79">
        <v>0</v>
      </c>
      <c r="F1337" s="79">
        <f>SUM(BASE_DATOS[[#This Row],[Capital($)]:[Interés
Resarcitorio($)]])</f>
        <v>49154.913999999997</v>
      </c>
      <c r="G1337" s="8">
        <v>46828</v>
      </c>
      <c r="H1337" s="80" t="s">
        <v>62</v>
      </c>
      <c r="I1337" s="79" t="s">
        <v>6</v>
      </c>
      <c r="J1337" s="81">
        <v>84</v>
      </c>
      <c r="K1337" t="s">
        <v>47</v>
      </c>
    </row>
    <row r="1338" spans="2:11" x14ac:dyDescent="0.25">
      <c r="B1338" s="2">
        <v>58</v>
      </c>
      <c r="C1338" s="4">
        <v>16482.322</v>
      </c>
      <c r="D1338" s="4">
        <v>32672.591999999997</v>
      </c>
      <c r="E1338" s="79">
        <v>6553.99</v>
      </c>
      <c r="F1338" s="79">
        <f>SUM(BASE_DATOS[[#This Row],[Capital($)]:[Interés
Resarcitorio($)]])</f>
        <v>55708.903999999995</v>
      </c>
      <c r="G1338" s="8">
        <v>46838</v>
      </c>
      <c r="H1338" s="80" t="s">
        <v>62</v>
      </c>
      <c r="I1338" s="79" t="s">
        <v>7</v>
      </c>
      <c r="J1338" s="81">
        <v>84</v>
      </c>
      <c r="K1338" t="s">
        <v>47</v>
      </c>
    </row>
    <row r="1339" spans="2:11" x14ac:dyDescent="0.25">
      <c r="B1339" s="2">
        <v>59</v>
      </c>
      <c r="C1339" s="4">
        <v>17163.041000000001</v>
      </c>
      <c r="D1339" s="4">
        <v>31991.873</v>
      </c>
      <c r="E1339" s="79">
        <v>0</v>
      </c>
      <c r="F1339" s="79">
        <f>SUM(BASE_DATOS[[#This Row],[Capital($)]:[Interés
Resarcitorio($)]])</f>
        <v>49154.914000000004</v>
      </c>
      <c r="G1339" s="8">
        <v>46859</v>
      </c>
      <c r="H1339" s="80" t="s">
        <v>62</v>
      </c>
      <c r="I1339" s="79" t="s">
        <v>6</v>
      </c>
      <c r="J1339" s="81">
        <v>84</v>
      </c>
      <c r="K1339" t="s">
        <v>47</v>
      </c>
    </row>
    <row r="1340" spans="2:11" x14ac:dyDescent="0.25">
      <c r="B1340" s="2">
        <v>59</v>
      </c>
      <c r="C1340" s="4">
        <v>17163.041000000001</v>
      </c>
      <c r="D1340" s="4">
        <v>31991.873</v>
      </c>
      <c r="E1340" s="79">
        <v>6553.99</v>
      </c>
      <c r="F1340" s="79">
        <f>SUM(BASE_DATOS[[#This Row],[Capital($)]:[Interés
Resarcitorio($)]])</f>
        <v>55708.904000000002</v>
      </c>
      <c r="G1340" s="8">
        <v>46869</v>
      </c>
      <c r="H1340" s="80" t="s">
        <v>62</v>
      </c>
      <c r="I1340" s="79" t="s">
        <v>7</v>
      </c>
      <c r="J1340" s="81">
        <v>84</v>
      </c>
      <c r="K1340" t="s">
        <v>47</v>
      </c>
    </row>
    <row r="1341" spans="2:11" x14ac:dyDescent="0.25">
      <c r="B1341" s="2">
        <v>60</v>
      </c>
      <c r="C1341" s="4">
        <v>17871.875</v>
      </c>
      <c r="D1341" s="4">
        <v>31283.039000000001</v>
      </c>
      <c r="E1341" s="79">
        <v>0</v>
      </c>
      <c r="F1341" s="79">
        <f>SUM(BASE_DATOS[[#This Row],[Capital($)]:[Interés
Resarcitorio($)]])</f>
        <v>49154.914000000004</v>
      </c>
      <c r="G1341" s="8">
        <v>46889</v>
      </c>
      <c r="H1341" s="80" t="s">
        <v>62</v>
      </c>
      <c r="I1341" s="79" t="s">
        <v>6</v>
      </c>
      <c r="J1341" s="81">
        <v>84</v>
      </c>
      <c r="K1341" t="s">
        <v>47</v>
      </c>
    </row>
    <row r="1342" spans="2:11" x14ac:dyDescent="0.25">
      <c r="B1342" s="2">
        <v>60</v>
      </c>
      <c r="C1342" s="4">
        <v>17871.875</v>
      </c>
      <c r="D1342" s="4">
        <v>31283.039000000001</v>
      </c>
      <c r="E1342" s="79">
        <v>6553.99</v>
      </c>
      <c r="F1342" s="79">
        <f>SUM(BASE_DATOS[[#This Row],[Capital($)]:[Interés
Resarcitorio($)]])</f>
        <v>55708.904000000002</v>
      </c>
      <c r="G1342" s="8">
        <v>46899</v>
      </c>
      <c r="H1342" s="80" t="s">
        <v>62</v>
      </c>
      <c r="I1342" s="79" t="s">
        <v>7</v>
      </c>
      <c r="J1342" s="81">
        <v>84</v>
      </c>
      <c r="K1342" t="s">
        <v>47</v>
      </c>
    </row>
    <row r="1343" spans="2:11" x14ac:dyDescent="0.25">
      <c r="B1343" s="2">
        <v>61</v>
      </c>
      <c r="C1343" s="4">
        <v>18609.983</v>
      </c>
      <c r="D1343" s="4">
        <v>30544.931</v>
      </c>
      <c r="E1343" s="79">
        <v>0</v>
      </c>
      <c r="F1343" s="79">
        <f>SUM(BASE_DATOS[[#This Row],[Capital($)]:[Interés
Resarcitorio($)]])</f>
        <v>49154.914000000004</v>
      </c>
      <c r="G1343" s="8">
        <v>46920</v>
      </c>
      <c r="H1343" s="80" t="s">
        <v>62</v>
      </c>
      <c r="I1343" s="79" t="s">
        <v>6</v>
      </c>
      <c r="J1343" s="81">
        <v>84</v>
      </c>
      <c r="K1343" t="s">
        <v>47</v>
      </c>
    </row>
    <row r="1344" spans="2:11" x14ac:dyDescent="0.25">
      <c r="B1344" s="2">
        <v>61</v>
      </c>
      <c r="C1344" s="4">
        <v>18609.983</v>
      </c>
      <c r="D1344" s="4">
        <v>30544.931</v>
      </c>
      <c r="E1344" s="79">
        <v>6553.99</v>
      </c>
      <c r="F1344" s="79">
        <f>SUM(BASE_DATOS[[#This Row],[Capital($)]:[Interés
Resarcitorio($)]])</f>
        <v>55708.904000000002</v>
      </c>
      <c r="G1344" s="8">
        <v>46930</v>
      </c>
      <c r="H1344" s="80" t="s">
        <v>62</v>
      </c>
      <c r="I1344" s="79" t="s">
        <v>7</v>
      </c>
      <c r="J1344" s="81">
        <v>84</v>
      </c>
      <c r="K1344" t="s">
        <v>47</v>
      </c>
    </row>
    <row r="1345" spans="2:11" x14ac:dyDescent="0.25">
      <c r="B1345" s="2">
        <v>62</v>
      </c>
      <c r="C1345" s="4">
        <v>19378.576000000001</v>
      </c>
      <c r="D1345" s="4">
        <v>29776.338</v>
      </c>
      <c r="E1345" s="79">
        <v>0</v>
      </c>
      <c r="F1345" s="79">
        <f>SUM(BASE_DATOS[[#This Row],[Capital($)]:[Interés
Resarcitorio($)]])</f>
        <v>49154.914000000004</v>
      </c>
      <c r="G1345" s="8">
        <v>46950</v>
      </c>
      <c r="H1345" s="80" t="s">
        <v>62</v>
      </c>
      <c r="I1345" s="79" t="s">
        <v>6</v>
      </c>
      <c r="J1345" s="81">
        <v>84</v>
      </c>
      <c r="K1345" t="s">
        <v>47</v>
      </c>
    </row>
    <row r="1346" spans="2:11" x14ac:dyDescent="0.25">
      <c r="B1346" s="2">
        <v>62</v>
      </c>
      <c r="C1346" s="4">
        <v>19378.576000000001</v>
      </c>
      <c r="D1346" s="4">
        <v>29776.338</v>
      </c>
      <c r="E1346" s="79">
        <v>6553.99</v>
      </c>
      <c r="F1346" s="79">
        <f>SUM(BASE_DATOS[[#This Row],[Capital($)]:[Interés
Resarcitorio($)]])</f>
        <v>55708.904000000002</v>
      </c>
      <c r="G1346" s="8">
        <v>46960</v>
      </c>
      <c r="H1346" s="80" t="s">
        <v>62</v>
      </c>
      <c r="I1346" s="79" t="s">
        <v>7</v>
      </c>
      <c r="J1346" s="81">
        <v>84</v>
      </c>
      <c r="K1346" t="s">
        <v>47</v>
      </c>
    </row>
    <row r="1347" spans="2:11" x14ac:dyDescent="0.25">
      <c r="B1347" s="2">
        <v>63</v>
      </c>
      <c r="C1347" s="4">
        <v>20178.911</v>
      </c>
      <c r="D1347" s="4">
        <v>28976.003000000004</v>
      </c>
      <c r="E1347" s="79">
        <v>0</v>
      </c>
      <c r="F1347" s="79">
        <f>SUM(BASE_DATOS[[#This Row],[Capital($)]:[Interés
Resarcitorio($)]])</f>
        <v>49154.914000000004</v>
      </c>
      <c r="G1347" s="8">
        <v>46981</v>
      </c>
      <c r="H1347" s="80" t="s">
        <v>62</v>
      </c>
      <c r="I1347" s="79" t="s">
        <v>6</v>
      </c>
      <c r="J1347" s="81">
        <v>84</v>
      </c>
      <c r="K1347" t="s">
        <v>47</v>
      </c>
    </row>
    <row r="1348" spans="2:11" x14ac:dyDescent="0.25">
      <c r="B1348" s="2">
        <v>63</v>
      </c>
      <c r="C1348" s="4">
        <v>20178.911</v>
      </c>
      <c r="D1348" s="4">
        <v>28976.003000000004</v>
      </c>
      <c r="E1348" s="79">
        <v>6553.99</v>
      </c>
      <c r="F1348" s="79">
        <f>SUM(BASE_DATOS[[#This Row],[Capital($)]:[Interés
Resarcitorio($)]])</f>
        <v>55708.904000000002</v>
      </c>
      <c r="G1348" s="8">
        <v>46991</v>
      </c>
      <c r="H1348" s="80" t="s">
        <v>62</v>
      </c>
      <c r="I1348" s="79" t="s">
        <v>7</v>
      </c>
      <c r="J1348" s="81">
        <v>84</v>
      </c>
      <c r="K1348" t="s">
        <v>47</v>
      </c>
    </row>
    <row r="1349" spans="2:11" x14ac:dyDescent="0.25">
      <c r="B1349" s="2">
        <v>64</v>
      </c>
      <c r="C1349" s="4">
        <v>21012.3</v>
      </c>
      <c r="D1349" s="4">
        <v>28142.614000000001</v>
      </c>
      <c r="E1349" s="79">
        <v>0</v>
      </c>
      <c r="F1349" s="79">
        <f>SUM(BASE_DATOS[[#This Row],[Capital($)]:[Interés
Resarcitorio($)]])</f>
        <v>49154.914000000004</v>
      </c>
      <c r="G1349" s="8">
        <v>47012</v>
      </c>
      <c r="H1349" s="80" t="s">
        <v>62</v>
      </c>
      <c r="I1349" s="79" t="s">
        <v>6</v>
      </c>
      <c r="J1349" s="81">
        <v>84</v>
      </c>
      <c r="K1349" t="s">
        <v>47</v>
      </c>
    </row>
    <row r="1350" spans="2:11" x14ac:dyDescent="0.25">
      <c r="B1350" s="2">
        <v>64</v>
      </c>
      <c r="C1350" s="4">
        <v>21012.3</v>
      </c>
      <c r="D1350" s="4">
        <v>28142.614000000001</v>
      </c>
      <c r="E1350" s="79">
        <v>6553.99</v>
      </c>
      <c r="F1350" s="79">
        <f>SUM(BASE_DATOS[[#This Row],[Capital($)]:[Interés
Resarcitorio($)]])</f>
        <v>55708.904000000002</v>
      </c>
      <c r="G1350" s="8">
        <v>47022</v>
      </c>
      <c r="H1350" s="80" t="s">
        <v>62</v>
      </c>
      <c r="I1350" s="79" t="s">
        <v>7</v>
      </c>
      <c r="J1350" s="81">
        <v>84</v>
      </c>
      <c r="K1350" t="s">
        <v>47</v>
      </c>
    </row>
    <row r="1351" spans="2:11" x14ac:dyDescent="0.25">
      <c r="B1351" s="2">
        <v>65</v>
      </c>
      <c r="C1351" s="4">
        <v>21880.108</v>
      </c>
      <c r="D1351" s="4">
        <v>27274.806</v>
      </c>
      <c r="E1351" s="79">
        <v>0</v>
      </c>
      <c r="F1351" s="79">
        <f>SUM(BASE_DATOS[[#This Row],[Capital($)]:[Interés
Resarcitorio($)]])</f>
        <v>49154.914000000004</v>
      </c>
      <c r="G1351" s="8">
        <v>47042</v>
      </c>
      <c r="H1351" s="80" t="s">
        <v>62</v>
      </c>
      <c r="I1351" s="79" t="s">
        <v>6</v>
      </c>
      <c r="J1351" s="81">
        <v>84</v>
      </c>
      <c r="K1351" t="s">
        <v>47</v>
      </c>
    </row>
    <row r="1352" spans="2:11" x14ac:dyDescent="0.25">
      <c r="B1352" s="2">
        <v>65</v>
      </c>
      <c r="C1352" s="4">
        <v>21880.108</v>
      </c>
      <c r="D1352" s="4">
        <v>27274.806</v>
      </c>
      <c r="E1352" s="79">
        <v>6553.99</v>
      </c>
      <c r="F1352" s="79">
        <f>SUM(BASE_DATOS[[#This Row],[Capital($)]:[Interés
Resarcitorio($)]])</f>
        <v>55708.904000000002</v>
      </c>
      <c r="G1352" s="8">
        <v>47052</v>
      </c>
      <c r="H1352" s="80" t="s">
        <v>62</v>
      </c>
      <c r="I1352" s="79" t="s">
        <v>7</v>
      </c>
      <c r="J1352" s="81">
        <v>84</v>
      </c>
      <c r="K1352" t="s">
        <v>47</v>
      </c>
    </row>
    <row r="1353" spans="2:11" x14ac:dyDescent="0.25">
      <c r="B1353" s="2">
        <v>66</v>
      </c>
      <c r="C1353" s="4">
        <v>22783.756000000001</v>
      </c>
      <c r="D1353" s="4">
        <v>26371.158000000003</v>
      </c>
      <c r="E1353" s="79">
        <v>0</v>
      </c>
      <c r="F1353" s="79">
        <f>SUM(BASE_DATOS[[#This Row],[Capital($)]:[Interés
Resarcitorio($)]])</f>
        <v>49154.914000000004</v>
      </c>
      <c r="G1353" s="8">
        <v>47073</v>
      </c>
      <c r="H1353" s="80" t="s">
        <v>62</v>
      </c>
      <c r="I1353" s="79" t="s">
        <v>6</v>
      </c>
      <c r="J1353" s="81">
        <v>84</v>
      </c>
      <c r="K1353" t="s">
        <v>47</v>
      </c>
    </row>
    <row r="1354" spans="2:11" x14ac:dyDescent="0.25">
      <c r="B1354" s="2">
        <v>66</v>
      </c>
      <c r="C1354" s="4">
        <v>22783.756000000001</v>
      </c>
      <c r="D1354" s="4">
        <v>26371.158000000003</v>
      </c>
      <c r="E1354" s="79">
        <v>6553.99</v>
      </c>
      <c r="F1354" s="79">
        <f>SUM(BASE_DATOS[[#This Row],[Capital($)]:[Interés
Resarcitorio($)]])</f>
        <v>55708.904000000002</v>
      </c>
      <c r="G1354" s="8">
        <v>47083</v>
      </c>
      <c r="H1354" s="80" t="s">
        <v>62</v>
      </c>
      <c r="I1354" s="79" t="s">
        <v>7</v>
      </c>
      <c r="J1354" s="81">
        <v>84</v>
      </c>
      <c r="K1354" t="s">
        <v>47</v>
      </c>
    </row>
    <row r="1355" spans="2:11" x14ac:dyDescent="0.25">
      <c r="B1355" s="2">
        <v>67</v>
      </c>
      <c r="C1355" s="4">
        <v>23724.726000000002</v>
      </c>
      <c r="D1355" s="4">
        <v>25430.188000000002</v>
      </c>
      <c r="E1355" s="79">
        <v>0</v>
      </c>
      <c r="F1355" s="79">
        <f>SUM(BASE_DATOS[[#This Row],[Capital($)]:[Interés
Resarcitorio($)]])</f>
        <v>49154.914000000004</v>
      </c>
      <c r="G1355" s="8">
        <v>47103</v>
      </c>
      <c r="H1355" s="80" t="s">
        <v>62</v>
      </c>
      <c r="I1355" s="79" t="s">
        <v>6</v>
      </c>
      <c r="J1355" s="81">
        <v>84</v>
      </c>
      <c r="K1355" t="s">
        <v>47</v>
      </c>
    </row>
    <row r="1356" spans="2:11" x14ac:dyDescent="0.25">
      <c r="B1356" s="2">
        <v>67</v>
      </c>
      <c r="C1356" s="4">
        <v>23724.726000000002</v>
      </c>
      <c r="D1356" s="4">
        <v>25430.188000000002</v>
      </c>
      <c r="E1356" s="79">
        <v>6553.99</v>
      </c>
      <c r="F1356" s="79">
        <f>SUM(BASE_DATOS[[#This Row],[Capital($)]:[Interés
Resarcitorio($)]])</f>
        <v>55708.904000000002</v>
      </c>
      <c r="G1356" s="8">
        <v>47113</v>
      </c>
      <c r="H1356" s="80" t="s">
        <v>62</v>
      </c>
      <c r="I1356" s="79" t="s">
        <v>7</v>
      </c>
      <c r="J1356" s="81">
        <v>84</v>
      </c>
      <c r="K1356" t="s">
        <v>47</v>
      </c>
    </row>
    <row r="1357" spans="2:11" x14ac:dyDescent="0.25">
      <c r="B1357" s="2">
        <v>68</v>
      </c>
      <c r="C1357" s="4">
        <v>24704.557000000001</v>
      </c>
      <c r="D1357" s="4">
        <v>24450.357</v>
      </c>
      <c r="E1357" s="79">
        <v>0</v>
      </c>
      <c r="F1357" s="79">
        <f>SUM(BASE_DATOS[[#This Row],[Capital($)]:[Interés
Resarcitorio($)]])</f>
        <v>49154.914000000004</v>
      </c>
      <c r="G1357" s="8">
        <v>47134</v>
      </c>
      <c r="H1357" s="80" t="s">
        <v>62</v>
      </c>
      <c r="I1357" s="79" t="s">
        <v>6</v>
      </c>
      <c r="J1357" s="81">
        <v>84</v>
      </c>
      <c r="K1357" t="s">
        <v>47</v>
      </c>
    </row>
    <row r="1358" spans="2:11" x14ac:dyDescent="0.25">
      <c r="B1358" s="2">
        <v>68</v>
      </c>
      <c r="C1358" s="4">
        <v>24704.557000000001</v>
      </c>
      <c r="D1358" s="4">
        <v>24450.357</v>
      </c>
      <c r="E1358" s="79">
        <v>6553.99</v>
      </c>
      <c r="F1358" s="79">
        <f>SUM(BASE_DATOS[[#This Row],[Capital($)]:[Interés
Resarcitorio($)]])</f>
        <v>55708.904000000002</v>
      </c>
      <c r="G1358" s="8">
        <v>47144</v>
      </c>
      <c r="H1358" s="80" t="s">
        <v>62</v>
      </c>
      <c r="I1358" s="79" t="s">
        <v>7</v>
      </c>
      <c r="J1358" s="81">
        <v>84</v>
      </c>
      <c r="K1358" t="s">
        <v>47</v>
      </c>
    </row>
    <row r="1359" spans="2:11" x14ac:dyDescent="0.25">
      <c r="B1359" s="2">
        <v>69</v>
      </c>
      <c r="C1359" s="4">
        <v>25724.855</v>
      </c>
      <c r="D1359" s="4">
        <v>23430.059000000001</v>
      </c>
      <c r="E1359" s="79">
        <v>0</v>
      </c>
      <c r="F1359" s="79">
        <f>SUM(BASE_DATOS[[#This Row],[Capital($)]:[Interés
Resarcitorio($)]])</f>
        <v>49154.914000000004</v>
      </c>
      <c r="G1359" s="8">
        <v>47165</v>
      </c>
      <c r="H1359" s="80" t="s">
        <v>62</v>
      </c>
      <c r="I1359" s="79" t="s">
        <v>6</v>
      </c>
      <c r="J1359" s="81">
        <v>84</v>
      </c>
      <c r="K1359" t="s">
        <v>47</v>
      </c>
    </row>
    <row r="1360" spans="2:11" x14ac:dyDescent="0.25">
      <c r="B1360" s="2">
        <v>69</v>
      </c>
      <c r="C1360" s="4">
        <v>25724.855</v>
      </c>
      <c r="D1360" s="4">
        <v>23430.059000000001</v>
      </c>
      <c r="E1360" s="79">
        <v>6553.99</v>
      </c>
      <c r="F1360" s="79">
        <f>SUM(BASE_DATOS[[#This Row],[Capital($)]:[Interés
Resarcitorio($)]])</f>
        <v>55708.904000000002</v>
      </c>
      <c r="G1360" s="8">
        <v>47175</v>
      </c>
      <c r="H1360" s="80" t="s">
        <v>62</v>
      </c>
      <c r="I1360" s="79" t="s">
        <v>7</v>
      </c>
      <c r="J1360" s="81">
        <v>84</v>
      </c>
      <c r="K1360" t="s">
        <v>47</v>
      </c>
    </row>
    <row r="1361" spans="2:11" x14ac:dyDescent="0.25">
      <c r="B1361" s="2">
        <v>70</v>
      </c>
      <c r="C1361" s="4">
        <v>26787.290999999997</v>
      </c>
      <c r="D1361" s="4">
        <v>22367.623</v>
      </c>
      <c r="E1361" s="79">
        <v>0</v>
      </c>
      <c r="F1361" s="79">
        <f>SUM(BASE_DATOS[[#This Row],[Capital($)]:[Interés
Resarcitorio($)]])</f>
        <v>49154.913999999997</v>
      </c>
      <c r="G1361" s="8">
        <v>47193</v>
      </c>
      <c r="H1361" s="80" t="s">
        <v>62</v>
      </c>
      <c r="I1361" s="79" t="s">
        <v>6</v>
      </c>
      <c r="J1361" s="81">
        <v>84</v>
      </c>
      <c r="K1361" t="s">
        <v>47</v>
      </c>
    </row>
    <row r="1362" spans="2:11" x14ac:dyDescent="0.25">
      <c r="B1362" s="2">
        <v>70</v>
      </c>
      <c r="C1362" s="4">
        <v>26787.290999999997</v>
      </c>
      <c r="D1362" s="4">
        <v>22367.623</v>
      </c>
      <c r="E1362" s="79">
        <v>6553.99</v>
      </c>
      <c r="F1362" s="79">
        <f>SUM(BASE_DATOS[[#This Row],[Capital($)]:[Interés
Resarcitorio($)]])</f>
        <v>55708.903999999995</v>
      </c>
      <c r="G1362" s="8">
        <v>47203</v>
      </c>
      <c r="H1362" s="80" t="s">
        <v>62</v>
      </c>
      <c r="I1362" s="79" t="s">
        <v>7</v>
      </c>
      <c r="J1362" s="81">
        <v>84</v>
      </c>
      <c r="K1362" t="s">
        <v>47</v>
      </c>
    </row>
    <row r="1363" spans="2:11" x14ac:dyDescent="0.25">
      <c r="B1363" s="2">
        <v>71</v>
      </c>
      <c r="C1363" s="4">
        <v>27893.607</v>
      </c>
      <c r="D1363" s="4">
        <v>21261.307000000001</v>
      </c>
      <c r="E1363" s="79">
        <v>0</v>
      </c>
      <c r="F1363" s="79">
        <f>SUM(BASE_DATOS[[#This Row],[Capital($)]:[Interés
Resarcitorio($)]])</f>
        <v>49154.914000000004</v>
      </c>
      <c r="G1363" s="8">
        <v>47224</v>
      </c>
      <c r="H1363" s="80" t="s">
        <v>62</v>
      </c>
      <c r="I1363" s="79" t="s">
        <v>6</v>
      </c>
      <c r="J1363" s="81">
        <v>84</v>
      </c>
      <c r="K1363" t="s">
        <v>47</v>
      </c>
    </row>
    <row r="1364" spans="2:11" x14ac:dyDescent="0.25">
      <c r="B1364" s="2">
        <v>71</v>
      </c>
      <c r="C1364" s="4">
        <v>27893.607</v>
      </c>
      <c r="D1364" s="4">
        <v>21261.307000000001</v>
      </c>
      <c r="E1364" s="79">
        <v>6553.99</v>
      </c>
      <c r="F1364" s="79">
        <f>SUM(BASE_DATOS[[#This Row],[Capital($)]:[Interés
Resarcitorio($)]])</f>
        <v>55708.904000000002</v>
      </c>
      <c r="G1364" s="8">
        <v>47234</v>
      </c>
      <c r="H1364" s="80" t="s">
        <v>62</v>
      </c>
      <c r="I1364" s="79" t="s">
        <v>7</v>
      </c>
      <c r="J1364" s="81">
        <v>84</v>
      </c>
      <c r="K1364" t="s">
        <v>47</v>
      </c>
    </row>
    <row r="1365" spans="2:11" x14ac:dyDescent="0.25">
      <c r="B1365" s="2">
        <v>72</v>
      </c>
      <c r="C1365" s="4">
        <v>29045.613000000001</v>
      </c>
      <c r="D1365" s="4">
        <v>20109.300999999999</v>
      </c>
      <c r="E1365" s="79">
        <v>0</v>
      </c>
      <c r="F1365" s="79">
        <f>SUM(BASE_DATOS[[#This Row],[Capital($)]:[Interés
Resarcitorio($)]])</f>
        <v>49154.914000000004</v>
      </c>
      <c r="G1365" s="8">
        <v>47254</v>
      </c>
      <c r="H1365" s="80" t="s">
        <v>62</v>
      </c>
      <c r="I1365" s="79" t="s">
        <v>6</v>
      </c>
      <c r="J1365" s="81">
        <v>84</v>
      </c>
      <c r="K1365" t="s">
        <v>47</v>
      </c>
    </row>
    <row r="1366" spans="2:11" x14ac:dyDescent="0.25">
      <c r="B1366" s="2">
        <v>72</v>
      </c>
      <c r="C1366" s="4">
        <v>29045.613000000001</v>
      </c>
      <c r="D1366" s="4">
        <v>20109.300999999999</v>
      </c>
      <c r="E1366" s="79">
        <v>6553.99</v>
      </c>
      <c r="F1366" s="79">
        <f>SUM(BASE_DATOS[[#This Row],[Capital($)]:[Interés
Resarcitorio($)]])</f>
        <v>55708.904000000002</v>
      </c>
      <c r="G1366" s="8">
        <v>47264</v>
      </c>
      <c r="H1366" s="80" t="s">
        <v>62</v>
      </c>
      <c r="I1366" s="79" t="s">
        <v>7</v>
      </c>
      <c r="J1366" s="81">
        <v>84</v>
      </c>
      <c r="K1366" t="s">
        <v>47</v>
      </c>
    </row>
    <row r="1367" spans="2:11" x14ac:dyDescent="0.25">
      <c r="B1367" s="2">
        <v>73</v>
      </c>
      <c r="C1367" s="4">
        <v>30245.196000000004</v>
      </c>
      <c r="D1367" s="4">
        <v>18909.718000000001</v>
      </c>
      <c r="E1367" s="79">
        <v>0</v>
      </c>
      <c r="F1367" s="79">
        <f>SUM(BASE_DATOS[[#This Row],[Capital($)]:[Interés
Resarcitorio($)]])</f>
        <v>49154.914000000004</v>
      </c>
      <c r="G1367" s="8">
        <v>47285</v>
      </c>
      <c r="H1367" s="80" t="s">
        <v>62</v>
      </c>
      <c r="I1367" s="79" t="s">
        <v>6</v>
      </c>
      <c r="J1367" s="81">
        <v>84</v>
      </c>
      <c r="K1367" t="s">
        <v>47</v>
      </c>
    </row>
    <row r="1368" spans="2:11" x14ac:dyDescent="0.25">
      <c r="B1368" s="2">
        <v>73</v>
      </c>
      <c r="C1368" s="4">
        <v>30245.196000000004</v>
      </c>
      <c r="D1368" s="4">
        <v>18909.718000000001</v>
      </c>
      <c r="E1368" s="79">
        <v>6553.99</v>
      </c>
      <c r="F1368" s="79">
        <f>SUM(BASE_DATOS[[#This Row],[Capital($)]:[Interés
Resarcitorio($)]])</f>
        <v>55708.904000000002</v>
      </c>
      <c r="G1368" s="8">
        <v>47295</v>
      </c>
      <c r="H1368" s="80" t="s">
        <v>62</v>
      </c>
      <c r="I1368" s="79" t="s">
        <v>7</v>
      </c>
      <c r="J1368" s="81">
        <v>84</v>
      </c>
      <c r="K1368" t="s">
        <v>47</v>
      </c>
    </row>
    <row r="1369" spans="2:11" x14ac:dyDescent="0.25">
      <c r="B1369" s="2">
        <v>74</v>
      </c>
      <c r="C1369" s="4">
        <v>31494.322999999997</v>
      </c>
      <c r="D1369" s="4">
        <v>17660.591</v>
      </c>
      <c r="E1369" s="79">
        <v>0</v>
      </c>
      <c r="F1369" s="79">
        <f>SUM(BASE_DATOS[[#This Row],[Capital($)]:[Interés
Resarcitorio($)]])</f>
        <v>49154.913999999997</v>
      </c>
      <c r="G1369" s="8">
        <v>47315</v>
      </c>
      <c r="H1369" s="80" t="s">
        <v>62</v>
      </c>
      <c r="I1369" s="79" t="s">
        <v>6</v>
      </c>
      <c r="J1369" s="81">
        <v>84</v>
      </c>
      <c r="K1369" t="s">
        <v>47</v>
      </c>
    </row>
    <row r="1370" spans="2:11" x14ac:dyDescent="0.25">
      <c r="B1370" s="2">
        <v>74</v>
      </c>
      <c r="C1370" s="4">
        <v>31494.322999999997</v>
      </c>
      <c r="D1370" s="4">
        <v>17660.591</v>
      </c>
      <c r="E1370" s="79">
        <v>6553.99</v>
      </c>
      <c r="F1370" s="79">
        <f>SUM(BASE_DATOS[[#This Row],[Capital($)]:[Interés
Resarcitorio($)]])</f>
        <v>55708.903999999995</v>
      </c>
      <c r="G1370" s="8">
        <v>47325</v>
      </c>
      <c r="H1370" s="80" t="s">
        <v>62</v>
      </c>
      <c r="I1370" s="79" t="s">
        <v>7</v>
      </c>
      <c r="J1370" s="81">
        <v>84</v>
      </c>
      <c r="K1370" t="s">
        <v>47</v>
      </c>
    </row>
    <row r="1371" spans="2:11" x14ac:dyDescent="0.25">
      <c r="B1371" s="2">
        <v>75</v>
      </c>
      <c r="C1371" s="4">
        <v>32795.038</v>
      </c>
      <c r="D1371" s="4">
        <v>16359.876</v>
      </c>
      <c r="E1371" s="79">
        <v>0</v>
      </c>
      <c r="F1371" s="79">
        <f>SUM(BASE_DATOS[[#This Row],[Capital($)]:[Interés
Resarcitorio($)]])</f>
        <v>49154.914000000004</v>
      </c>
      <c r="G1371" s="8">
        <v>47346</v>
      </c>
      <c r="H1371" s="80" t="s">
        <v>62</v>
      </c>
      <c r="I1371" s="79" t="s">
        <v>6</v>
      </c>
      <c r="J1371" s="81">
        <v>84</v>
      </c>
      <c r="K1371" t="s">
        <v>47</v>
      </c>
    </row>
    <row r="1372" spans="2:11" x14ac:dyDescent="0.25">
      <c r="B1372" s="2">
        <v>75</v>
      </c>
      <c r="C1372" s="4">
        <v>32795.038</v>
      </c>
      <c r="D1372" s="4">
        <v>16359.876</v>
      </c>
      <c r="E1372" s="79">
        <v>6553.99</v>
      </c>
      <c r="F1372" s="79">
        <f>SUM(BASE_DATOS[[#This Row],[Capital($)]:[Interés
Resarcitorio($)]])</f>
        <v>55708.904000000002</v>
      </c>
      <c r="G1372" s="8">
        <v>47356</v>
      </c>
      <c r="H1372" s="80" t="s">
        <v>62</v>
      </c>
      <c r="I1372" s="79" t="s">
        <v>7</v>
      </c>
      <c r="J1372" s="81">
        <v>84</v>
      </c>
      <c r="K1372" t="s">
        <v>47</v>
      </c>
    </row>
    <row r="1373" spans="2:11" x14ac:dyDescent="0.25">
      <c r="B1373" s="2">
        <v>76</v>
      </c>
      <c r="C1373" s="4">
        <v>34149.474000000002</v>
      </c>
      <c r="D1373" s="4">
        <v>15005.439999999999</v>
      </c>
      <c r="E1373" s="79">
        <v>0</v>
      </c>
      <c r="F1373" s="79">
        <f>SUM(BASE_DATOS[[#This Row],[Capital($)]:[Interés
Resarcitorio($)]])</f>
        <v>49154.914000000004</v>
      </c>
      <c r="G1373" s="8">
        <v>47377</v>
      </c>
      <c r="H1373" s="80" t="s">
        <v>62</v>
      </c>
      <c r="I1373" s="79" t="s">
        <v>6</v>
      </c>
      <c r="J1373" s="81">
        <v>84</v>
      </c>
      <c r="K1373" t="s">
        <v>47</v>
      </c>
    </row>
    <row r="1374" spans="2:11" x14ac:dyDescent="0.25">
      <c r="B1374" s="2">
        <v>76</v>
      </c>
      <c r="C1374" s="4">
        <v>34149.474000000002</v>
      </c>
      <c r="D1374" s="4">
        <v>15005.439999999999</v>
      </c>
      <c r="E1374" s="79">
        <v>6553.99</v>
      </c>
      <c r="F1374" s="79">
        <f>SUM(BASE_DATOS[[#This Row],[Capital($)]:[Interés
Resarcitorio($)]])</f>
        <v>55708.904000000002</v>
      </c>
      <c r="G1374" s="8">
        <v>47387</v>
      </c>
      <c r="H1374" s="80" t="s">
        <v>62</v>
      </c>
      <c r="I1374" s="79" t="s">
        <v>7</v>
      </c>
      <c r="J1374" s="81">
        <v>84</v>
      </c>
      <c r="K1374" t="s">
        <v>47</v>
      </c>
    </row>
    <row r="1375" spans="2:11" x14ac:dyDescent="0.25">
      <c r="B1375" s="2">
        <v>77</v>
      </c>
      <c r="C1375" s="4">
        <v>35559.846999999994</v>
      </c>
      <c r="D1375" s="4">
        <v>13595.067000000001</v>
      </c>
      <c r="E1375" s="79">
        <v>0</v>
      </c>
      <c r="F1375" s="79">
        <f>SUM(BASE_DATOS[[#This Row],[Capital($)]:[Interés
Resarcitorio($)]])</f>
        <v>49154.913999999997</v>
      </c>
      <c r="G1375" s="8">
        <v>47407</v>
      </c>
      <c r="H1375" s="80" t="s">
        <v>62</v>
      </c>
      <c r="I1375" s="79" t="s">
        <v>6</v>
      </c>
      <c r="J1375" s="81">
        <v>84</v>
      </c>
      <c r="K1375" t="s">
        <v>47</v>
      </c>
    </row>
    <row r="1376" spans="2:11" x14ac:dyDescent="0.25">
      <c r="B1376" s="2">
        <v>77</v>
      </c>
      <c r="C1376" s="4">
        <v>35559.846999999994</v>
      </c>
      <c r="D1376" s="4">
        <v>13595.067000000001</v>
      </c>
      <c r="E1376" s="79">
        <v>6553.99</v>
      </c>
      <c r="F1376" s="79">
        <f>SUM(BASE_DATOS[[#This Row],[Capital($)]:[Interés
Resarcitorio($)]])</f>
        <v>55708.903999999995</v>
      </c>
      <c r="G1376" s="8">
        <v>47417</v>
      </c>
      <c r="H1376" s="80" t="s">
        <v>62</v>
      </c>
      <c r="I1376" s="79" t="s">
        <v>7</v>
      </c>
      <c r="J1376" s="81">
        <v>84</v>
      </c>
      <c r="K1376" t="s">
        <v>47</v>
      </c>
    </row>
    <row r="1377" spans="2:11" x14ac:dyDescent="0.25">
      <c r="B1377" s="2">
        <v>78</v>
      </c>
      <c r="C1377" s="4">
        <v>37028.468000000001</v>
      </c>
      <c r="D1377" s="4">
        <v>12126.446</v>
      </c>
      <c r="E1377" s="79">
        <v>0</v>
      </c>
      <c r="F1377" s="79">
        <f>SUM(BASE_DATOS[[#This Row],[Capital($)]:[Interés
Resarcitorio($)]])</f>
        <v>49154.914000000004</v>
      </c>
      <c r="G1377" s="8">
        <v>47438</v>
      </c>
      <c r="H1377" s="80" t="s">
        <v>62</v>
      </c>
      <c r="I1377" s="79" t="s">
        <v>6</v>
      </c>
      <c r="J1377" s="81">
        <v>84</v>
      </c>
      <c r="K1377" t="s">
        <v>47</v>
      </c>
    </row>
    <row r="1378" spans="2:11" x14ac:dyDescent="0.25">
      <c r="B1378" s="2">
        <v>78</v>
      </c>
      <c r="C1378" s="4">
        <v>37028.468000000001</v>
      </c>
      <c r="D1378" s="4">
        <v>12126.446</v>
      </c>
      <c r="E1378" s="79">
        <v>6553.99</v>
      </c>
      <c r="F1378" s="79">
        <f>SUM(BASE_DATOS[[#This Row],[Capital($)]:[Interés
Resarcitorio($)]])</f>
        <v>55708.904000000002</v>
      </c>
      <c r="G1378" s="8">
        <v>47448</v>
      </c>
      <c r="H1378" s="80" t="s">
        <v>62</v>
      </c>
      <c r="I1378" s="79" t="s">
        <v>7</v>
      </c>
      <c r="J1378" s="81">
        <v>84</v>
      </c>
      <c r="K1378" t="s">
        <v>47</v>
      </c>
    </row>
    <row r="1379" spans="2:11" x14ac:dyDescent="0.25">
      <c r="B1379" s="2">
        <v>79</v>
      </c>
      <c r="C1379" s="4">
        <v>38557.743999999999</v>
      </c>
      <c r="D1379" s="4">
        <v>10597.17</v>
      </c>
      <c r="E1379" s="79">
        <v>0</v>
      </c>
      <c r="F1379" s="79">
        <f>SUM(BASE_DATOS[[#This Row],[Capital($)]:[Interés
Resarcitorio($)]])</f>
        <v>49154.913999999997</v>
      </c>
      <c r="G1379" s="8">
        <v>47468</v>
      </c>
      <c r="H1379" s="80" t="s">
        <v>62</v>
      </c>
      <c r="I1379" s="79" t="s">
        <v>6</v>
      </c>
      <c r="J1379" s="81">
        <v>84</v>
      </c>
      <c r="K1379" t="s">
        <v>47</v>
      </c>
    </row>
    <row r="1380" spans="2:11" x14ac:dyDescent="0.25">
      <c r="B1380" s="2">
        <v>79</v>
      </c>
      <c r="C1380" s="4">
        <v>38557.743999999999</v>
      </c>
      <c r="D1380" s="4">
        <v>10597.17</v>
      </c>
      <c r="E1380" s="79">
        <v>6553.99</v>
      </c>
      <c r="F1380" s="79">
        <f>SUM(BASE_DATOS[[#This Row],[Capital($)]:[Interés
Resarcitorio($)]])</f>
        <v>55708.903999999995</v>
      </c>
      <c r="G1380" s="8">
        <v>47478</v>
      </c>
      <c r="H1380" s="80" t="s">
        <v>62</v>
      </c>
      <c r="I1380" s="79" t="s">
        <v>7</v>
      </c>
      <c r="J1380" s="81">
        <v>84</v>
      </c>
      <c r="K1380" t="s">
        <v>47</v>
      </c>
    </row>
    <row r="1381" spans="2:11" x14ac:dyDescent="0.25">
      <c r="B1381" s="2">
        <v>80</v>
      </c>
      <c r="C1381" s="4">
        <v>40150.178999999996</v>
      </c>
      <c r="D1381" s="4">
        <v>9004.7350000000006</v>
      </c>
      <c r="E1381" s="79">
        <v>0</v>
      </c>
      <c r="F1381" s="79">
        <f>SUM(BASE_DATOS[[#This Row],[Capital($)]:[Interés
Resarcitorio($)]])</f>
        <v>49154.913999999997</v>
      </c>
      <c r="G1381" s="8">
        <v>47499</v>
      </c>
      <c r="H1381" s="80" t="s">
        <v>62</v>
      </c>
      <c r="I1381" s="79" t="s">
        <v>6</v>
      </c>
      <c r="J1381" s="81">
        <v>84</v>
      </c>
      <c r="K1381" t="s">
        <v>47</v>
      </c>
    </row>
    <row r="1382" spans="2:11" x14ac:dyDescent="0.25">
      <c r="B1382" s="2">
        <v>80</v>
      </c>
      <c r="C1382" s="4">
        <v>40150.178999999996</v>
      </c>
      <c r="D1382" s="4">
        <v>9004.7350000000006</v>
      </c>
      <c r="E1382" s="79">
        <v>6553.99</v>
      </c>
      <c r="F1382" s="79">
        <f>SUM(BASE_DATOS[[#This Row],[Capital($)]:[Interés
Resarcitorio($)]])</f>
        <v>55708.903999999995</v>
      </c>
      <c r="G1382" s="8">
        <v>47509</v>
      </c>
      <c r="H1382" s="80" t="s">
        <v>62</v>
      </c>
      <c r="I1382" s="79" t="s">
        <v>7</v>
      </c>
      <c r="J1382" s="81">
        <v>84</v>
      </c>
      <c r="K1382" t="s">
        <v>47</v>
      </c>
    </row>
    <row r="1383" spans="2:11" x14ac:dyDescent="0.25">
      <c r="B1383" s="2">
        <v>81</v>
      </c>
      <c r="C1383" s="4">
        <v>41808.381000000001</v>
      </c>
      <c r="D1383" s="4">
        <v>7346.5330000000004</v>
      </c>
      <c r="E1383" s="79">
        <v>0</v>
      </c>
      <c r="F1383" s="79">
        <f>SUM(BASE_DATOS[[#This Row],[Capital($)]:[Interés
Resarcitorio($)]])</f>
        <v>49154.914000000004</v>
      </c>
      <c r="G1383" s="8">
        <v>47530</v>
      </c>
      <c r="H1383" s="80" t="s">
        <v>62</v>
      </c>
      <c r="I1383" s="79" t="s">
        <v>6</v>
      </c>
      <c r="J1383" s="81">
        <v>84</v>
      </c>
      <c r="K1383" t="s">
        <v>47</v>
      </c>
    </row>
    <row r="1384" spans="2:11" x14ac:dyDescent="0.25">
      <c r="B1384" s="2">
        <v>81</v>
      </c>
      <c r="C1384" s="4">
        <v>41808.381000000001</v>
      </c>
      <c r="D1384" s="4">
        <v>7346.5330000000004</v>
      </c>
      <c r="E1384" s="79">
        <v>6553.99</v>
      </c>
      <c r="F1384" s="79">
        <f>SUM(BASE_DATOS[[#This Row],[Capital($)]:[Interés
Resarcitorio($)]])</f>
        <v>55708.904000000002</v>
      </c>
      <c r="G1384" s="8">
        <v>47540</v>
      </c>
      <c r="H1384" s="80" t="s">
        <v>62</v>
      </c>
      <c r="I1384" s="79" t="s">
        <v>7</v>
      </c>
      <c r="J1384" s="81">
        <v>84</v>
      </c>
      <c r="K1384" t="s">
        <v>47</v>
      </c>
    </row>
    <row r="1385" spans="2:11" x14ac:dyDescent="0.25">
      <c r="B1385" s="2">
        <v>82</v>
      </c>
      <c r="C1385" s="4">
        <v>43535.067999999999</v>
      </c>
      <c r="D1385" s="4">
        <v>5619.8459999999995</v>
      </c>
      <c r="E1385" s="79">
        <v>0</v>
      </c>
      <c r="F1385" s="79">
        <f>SUM(BASE_DATOS[[#This Row],[Capital($)]:[Interés
Resarcitorio($)]])</f>
        <v>49154.913999999997</v>
      </c>
      <c r="G1385" s="8">
        <v>47558</v>
      </c>
      <c r="H1385" s="80" t="s">
        <v>62</v>
      </c>
      <c r="I1385" s="79" t="s">
        <v>6</v>
      </c>
      <c r="J1385" s="81">
        <v>84</v>
      </c>
      <c r="K1385" t="s">
        <v>47</v>
      </c>
    </row>
    <row r="1386" spans="2:11" x14ac:dyDescent="0.25">
      <c r="B1386" s="2">
        <v>82</v>
      </c>
      <c r="C1386" s="4">
        <v>43535.067999999999</v>
      </c>
      <c r="D1386" s="4">
        <v>5619.8459999999995</v>
      </c>
      <c r="E1386" s="79">
        <v>6553.99</v>
      </c>
      <c r="F1386" s="79">
        <f>SUM(BASE_DATOS[[#This Row],[Capital($)]:[Interés
Resarcitorio($)]])</f>
        <v>55708.903999999995</v>
      </c>
      <c r="G1386" s="8">
        <v>47568</v>
      </c>
      <c r="H1386" s="80" t="s">
        <v>62</v>
      </c>
      <c r="I1386" s="79" t="s">
        <v>7</v>
      </c>
      <c r="J1386" s="81">
        <v>84</v>
      </c>
      <c r="K1386" t="s">
        <v>47</v>
      </c>
    </row>
    <row r="1387" spans="2:11" x14ac:dyDescent="0.25">
      <c r="B1387" s="2">
        <v>83</v>
      </c>
      <c r="C1387" s="4">
        <v>45333.065999999999</v>
      </c>
      <c r="D1387" s="4">
        <v>3821.8480000000004</v>
      </c>
      <c r="E1387" s="79">
        <v>0</v>
      </c>
      <c r="F1387" s="79">
        <f>SUM(BASE_DATOS[[#This Row],[Capital($)]:[Interés
Resarcitorio($)]])</f>
        <v>49154.913999999997</v>
      </c>
      <c r="G1387" s="8">
        <v>47589</v>
      </c>
      <c r="H1387" s="80" t="s">
        <v>62</v>
      </c>
      <c r="I1387" s="79" t="s">
        <v>6</v>
      </c>
      <c r="J1387" s="81">
        <v>84</v>
      </c>
      <c r="K1387" t="s">
        <v>47</v>
      </c>
    </row>
    <row r="1388" spans="2:11" x14ac:dyDescent="0.25">
      <c r="B1388" s="2">
        <v>83</v>
      </c>
      <c r="C1388" s="4">
        <v>45333.065999999999</v>
      </c>
      <c r="D1388" s="4">
        <v>3821.8480000000004</v>
      </c>
      <c r="E1388" s="79">
        <v>6553.99</v>
      </c>
      <c r="F1388" s="79">
        <f>SUM(BASE_DATOS[[#This Row],[Capital($)]:[Interés
Resarcitorio($)]])</f>
        <v>55708.903999999995</v>
      </c>
      <c r="G1388" s="8">
        <v>47599</v>
      </c>
      <c r="H1388" s="80" t="s">
        <v>62</v>
      </c>
      <c r="I1388" s="79" t="s">
        <v>7</v>
      </c>
      <c r="J1388" s="81">
        <v>84</v>
      </c>
      <c r="K1388" t="s">
        <v>47</v>
      </c>
    </row>
    <row r="1389" spans="2:11" x14ac:dyDescent="0.25">
      <c r="B1389" s="2">
        <v>84</v>
      </c>
      <c r="C1389" s="4">
        <v>47205.631000000001</v>
      </c>
      <c r="D1389" s="4">
        <v>1949.2830000000001</v>
      </c>
      <c r="E1389" s="79">
        <v>0</v>
      </c>
      <c r="F1389" s="79">
        <f>SUM(BASE_DATOS[[#This Row],[Capital($)]:[Interés
Resarcitorio($)]])</f>
        <v>49154.914000000004</v>
      </c>
      <c r="G1389" s="8">
        <v>47619</v>
      </c>
      <c r="H1389" s="80" t="s">
        <v>62</v>
      </c>
      <c r="I1389" s="79" t="s">
        <v>6</v>
      </c>
      <c r="J1389" s="81">
        <v>84</v>
      </c>
      <c r="K1389" t="s">
        <v>47</v>
      </c>
    </row>
    <row r="1390" spans="2:11" x14ac:dyDescent="0.25">
      <c r="B1390" s="2">
        <v>84</v>
      </c>
      <c r="C1390" s="4">
        <v>47205.631000000001</v>
      </c>
      <c r="D1390" s="4">
        <v>1949.2830000000001</v>
      </c>
      <c r="E1390" s="79">
        <v>6553.99</v>
      </c>
      <c r="F1390" s="79">
        <f>SUM(BASE_DATOS[[#This Row],[Capital($)]:[Interés
Resarcitorio($)]])</f>
        <v>55708.904000000002</v>
      </c>
      <c r="G1390" s="8">
        <v>47629</v>
      </c>
      <c r="H1390" s="80" t="s">
        <v>62</v>
      </c>
      <c r="I1390" s="79" t="s">
        <v>7</v>
      </c>
      <c r="J1390" s="81">
        <v>84</v>
      </c>
      <c r="K1390" t="s">
        <v>47</v>
      </c>
    </row>
    <row r="1391" spans="2:11" x14ac:dyDescent="0.25">
      <c r="B1391" s="2">
        <v>1</v>
      </c>
      <c r="C1391" s="4">
        <v>31169.074000000001</v>
      </c>
      <c r="D1391" s="4">
        <v>95512.018000000011</v>
      </c>
      <c r="E1391" s="79">
        <v>0</v>
      </c>
      <c r="F1391" s="79">
        <f>SUM(BASE_DATOS[[#This Row],[Capital($)]:[Interés
Resarcitorio($)]])</f>
        <v>126681.092</v>
      </c>
      <c r="G1391" s="8">
        <v>45642</v>
      </c>
      <c r="H1391" s="80" t="s">
        <v>77</v>
      </c>
      <c r="I1391" s="79" t="s">
        <v>9</v>
      </c>
      <c r="J1391" s="81">
        <v>84</v>
      </c>
      <c r="K1391" t="s">
        <v>46</v>
      </c>
    </row>
    <row r="1392" spans="2:11" x14ac:dyDescent="0.25">
      <c r="B1392" s="2">
        <f>+B1391</f>
        <v>1</v>
      </c>
      <c r="C1392" s="4">
        <v>31169.074000000001</v>
      </c>
      <c r="D1392" s="4">
        <v>95512.018000000011</v>
      </c>
      <c r="E1392" s="79">
        <v>31543.59</v>
      </c>
      <c r="F1392" s="79">
        <f>SUM(BASE_DATOS[[#This Row],[Capital($)]:[Interés
Resarcitorio($)]])</f>
        <v>158224.682</v>
      </c>
      <c r="G1392" s="8">
        <v>45652</v>
      </c>
      <c r="H1392" s="80" t="s">
        <v>77</v>
      </c>
      <c r="I1392" s="79" t="s">
        <v>7</v>
      </c>
      <c r="J1392" s="81">
        <v>84</v>
      </c>
      <c r="K1392" t="s">
        <v>46</v>
      </c>
    </row>
    <row r="1393" spans="2:11" x14ac:dyDescent="0.25">
      <c r="B1393" s="2">
        <v>2</v>
      </c>
      <c r="C1393" s="4">
        <v>31169.074000000001</v>
      </c>
      <c r="D1393" s="4">
        <v>73471.741999999998</v>
      </c>
      <c r="E1393" s="79">
        <v>0</v>
      </c>
      <c r="F1393" s="79">
        <f>SUM(BASE_DATOS[[#This Row],[Capital($)]:[Interés
Resarcitorio($)]])</f>
        <v>104640.81599999999</v>
      </c>
      <c r="G1393" s="8">
        <v>45673</v>
      </c>
      <c r="H1393" s="80" t="s">
        <v>77</v>
      </c>
      <c r="I1393" s="79" t="s">
        <v>9</v>
      </c>
      <c r="J1393" s="81">
        <v>84</v>
      </c>
      <c r="K1393" t="s">
        <v>46</v>
      </c>
    </row>
    <row r="1394" spans="2:11" x14ac:dyDescent="0.25">
      <c r="B1394" s="2">
        <f>+B1393</f>
        <v>2</v>
      </c>
      <c r="C1394" s="4">
        <v>31169.074000000001</v>
      </c>
      <c r="D1394" s="4">
        <v>73471.741999999998</v>
      </c>
      <c r="E1394" s="79">
        <v>26055.56</v>
      </c>
      <c r="F1394" s="79">
        <f>SUM(BASE_DATOS[[#This Row],[Capital($)]:[Interés
Resarcitorio($)]])</f>
        <v>130696.37599999999</v>
      </c>
      <c r="G1394" s="8">
        <v>45683</v>
      </c>
      <c r="H1394" s="80" t="s">
        <v>77</v>
      </c>
      <c r="I1394" s="79" t="s">
        <v>7</v>
      </c>
      <c r="J1394" s="81">
        <v>84</v>
      </c>
      <c r="K1394" t="s">
        <v>46</v>
      </c>
    </row>
    <row r="1395" spans="2:11" x14ac:dyDescent="0.25">
      <c r="B1395" s="2">
        <v>3</v>
      </c>
      <c r="C1395" s="4">
        <v>31169.074000000001</v>
      </c>
      <c r="D1395" s="4">
        <v>72586.540000000008</v>
      </c>
      <c r="E1395" s="79">
        <v>0</v>
      </c>
      <c r="F1395" s="79">
        <f>SUM(BASE_DATOS[[#This Row],[Capital($)]:[Interés
Resarcitorio($)]])</f>
        <v>103755.614</v>
      </c>
      <c r="G1395" s="8">
        <v>45704</v>
      </c>
      <c r="H1395" s="80" t="s">
        <v>77</v>
      </c>
      <c r="I1395" s="79" t="s">
        <v>9</v>
      </c>
      <c r="J1395" s="81">
        <v>84</v>
      </c>
      <c r="K1395" t="s">
        <v>46</v>
      </c>
    </row>
    <row r="1396" spans="2:11" x14ac:dyDescent="0.25">
      <c r="B1396" s="2">
        <f>+B1395</f>
        <v>3</v>
      </c>
      <c r="C1396" s="4">
        <v>31169.074000000001</v>
      </c>
      <c r="D1396" s="4">
        <v>72586.540000000008</v>
      </c>
      <c r="E1396" s="79">
        <v>25108.86</v>
      </c>
      <c r="F1396" s="79">
        <f>SUM(BASE_DATOS[[#This Row],[Capital($)]:[Interés
Resarcitorio($)]])</f>
        <v>128864.474</v>
      </c>
      <c r="G1396" s="8">
        <v>45714</v>
      </c>
      <c r="H1396" s="80" t="s">
        <v>77</v>
      </c>
      <c r="I1396" s="79" t="s">
        <v>7</v>
      </c>
      <c r="J1396" s="81">
        <v>84</v>
      </c>
      <c r="K1396" t="s">
        <v>46</v>
      </c>
    </row>
    <row r="1397" spans="2:11" x14ac:dyDescent="0.25">
      <c r="B1397" s="2">
        <v>4</v>
      </c>
      <c r="C1397" s="4">
        <v>31169.074000000001</v>
      </c>
      <c r="D1397" s="4">
        <v>71701.339000000007</v>
      </c>
      <c r="E1397" s="79">
        <v>0</v>
      </c>
      <c r="F1397" s="79">
        <f>SUM(BASE_DATOS[[#This Row],[Capital($)]:[Interés
Resarcitorio($)]])</f>
        <v>102870.413</v>
      </c>
      <c r="G1397" s="8">
        <v>45732</v>
      </c>
      <c r="H1397" s="80" t="s">
        <v>77</v>
      </c>
      <c r="I1397" s="79" t="s">
        <v>9</v>
      </c>
      <c r="J1397" s="81">
        <v>84</v>
      </c>
      <c r="K1397" t="s">
        <v>46</v>
      </c>
    </row>
    <row r="1398" spans="2:11" x14ac:dyDescent="0.25">
      <c r="B1398" s="2">
        <f>+B1397</f>
        <v>4</v>
      </c>
      <c r="C1398" s="4">
        <v>31169.074000000001</v>
      </c>
      <c r="D1398" s="4">
        <v>71701.339000000007</v>
      </c>
      <c r="E1398" s="79">
        <v>13716.06</v>
      </c>
      <c r="F1398" s="79">
        <f>SUM(BASE_DATOS[[#This Row],[Capital($)]:[Interés
Resarcitorio($)]])</f>
        <v>116586.473</v>
      </c>
      <c r="G1398" s="8">
        <v>45742</v>
      </c>
      <c r="H1398" s="80" t="s">
        <v>77</v>
      </c>
      <c r="I1398" s="79" t="s">
        <v>7</v>
      </c>
      <c r="J1398" s="81">
        <v>84</v>
      </c>
      <c r="K1398" t="s">
        <v>46</v>
      </c>
    </row>
    <row r="1399" spans="2:11" x14ac:dyDescent="0.25">
      <c r="B1399" s="2">
        <v>5</v>
      </c>
      <c r="C1399" s="4">
        <v>31169.074000000001</v>
      </c>
      <c r="D1399" s="4">
        <v>63834.264000000003</v>
      </c>
      <c r="E1399" s="79">
        <v>0</v>
      </c>
      <c r="F1399" s="79">
        <f>SUM(BASE_DATOS[[#This Row],[Capital($)]:[Interés
Resarcitorio($)]])</f>
        <v>95003.338000000003</v>
      </c>
      <c r="G1399" s="8">
        <v>45763</v>
      </c>
      <c r="H1399" s="80" t="s">
        <v>77</v>
      </c>
      <c r="I1399" s="79" t="s">
        <v>6</v>
      </c>
      <c r="J1399" s="81">
        <v>84</v>
      </c>
      <c r="K1399" t="s">
        <v>46</v>
      </c>
    </row>
    <row r="1400" spans="2:11" x14ac:dyDescent="0.25">
      <c r="B1400" s="2">
        <f>+B1399</f>
        <v>5</v>
      </c>
      <c r="C1400" s="4">
        <v>31169.074000000001</v>
      </c>
      <c r="D1400" s="4">
        <v>63834.264000000003</v>
      </c>
      <c r="E1400" s="79">
        <v>12667.11</v>
      </c>
      <c r="F1400" s="79">
        <f>SUM(BASE_DATOS[[#This Row],[Capital($)]:[Interés
Resarcitorio($)]])</f>
        <v>107670.448</v>
      </c>
      <c r="G1400" s="8">
        <v>45773</v>
      </c>
      <c r="H1400" s="80" t="s">
        <v>77</v>
      </c>
      <c r="I1400" s="79" t="s">
        <v>7</v>
      </c>
      <c r="J1400" s="81">
        <v>84</v>
      </c>
      <c r="K1400" t="s">
        <v>46</v>
      </c>
    </row>
    <row r="1401" spans="2:11" x14ac:dyDescent="0.25">
      <c r="B1401" s="2">
        <v>6</v>
      </c>
      <c r="C1401" s="4">
        <v>31169.074000000001</v>
      </c>
      <c r="D1401" s="4">
        <v>63036.335999999996</v>
      </c>
      <c r="E1401" s="79">
        <v>0</v>
      </c>
      <c r="F1401" s="79">
        <f>SUM(BASE_DATOS[[#This Row],[Capital($)]:[Interés
Resarcitorio($)]])</f>
        <v>94205.41</v>
      </c>
      <c r="G1401" s="8">
        <v>45793</v>
      </c>
      <c r="H1401" s="80" t="s">
        <v>77</v>
      </c>
      <c r="I1401" s="79" t="s">
        <v>9</v>
      </c>
      <c r="J1401" s="81">
        <v>84</v>
      </c>
      <c r="K1401" t="s">
        <v>46</v>
      </c>
    </row>
    <row r="1402" spans="2:11" x14ac:dyDescent="0.25">
      <c r="B1402" s="2">
        <f>+B1401</f>
        <v>6</v>
      </c>
      <c r="C1402" s="4">
        <v>31169.074000000001</v>
      </c>
      <c r="D1402" s="4">
        <v>63036.335999999996</v>
      </c>
      <c r="E1402" s="79">
        <v>12560.72</v>
      </c>
      <c r="F1402" s="79">
        <f>SUM(BASE_DATOS[[#This Row],[Capital($)]:[Interés
Resarcitorio($)]])</f>
        <v>106766.13</v>
      </c>
      <c r="G1402" s="8">
        <v>45803</v>
      </c>
      <c r="H1402" s="80" t="s">
        <v>77</v>
      </c>
      <c r="I1402" s="79" t="s">
        <v>7</v>
      </c>
      <c r="J1402" s="81">
        <v>84</v>
      </c>
      <c r="K1402" t="s">
        <v>46</v>
      </c>
    </row>
    <row r="1403" spans="2:11" x14ac:dyDescent="0.25">
      <c r="B1403" s="2">
        <v>7</v>
      </c>
      <c r="C1403" s="4">
        <v>31169.074000000001</v>
      </c>
      <c r="D1403" s="4">
        <v>62238.407999999996</v>
      </c>
      <c r="E1403" s="79">
        <v>0</v>
      </c>
      <c r="F1403" s="79">
        <f>SUM(BASE_DATOS[[#This Row],[Capital($)]:[Interés
Resarcitorio($)]])</f>
        <v>93407.481999999989</v>
      </c>
      <c r="G1403" s="8">
        <v>45824</v>
      </c>
      <c r="H1403" s="80" t="s">
        <v>77</v>
      </c>
      <c r="I1403" s="79" t="s">
        <v>9</v>
      </c>
      <c r="J1403" s="81">
        <v>84</v>
      </c>
      <c r="K1403" t="s">
        <v>46</v>
      </c>
    </row>
    <row r="1404" spans="2:11" x14ac:dyDescent="0.25">
      <c r="B1404" s="2">
        <f>+B1403</f>
        <v>7</v>
      </c>
      <c r="C1404" s="4">
        <v>31169.074000000001</v>
      </c>
      <c r="D1404" s="4">
        <v>62238.407999999996</v>
      </c>
      <c r="E1404" s="79">
        <v>12454.33</v>
      </c>
      <c r="F1404" s="79">
        <f>SUM(BASE_DATOS[[#This Row],[Capital($)]:[Interés
Resarcitorio($)]])</f>
        <v>105861.81199999999</v>
      </c>
      <c r="G1404" s="8">
        <v>45834</v>
      </c>
      <c r="H1404" s="80" t="s">
        <v>77</v>
      </c>
      <c r="I1404" s="79" t="s">
        <v>7</v>
      </c>
      <c r="J1404" s="81">
        <v>84</v>
      </c>
      <c r="K1404" t="s">
        <v>46</v>
      </c>
    </row>
    <row r="1405" spans="2:11" x14ac:dyDescent="0.25">
      <c r="B1405" s="2">
        <v>8</v>
      </c>
      <c r="C1405" s="4">
        <v>31169.074000000001</v>
      </c>
      <c r="D1405" s="4">
        <v>61440.479000000007</v>
      </c>
      <c r="E1405" s="79">
        <v>0</v>
      </c>
      <c r="F1405" s="79">
        <f>SUM(BASE_DATOS[[#This Row],[Capital($)]:[Interés
Resarcitorio($)]])</f>
        <v>92609.553000000014</v>
      </c>
      <c r="G1405" s="8">
        <v>45854</v>
      </c>
      <c r="H1405" s="80" t="s">
        <v>77</v>
      </c>
      <c r="I1405" s="79" t="s">
        <v>6</v>
      </c>
      <c r="J1405" s="81">
        <v>84</v>
      </c>
      <c r="K1405" t="s">
        <v>46</v>
      </c>
    </row>
    <row r="1406" spans="2:11" x14ac:dyDescent="0.25">
      <c r="B1406" s="2">
        <f>+B1405</f>
        <v>8</v>
      </c>
      <c r="C1406" s="4">
        <v>31169.074000000001</v>
      </c>
      <c r="D1406" s="4">
        <v>61440.479000000007</v>
      </c>
      <c r="E1406" s="79">
        <v>12347.94</v>
      </c>
      <c r="F1406" s="79">
        <f>SUM(BASE_DATOS[[#This Row],[Capital($)]:[Interés
Resarcitorio($)]])</f>
        <v>104957.49300000002</v>
      </c>
      <c r="G1406" s="8">
        <v>45864</v>
      </c>
      <c r="H1406" s="80" t="s">
        <v>77</v>
      </c>
      <c r="I1406" s="79" t="s">
        <v>7</v>
      </c>
      <c r="J1406" s="81">
        <v>84</v>
      </c>
      <c r="K1406" t="s">
        <v>46</v>
      </c>
    </row>
    <row r="1407" spans="2:11" x14ac:dyDescent="0.25">
      <c r="B1407" s="2">
        <v>9</v>
      </c>
      <c r="C1407" s="4">
        <v>31169.074000000001</v>
      </c>
      <c r="D1407" s="4">
        <v>60642.550999999999</v>
      </c>
      <c r="E1407" s="79">
        <v>0</v>
      </c>
      <c r="F1407" s="79">
        <f>SUM(BASE_DATOS[[#This Row],[Capital($)]:[Interés
Resarcitorio($)]])</f>
        <v>91811.625</v>
      </c>
      <c r="G1407" s="8">
        <v>45885</v>
      </c>
      <c r="H1407" s="80" t="s">
        <v>77</v>
      </c>
      <c r="I1407" s="79" t="s">
        <v>6</v>
      </c>
      <c r="J1407" s="81">
        <v>84</v>
      </c>
      <c r="K1407" t="s">
        <v>46</v>
      </c>
    </row>
    <row r="1408" spans="2:11" x14ac:dyDescent="0.25">
      <c r="B1408" s="2">
        <f>+B1407</f>
        <v>9</v>
      </c>
      <c r="C1408" s="4">
        <v>31169.074000000001</v>
      </c>
      <c r="D1408" s="4">
        <v>60642.550999999999</v>
      </c>
      <c r="E1408" s="79">
        <v>12241.55</v>
      </c>
      <c r="F1408" s="79">
        <f>SUM(BASE_DATOS[[#This Row],[Capital($)]:[Interés
Resarcitorio($)]])</f>
        <v>104053.175</v>
      </c>
      <c r="G1408" s="8">
        <v>45895</v>
      </c>
      <c r="H1408" s="80" t="s">
        <v>77</v>
      </c>
      <c r="I1408" s="79" t="s">
        <v>7</v>
      </c>
      <c r="J1408" s="81">
        <v>84</v>
      </c>
      <c r="K1408" t="s">
        <v>46</v>
      </c>
    </row>
    <row r="1409" spans="2:11" x14ac:dyDescent="0.25">
      <c r="B1409" s="2">
        <v>10</v>
      </c>
      <c r="C1409" s="4">
        <v>31169.074000000001</v>
      </c>
      <c r="D1409" s="4">
        <v>59844.623</v>
      </c>
      <c r="E1409" s="79">
        <v>0</v>
      </c>
      <c r="F1409" s="79">
        <f>SUM(BASE_DATOS[[#This Row],[Capital($)]:[Interés
Resarcitorio($)]])</f>
        <v>91013.697</v>
      </c>
      <c r="G1409" s="8">
        <v>45916</v>
      </c>
      <c r="H1409" s="80" t="s">
        <v>77</v>
      </c>
      <c r="I1409" s="79" t="s">
        <v>6</v>
      </c>
      <c r="J1409" s="81">
        <v>84</v>
      </c>
      <c r="K1409" t="s">
        <v>46</v>
      </c>
    </row>
    <row r="1410" spans="2:11" x14ac:dyDescent="0.25">
      <c r="B1410" s="2">
        <f>+B1409</f>
        <v>10</v>
      </c>
      <c r="C1410" s="4">
        <v>31169.074000000001</v>
      </c>
      <c r="D1410" s="4">
        <v>59844.623</v>
      </c>
      <c r="E1410" s="79">
        <v>12135.16</v>
      </c>
      <c r="F1410" s="79">
        <f>SUM(BASE_DATOS[[#This Row],[Capital($)]:[Interés
Resarcitorio($)]])</f>
        <v>103148.857</v>
      </c>
      <c r="G1410" s="8">
        <v>45926</v>
      </c>
      <c r="H1410" s="80" t="s">
        <v>77</v>
      </c>
      <c r="I1410" s="79" t="s">
        <v>7</v>
      </c>
      <c r="J1410" s="81">
        <v>84</v>
      </c>
      <c r="K1410" t="s">
        <v>46</v>
      </c>
    </row>
    <row r="1411" spans="2:11" x14ac:dyDescent="0.25">
      <c r="B1411" s="2">
        <v>11</v>
      </c>
      <c r="C1411" s="4">
        <v>31169.074000000001</v>
      </c>
      <c r="D1411" s="4">
        <v>59046.694999999992</v>
      </c>
      <c r="E1411" s="79">
        <v>0</v>
      </c>
      <c r="F1411" s="79">
        <f>SUM(BASE_DATOS[[#This Row],[Capital($)]:[Interés
Resarcitorio($)]])</f>
        <v>90215.769</v>
      </c>
      <c r="G1411" s="8">
        <v>45946</v>
      </c>
      <c r="H1411" s="80" t="s">
        <v>77</v>
      </c>
      <c r="I1411" s="79" t="s">
        <v>6</v>
      </c>
      <c r="J1411" s="81">
        <v>84</v>
      </c>
      <c r="K1411" t="s">
        <v>46</v>
      </c>
    </row>
    <row r="1412" spans="2:11" x14ac:dyDescent="0.25">
      <c r="B1412" s="2">
        <f>+B1411</f>
        <v>11</v>
      </c>
      <c r="C1412" s="4">
        <v>31169.074000000001</v>
      </c>
      <c r="D1412" s="4">
        <v>59046.694999999992</v>
      </c>
      <c r="E1412" s="79">
        <v>12028.77</v>
      </c>
      <c r="F1412" s="79">
        <f>SUM(BASE_DATOS[[#This Row],[Capital($)]:[Interés
Resarcitorio($)]])</f>
        <v>102244.539</v>
      </c>
      <c r="G1412" s="8">
        <v>45956</v>
      </c>
      <c r="H1412" s="80" t="s">
        <v>77</v>
      </c>
      <c r="I1412" s="79" t="s">
        <v>7</v>
      </c>
      <c r="J1412" s="81">
        <v>84</v>
      </c>
      <c r="K1412" t="s">
        <v>46</v>
      </c>
    </row>
    <row r="1413" spans="2:11" x14ac:dyDescent="0.25">
      <c r="B1413" s="2">
        <v>12</v>
      </c>
      <c r="C1413" s="4">
        <v>31169.074000000001</v>
      </c>
      <c r="D1413" s="4">
        <v>58248.766000000003</v>
      </c>
      <c r="E1413" s="79">
        <v>0</v>
      </c>
      <c r="F1413" s="79">
        <f>SUM(BASE_DATOS[[#This Row],[Capital($)]:[Interés
Resarcitorio($)]])</f>
        <v>89417.84</v>
      </c>
      <c r="G1413" s="8">
        <v>45977</v>
      </c>
      <c r="H1413" s="80" t="s">
        <v>77</v>
      </c>
      <c r="I1413" s="79" t="s">
        <v>6</v>
      </c>
      <c r="J1413" s="81">
        <v>84</v>
      </c>
      <c r="K1413" t="s">
        <v>46</v>
      </c>
    </row>
    <row r="1414" spans="2:11" x14ac:dyDescent="0.25">
      <c r="B1414" s="2">
        <f>+B1413</f>
        <v>12</v>
      </c>
      <c r="C1414" s="4">
        <v>31169.074000000001</v>
      </c>
      <c r="D1414" s="4">
        <v>58248.766000000003</v>
      </c>
      <c r="E1414" s="79">
        <v>11922.38</v>
      </c>
      <c r="F1414" s="79">
        <f>SUM(BASE_DATOS[[#This Row],[Capital($)]:[Interés
Resarcitorio($)]])</f>
        <v>101340.22</v>
      </c>
      <c r="G1414" s="8">
        <v>45987</v>
      </c>
      <c r="H1414" s="80" t="s">
        <v>77</v>
      </c>
      <c r="I1414" s="79" t="s">
        <v>7</v>
      </c>
      <c r="J1414" s="81">
        <v>84</v>
      </c>
      <c r="K1414" t="s">
        <v>46</v>
      </c>
    </row>
    <row r="1415" spans="2:11" x14ac:dyDescent="0.25">
      <c r="B1415" s="2">
        <v>13</v>
      </c>
      <c r="C1415" s="4">
        <v>31169.074000000001</v>
      </c>
      <c r="D1415" s="4">
        <v>57450.838000000003</v>
      </c>
      <c r="E1415" s="79">
        <v>0</v>
      </c>
      <c r="F1415" s="79">
        <f>SUM(BASE_DATOS[[#This Row],[Capital($)]:[Interés
Resarcitorio($)]])</f>
        <v>88619.912000000011</v>
      </c>
      <c r="G1415" s="8">
        <v>46007</v>
      </c>
      <c r="H1415" s="80" t="s">
        <v>77</v>
      </c>
      <c r="I1415" s="79" t="s">
        <v>6</v>
      </c>
      <c r="J1415" s="81">
        <v>84</v>
      </c>
      <c r="K1415" t="s">
        <v>46</v>
      </c>
    </row>
    <row r="1416" spans="2:11" x14ac:dyDescent="0.25">
      <c r="B1416" s="2">
        <f>+B1415</f>
        <v>13</v>
      </c>
      <c r="C1416" s="4">
        <v>31169.074000000001</v>
      </c>
      <c r="D1416" s="4">
        <v>57450.838000000003</v>
      </c>
      <c r="E1416" s="79">
        <v>11815.99</v>
      </c>
      <c r="F1416" s="79">
        <f>SUM(BASE_DATOS[[#This Row],[Capital($)]:[Interés
Resarcitorio($)]])</f>
        <v>100435.90200000002</v>
      </c>
      <c r="G1416" s="8">
        <v>46017</v>
      </c>
      <c r="H1416" s="80" t="s">
        <v>77</v>
      </c>
      <c r="I1416" s="79" t="s">
        <v>7</v>
      </c>
      <c r="J1416" s="81">
        <v>84</v>
      </c>
      <c r="K1416" t="s">
        <v>46</v>
      </c>
    </row>
    <row r="1417" spans="2:11" x14ac:dyDescent="0.25">
      <c r="B1417" s="2">
        <v>14</v>
      </c>
      <c r="C1417" s="4">
        <v>31169.074000000001</v>
      </c>
      <c r="D1417" s="4">
        <v>56652.909999999996</v>
      </c>
      <c r="E1417" s="79">
        <v>0</v>
      </c>
      <c r="F1417" s="79">
        <f>SUM(BASE_DATOS[[#This Row],[Capital($)]:[Interés
Resarcitorio($)]])</f>
        <v>87821.983999999997</v>
      </c>
      <c r="G1417" s="8">
        <v>46038</v>
      </c>
      <c r="H1417" s="80" t="s">
        <v>77</v>
      </c>
      <c r="I1417" s="79" t="s">
        <v>6</v>
      </c>
      <c r="J1417" s="81">
        <v>84</v>
      </c>
      <c r="K1417" t="s">
        <v>46</v>
      </c>
    </row>
    <row r="1418" spans="2:11" x14ac:dyDescent="0.25">
      <c r="B1418" s="2">
        <f>+B1417</f>
        <v>14</v>
      </c>
      <c r="C1418" s="4">
        <v>31169.074000000001</v>
      </c>
      <c r="D1418" s="4">
        <v>56652.909999999996</v>
      </c>
      <c r="E1418" s="79">
        <v>11709.6</v>
      </c>
      <c r="F1418" s="79">
        <f>SUM(BASE_DATOS[[#This Row],[Capital($)]:[Interés
Resarcitorio($)]])</f>
        <v>99531.584000000003</v>
      </c>
      <c r="G1418" s="8">
        <v>46048</v>
      </c>
      <c r="H1418" s="80" t="s">
        <v>77</v>
      </c>
      <c r="I1418" s="79" t="s">
        <v>7</v>
      </c>
      <c r="J1418" s="81">
        <v>84</v>
      </c>
      <c r="K1418" t="s">
        <v>46</v>
      </c>
    </row>
    <row r="1419" spans="2:11" x14ac:dyDescent="0.25">
      <c r="B1419" s="2">
        <v>15</v>
      </c>
      <c r="C1419" s="4">
        <v>31169.074000000001</v>
      </c>
      <c r="D1419" s="4">
        <v>55854.981000000007</v>
      </c>
      <c r="E1419" s="79">
        <v>0</v>
      </c>
      <c r="F1419" s="79">
        <f>SUM(BASE_DATOS[[#This Row],[Capital($)]:[Interés
Resarcitorio($)]])</f>
        <v>87024.055000000008</v>
      </c>
      <c r="G1419" s="8">
        <v>46069</v>
      </c>
      <c r="H1419" s="80" t="s">
        <v>77</v>
      </c>
      <c r="I1419" s="79" t="s">
        <v>6</v>
      </c>
      <c r="J1419" s="81">
        <v>84</v>
      </c>
      <c r="K1419" t="s">
        <v>46</v>
      </c>
    </row>
    <row r="1420" spans="2:11" x14ac:dyDescent="0.25">
      <c r="B1420" s="2">
        <f>+B1419</f>
        <v>15</v>
      </c>
      <c r="C1420" s="4">
        <v>31169.074000000001</v>
      </c>
      <c r="D1420" s="4">
        <v>55854.981000000007</v>
      </c>
      <c r="E1420" s="79">
        <v>11603.21</v>
      </c>
      <c r="F1420" s="79">
        <f>SUM(BASE_DATOS[[#This Row],[Capital($)]:[Interés
Resarcitorio($)]])</f>
        <v>98627.265000000014</v>
      </c>
      <c r="G1420" s="8">
        <v>46079</v>
      </c>
      <c r="H1420" s="80" t="s">
        <v>77</v>
      </c>
      <c r="I1420" s="79" t="s">
        <v>7</v>
      </c>
      <c r="J1420" s="81">
        <v>84</v>
      </c>
      <c r="K1420" t="s">
        <v>46</v>
      </c>
    </row>
    <row r="1421" spans="2:11" x14ac:dyDescent="0.25">
      <c r="B1421" s="2">
        <v>16</v>
      </c>
      <c r="C1421" s="4">
        <v>31169.074000000001</v>
      </c>
      <c r="D1421" s="4">
        <v>55057.053</v>
      </c>
      <c r="E1421" s="79">
        <v>0</v>
      </c>
      <c r="F1421" s="79">
        <f>SUM(BASE_DATOS[[#This Row],[Capital($)]:[Interés
Resarcitorio($)]])</f>
        <v>86226.127000000008</v>
      </c>
      <c r="G1421" s="8">
        <v>46097</v>
      </c>
      <c r="H1421" s="80" t="s">
        <v>77</v>
      </c>
      <c r="I1421" s="79" t="s">
        <v>6</v>
      </c>
      <c r="J1421" s="81">
        <v>84</v>
      </c>
      <c r="K1421" t="s">
        <v>46</v>
      </c>
    </row>
    <row r="1422" spans="2:11" x14ac:dyDescent="0.25">
      <c r="B1422" s="2">
        <f>+B1421</f>
        <v>16</v>
      </c>
      <c r="C1422" s="4">
        <v>31169.074000000001</v>
      </c>
      <c r="D1422" s="4">
        <v>55057.053</v>
      </c>
      <c r="E1422" s="79">
        <v>11496.82</v>
      </c>
      <c r="F1422" s="79">
        <f>SUM(BASE_DATOS[[#This Row],[Capital($)]:[Interés
Resarcitorio($)]])</f>
        <v>97722.947000000015</v>
      </c>
      <c r="G1422" s="8">
        <v>46107</v>
      </c>
      <c r="H1422" s="80" t="s">
        <v>77</v>
      </c>
      <c r="I1422" s="79" t="s">
        <v>7</v>
      </c>
      <c r="J1422" s="81">
        <v>84</v>
      </c>
      <c r="K1422" t="s">
        <v>46</v>
      </c>
    </row>
    <row r="1423" spans="2:11" x14ac:dyDescent="0.25">
      <c r="B1423" s="2">
        <v>17</v>
      </c>
      <c r="C1423" s="4">
        <v>31169.074000000001</v>
      </c>
      <c r="D1423" s="4">
        <v>54259.125</v>
      </c>
      <c r="E1423" s="79">
        <v>0</v>
      </c>
      <c r="F1423" s="79">
        <f>SUM(BASE_DATOS[[#This Row],[Capital($)]:[Interés
Resarcitorio($)]])</f>
        <v>85428.198999999993</v>
      </c>
      <c r="G1423" s="8">
        <v>46128</v>
      </c>
      <c r="H1423" s="80" t="s">
        <v>77</v>
      </c>
      <c r="I1423" s="79" t="s">
        <v>6</v>
      </c>
      <c r="J1423" s="81">
        <v>84</v>
      </c>
      <c r="K1423" t="s">
        <v>46</v>
      </c>
    </row>
    <row r="1424" spans="2:11" x14ac:dyDescent="0.25">
      <c r="B1424" s="2">
        <f>+B1423</f>
        <v>17</v>
      </c>
      <c r="C1424" s="4">
        <v>31169.074000000001</v>
      </c>
      <c r="D1424" s="4">
        <v>54259.125</v>
      </c>
      <c r="E1424" s="79">
        <v>11390.43</v>
      </c>
      <c r="F1424" s="79">
        <f>SUM(BASE_DATOS[[#This Row],[Capital($)]:[Interés
Resarcitorio($)]])</f>
        <v>96818.628999999986</v>
      </c>
      <c r="G1424" s="8">
        <v>46138</v>
      </c>
      <c r="H1424" s="80" t="s">
        <v>77</v>
      </c>
      <c r="I1424" s="79" t="s">
        <v>7</v>
      </c>
      <c r="J1424" s="81">
        <v>84</v>
      </c>
      <c r="K1424" t="s">
        <v>46</v>
      </c>
    </row>
    <row r="1425" spans="2:11" x14ac:dyDescent="0.25">
      <c r="B1425" s="2">
        <v>18</v>
      </c>
      <c r="C1425" s="4">
        <v>31169.074000000001</v>
      </c>
      <c r="D1425" s="4">
        <v>53461.195999999996</v>
      </c>
      <c r="E1425" s="79">
        <v>0</v>
      </c>
      <c r="F1425" s="79">
        <f>SUM(BASE_DATOS[[#This Row],[Capital($)]:[Interés
Resarcitorio($)]])</f>
        <v>84630.26999999999</v>
      </c>
      <c r="G1425" s="8">
        <v>46158</v>
      </c>
      <c r="H1425" s="80" t="s">
        <v>77</v>
      </c>
      <c r="I1425" s="79" t="s">
        <v>6</v>
      </c>
      <c r="J1425" s="81">
        <v>84</v>
      </c>
      <c r="K1425" t="s">
        <v>46</v>
      </c>
    </row>
    <row r="1426" spans="2:11" x14ac:dyDescent="0.25">
      <c r="B1426" s="2">
        <f>+B1425</f>
        <v>18</v>
      </c>
      <c r="C1426" s="4">
        <v>31169.074000000001</v>
      </c>
      <c r="D1426" s="4">
        <v>53461.195999999996</v>
      </c>
      <c r="E1426" s="79">
        <v>11284.04</v>
      </c>
      <c r="F1426" s="79">
        <f>SUM(BASE_DATOS[[#This Row],[Capital($)]:[Interés
Resarcitorio($)]])</f>
        <v>95914.31</v>
      </c>
      <c r="G1426" s="8">
        <v>46168</v>
      </c>
      <c r="H1426" s="80" t="s">
        <v>77</v>
      </c>
      <c r="I1426" s="79" t="s">
        <v>7</v>
      </c>
      <c r="J1426" s="81">
        <v>84</v>
      </c>
      <c r="K1426" t="s">
        <v>46</v>
      </c>
    </row>
    <row r="1427" spans="2:11" x14ac:dyDescent="0.25">
      <c r="B1427" s="2">
        <v>19</v>
      </c>
      <c r="C1427" s="4">
        <v>31169.074000000001</v>
      </c>
      <c r="D1427" s="4">
        <v>52663.268000000004</v>
      </c>
      <c r="E1427" s="79">
        <v>0</v>
      </c>
      <c r="F1427" s="79">
        <f>SUM(BASE_DATOS[[#This Row],[Capital($)]:[Interés
Resarcitorio($)]])</f>
        <v>83832.342000000004</v>
      </c>
      <c r="G1427" s="8">
        <v>46189</v>
      </c>
      <c r="H1427" s="80" t="s">
        <v>77</v>
      </c>
      <c r="I1427" s="79" t="s">
        <v>6</v>
      </c>
      <c r="J1427" s="81">
        <v>84</v>
      </c>
      <c r="K1427" t="s">
        <v>46</v>
      </c>
    </row>
    <row r="1428" spans="2:11" x14ac:dyDescent="0.25">
      <c r="B1428" s="2">
        <f>+B1427</f>
        <v>19</v>
      </c>
      <c r="C1428" s="4">
        <v>31169.074000000001</v>
      </c>
      <c r="D1428" s="4">
        <v>52663.268000000004</v>
      </c>
      <c r="E1428" s="79">
        <v>11177.65</v>
      </c>
      <c r="F1428" s="79">
        <f>SUM(BASE_DATOS[[#This Row],[Capital($)]:[Interés
Resarcitorio($)]])</f>
        <v>95009.991999999998</v>
      </c>
      <c r="G1428" s="8">
        <v>46199</v>
      </c>
      <c r="H1428" s="80" t="s">
        <v>77</v>
      </c>
      <c r="I1428" s="79" t="s">
        <v>7</v>
      </c>
      <c r="J1428" s="81">
        <v>84</v>
      </c>
      <c r="K1428" t="s">
        <v>46</v>
      </c>
    </row>
    <row r="1429" spans="2:11" x14ac:dyDescent="0.25">
      <c r="B1429" s="2">
        <v>20</v>
      </c>
      <c r="C1429" s="4">
        <v>31169.074000000001</v>
      </c>
      <c r="D1429" s="4">
        <v>51865.340000000004</v>
      </c>
      <c r="E1429" s="79">
        <v>0</v>
      </c>
      <c r="F1429" s="79">
        <f>SUM(BASE_DATOS[[#This Row],[Capital($)]:[Interés
Resarcitorio($)]])</f>
        <v>83034.414000000004</v>
      </c>
      <c r="G1429" s="8">
        <v>46219</v>
      </c>
      <c r="H1429" s="80" t="s">
        <v>77</v>
      </c>
      <c r="I1429" s="79" t="s">
        <v>6</v>
      </c>
      <c r="J1429" s="81">
        <v>84</v>
      </c>
      <c r="K1429" t="s">
        <v>46</v>
      </c>
    </row>
    <row r="1430" spans="2:11" x14ac:dyDescent="0.25">
      <c r="B1430" s="2">
        <f>+B1429</f>
        <v>20</v>
      </c>
      <c r="C1430" s="4">
        <v>31169.074000000001</v>
      </c>
      <c r="D1430" s="4">
        <v>51865.340000000004</v>
      </c>
      <c r="E1430" s="79">
        <v>11071.26</v>
      </c>
      <c r="F1430" s="79">
        <f>SUM(BASE_DATOS[[#This Row],[Capital($)]:[Interés
Resarcitorio($)]])</f>
        <v>94105.673999999999</v>
      </c>
      <c r="G1430" s="8">
        <v>46229</v>
      </c>
      <c r="H1430" s="80" t="s">
        <v>77</v>
      </c>
      <c r="I1430" s="79" t="s">
        <v>7</v>
      </c>
      <c r="J1430" s="81">
        <v>84</v>
      </c>
      <c r="K1430" t="s">
        <v>46</v>
      </c>
    </row>
    <row r="1431" spans="2:11" x14ac:dyDescent="0.25">
      <c r="B1431" s="2">
        <v>21</v>
      </c>
      <c r="C1431" s="4">
        <v>31169.074000000001</v>
      </c>
      <c r="D1431" s="4">
        <v>51067.411999999997</v>
      </c>
      <c r="E1431" s="79">
        <v>0</v>
      </c>
      <c r="F1431" s="79">
        <f>SUM(BASE_DATOS[[#This Row],[Capital($)]:[Interés
Resarcitorio($)]])</f>
        <v>82236.486000000004</v>
      </c>
      <c r="G1431" s="8">
        <v>46250</v>
      </c>
      <c r="H1431" s="80" t="s">
        <v>77</v>
      </c>
      <c r="I1431" s="79" t="s">
        <v>6</v>
      </c>
      <c r="J1431" s="81">
        <v>84</v>
      </c>
      <c r="K1431" t="s">
        <v>46</v>
      </c>
    </row>
    <row r="1432" spans="2:11" x14ac:dyDescent="0.25">
      <c r="B1432" s="2">
        <f>+B1431</f>
        <v>21</v>
      </c>
      <c r="C1432" s="4">
        <v>31169.074000000001</v>
      </c>
      <c r="D1432" s="4">
        <v>51067.411999999997</v>
      </c>
      <c r="E1432" s="79">
        <v>10964.86</v>
      </c>
      <c r="F1432" s="79">
        <f>SUM(BASE_DATOS[[#This Row],[Capital($)]:[Interés
Resarcitorio($)]])</f>
        <v>93201.346000000005</v>
      </c>
      <c r="G1432" s="8">
        <v>46260</v>
      </c>
      <c r="H1432" s="80" t="s">
        <v>77</v>
      </c>
      <c r="I1432" s="79" t="s">
        <v>7</v>
      </c>
      <c r="J1432" s="81">
        <v>84</v>
      </c>
      <c r="K1432" t="s">
        <v>46</v>
      </c>
    </row>
    <row r="1433" spans="2:11" x14ac:dyDescent="0.25">
      <c r="B1433" s="2">
        <v>22</v>
      </c>
      <c r="C1433" s="4">
        <v>31169.074000000001</v>
      </c>
      <c r="D1433" s="4">
        <v>50269.483</v>
      </c>
      <c r="E1433" s="79">
        <v>0</v>
      </c>
      <c r="F1433" s="79">
        <f>SUM(BASE_DATOS[[#This Row],[Capital($)]:[Interés
Resarcitorio($)]])</f>
        <v>81438.557000000001</v>
      </c>
      <c r="G1433" s="8">
        <v>46281</v>
      </c>
      <c r="H1433" s="80" t="s">
        <v>77</v>
      </c>
      <c r="I1433" s="79" t="s">
        <v>6</v>
      </c>
      <c r="J1433" s="81">
        <v>84</v>
      </c>
      <c r="K1433" t="s">
        <v>46</v>
      </c>
    </row>
    <row r="1434" spans="2:11" x14ac:dyDescent="0.25">
      <c r="B1434" s="2">
        <f>+B1433</f>
        <v>22</v>
      </c>
      <c r="C1434" s="4">
        <v>31169.074000000001</v>
      </c>
      <c r="D1434" s="4">
        <v>50269.483</v>
      </c>
      <c r="E1434" s="79">
        <v>10858.47</v>
      </c>
      <c r="F1434" s="79">
        <f>SUM(BASE_DATOS[[#This Row],[Capital($)]:[Interés
Resarcitorio($)]])</f>
        <v>92297.027000000002</v>
      </c>
      <c r="G1434" s="8">
        <v>46291</v>
      </c>
      <c r="H1434" s="80" t="s">
        <v>77</v>
      </c>
      <c r="I1434" s="79" t="s">
        <v>7</v>
      </c>
      <c r="J1434" s="81">
        <v>84</v>
      </c>
      <c r="K1434" t="s">
        <v>46</v>
      </c>
    </row>
    <row r="1435" spans="2:11" x14ac:dyDescent="0.25">
      <c r="B1435" s="2">
        <v>23</v>
      </c>
      <c r="C1435" s="4">
        <v>31169.074000000001</v>
      </c>
      <c r="D1435" s="4">
        <v>49471.555</v>
      </c>
      <c r="E1435" s="79">
        <v>0</v>
      </c>
      <c r="F1435" s="79">
        <f>SUM(BASE_DATOS[[#This Row],[Capital($)]:[Interés
Resarcitorio($)]])</f>
        <v>80640.629000000001</v>
      </c>
      <c r="G1435" s="8">
        <v>46311</v>
      </c>
      <c r="H1435" s="80" t="s">
        <v>77</v>
      </c>
      <c r="I1435" s="79" t="s">
        <v>6</v>
      </c>
      <c r="J1435" s="81">
        <v>84</v>
      </c>
      <c r="K1435" t="s">
        <v>46</v>
      </c>
    </row>
    <row r="1436" spans="2:11" x14ac:dyDescent="0.25">
      <c r="B1436" s="2">
        <f>+B1435</f>
        <v>23</v>
      </c>
      <c r="C1436" s="4">
        <v>31169.074000000001</v>
      </c>
      <c r="D1436" s="4">
        <v>49471.555</v>
      </c>
      <c r="E1436" s="79">
        <v>10752.08</v>
      </c>
      <c r="F1436" s="79">
        <f>SUM(BASE_DATOS[[#This Row],[Capital($)]:[Interés
Resarcitorio($)]])</f>
        <v>91392.709000000003</v>
      </c>
      <c r="G1436" s="8">
        <v>46321</v>
      </c>
      <c r="H1436" s="80" t="s">
        <v>77</v>
      </c>
      <c r="I1436" s="79" t="s">
        <v>7</v>
      </c>
      <c r="J1436" s="81">
        <v>84</v>
      </c>
      <c r="K1436" t="s">
        <v>46</v>
      </c>
    </row>
    <row r="1437" spans="2:11" x14ac:dyDescent="0.25">
      <c r="B1437" s="2">
        <v>24</v>
      </c>
      <c r="C1437" s="4">
        <v>31169.074000000001</v>
      </c>
      <c r="D1437" s="4">
        <v>48673.627</v>
      </c>
      <c r="E1437" s="79">
        <v>0</v>
      </c>
      <c r="F1437" s="79">
        <f>SUM(BASE_DATOS[[#This Row],[Capital($)]:[Interés
Resarcitorio($)]])</f>
        <v>79842.701000000001</v>
      </c>
      <c r="G1437" s="8">
        <v>46342</v>
      </c>
      <c r="H1437" s="80" t="s">
        <v>77</v>
      </c>
      <c r="I1437" s="79" t="s">
        <v>6</v>
      </c>
      <c r="J1437" s="81">
        <v>84</v>
      </c>
      <c r="K1437" t="s">
        <v>46</v>
      </c>
    </row>
    <row r="1438" spans="2:11" x14ac:dyDescent="0.25">
      <c r="B1438" s="2">
        <f>+B1437</f>
        <v>24</v>
      </c>
      <c r="C1438" s="4">
        <v>31169.074000000001</v>
      </c>
      <c r="D1438" s="4">
        <v>48673.627</v>
      </c>
      <c r="E1438" s="79">
        <v>10645.69</v>
      </c>
      <c r="F1438" s="79">
        <f>SUM(BASE_DATOS[[#This Row],[Capital($)]:[Interés
Resarcitorio($)]])</f>
        <v>90488.391000000003</v>
      </c>
      <c r="G1438" s="8">
        <v>46352</v>
      </c>
      <c r="H1438" s="80" t="s">
        <v>77</v>
      </c>
      <c r="I1438" s="79" t="s">
        <v>7</v>
      </c>
      <c r="J1438" s="81">
        <v>84</v>
      </c>
      <c r="K1438" t="s">
        <v>46</v>
      </c>
    </row>
    <row r="1439" spans="2:11" x14ac:dyDescent="0.25">
      <c r="B1439" s="2">
        <v>25</v>
      </c>
      <c r="C1439" s="4">
        <v>31169.074000000001</v>
      </c>
      <c r="D1439" s="4">
        <v>47875.697999999997</v>
      </c>
      <c r="E1439" s="79">
        <v>0</v>
      </c>
      <c r="F1439" s="79">
        <f>SUM(BASE_DATOS[[#This Row],[Capital($)]:[Interés
Resarcitorio($)]])</f>
        <v>79044.771999999997</v>
      </c>
      <c r="G1439" s="8">
        <v>46372</v>
      </c>
      <c r="H1439" s="80" t="s">
        <v>77</v>
      </c>
      <c r="I1439" s="79" t="s">
        <v>6</v>
      </c>
      <c r="J1439" s="81">
        <v>84</v>
      </c>
      <c r="K1439" t="s">
        <v>46</v>
      </c>
    </row>
    <row r="1440" spans="2:11" x14ac:dyDescent="0.25">
      <c r="B1440" s="2">
        <f>+B1439</f>
        <v>25</v>
      </c>
      <c r="C1440" s="4">
        <v>31169.074000000001</v>
      </c>
      <c r="D1440" s="4">
        <v>47875.697999999997</v>
      </c>
      <c r="E1440" s="79">
        <v>10539.3</v>
      </c>
      <c r="F1440" s="79">
        <f>SUM(BASE_DATOS[[#This Row],[Capital($)]:[Interés
Resarcitorio($)]])</f>
        <v>89584.072</v>
      </c>
      <c r="G1440" s="8">
        <v>46382</v>
      </c>
      <c r="H1440" s="80" t="s">
        <v>77</v>
      </c>
      <c r="I1440" s="79" t="s">
        <v>7</v>
      </c>
      <c r="J1440" s="81">
        <v>84</v>
      </c>
      <c r="K1440" t="s">
        <v>46</v>
      </c>
    </row>
    <row r="1441" spans="2:11" x14ac:dyDescent="0.25">
      <c r="B1441" s="2">
        <v>26</v>
      </c>
      <c r="C1441" s="4">
        <v>31169.074000000001</v>
      </c>
      <c r="D1441" s="4">
        <v>47077.770000000004</v>
      </c>
      <c r="E1441" s="79">
        <v>0</v>
      </c>
      <c r="F1441" s="79">
        <f>SUM(BASE_DATOS[[#This Row],[Capital($)]:[Interés
Resarcitorio($)]])</f>
        <v>78246.844000000012</v>
      </c>
      <c r="G1441" s="8">
        <v>46403</v>
      </c>
      <c r="H1441" s="80" t="s">
        <v>77</v>
      </c>
      <c r="I1441" s="79" t="s">
        <v>6</v>
      </c>
      <c r="J1441" s="81">
        <v>84</v>
      </c>
      <c r="K1441" t="s">
        <v>46</v>
      </c>
    </row>
    <row r="1442" spans="2:11" x14ac:dyDescent="0.25">
      <c r="B1442" s="2">
        <f>+B1441</f>
        <v>26</v>
      </c>
      <c r="C1442" s="4">
        <v>31169.074000000001</v>
      </c>
      <c r="D1442" s="4">
        <v>47077.770000000004</v>
      </c>
      <c r="E1442" s="79">
        <v>10432.91</v>
      </c>
      <c r="F1442" s="79">
        <f>SUM(BASE_DATOS[[#This Row],[Capital($)]:[Interés
Resarcitorio($)]])</f>
        <v>88679.754000000015</v>
      </c>
      <c r="G1442" s="8">
        <v>46413</v>
      </c>
      <c r="H1442" s="80" t="s">
        <v>77</v>
      </c>
      <c r="I1442" s="79" t="s">
        <v>7</v>
      </c>
      <c r="J1442" s="81">
        <v>84</v>
      </c>
      <c r="K1442" t="s">
        <v>46</v>
      </c>
    </row>
    <row r="1443" spans="2:11" x14ac:dyDescent="0.25">
      <c r="B1443" s="2">
        <v>27</v>
      </c>
      <c r="C1443" s="4">
        <v>31169.074000000001</v>
      </c>
      <c r="D1443" s="4">
        <v>46279.841999999997</v>
      </c>
      <c r="E1443" s="79">
        <v>0</v>
      </c>
      <c r="F1443" s="79">
        <f>SUM(BASE_DATOS[[#This Row],[Capital($)]:[Interés
Resarcitorio($)]])</f>
        <v>77448.915999999997</v>
      </c>
      <c r="G1443" s="8">
        <v>46434</v>
      </c>
      <c r="H1443" s="80" t="s">
        <v>77</v>
      </c>
      <c r="I1443" s="79" t="s">
        <v>6</v>
      </c>
      <c r="J1443" s="81">
        <v>84</v>
      </c>
      <c r="K1443" t="s">
        <v>46</v>
      </c>
    </row>
    <row r="1444" spans="2:11" x14ac:dyDescent="0.25">
      <c r="B1444" s="2">
        <f>+B1443</f>
        <v>27</v>
      </c>
      <c r="C1444" s="4">
        <v>31169.074000000001</v>
      </c>
      <c r="D1444" s="4">
        <v>46279.841999999997</v>
      </c>
      <c r="E1444" s="79">
        <v>10326.52</v>
      </c>
      <c r="F1444" s="79">
        <f>SUM(BASE_DATOS[[#This Row],[Capital($)]:[Interés
Resarcitorio($)]])</f>
        <v>87775.436000000002</v>
      </c>
      <c r="G1444" s="8">
        <v>46444</v>
      </c>
      <c r="H1444" s="80" t="s">
        <v>77</v>
      </c>
      <c r="I1444" s="79" t="s">
        <v>7</v>
      </c>
      <c r="J1444" s="81">
        <v>84</v>
      </c>
      <c r="K1444" t="s">
        <v>46</v>
      </c>
    </row>
    <row r="1445" spans="2:11" x14ac:dyDescent="0.25">
      <c r="B1445" s="2">
        <v>28</v>
      </c>
      <c r="C1445" s="4">
        <v>31169.074000000001</v>
      </c>
      <c r="D1445" s="4">
        <v>45481.914000000004</v>
      </c>
      <c r="E1445" s="79">
        <v>0</v>
      </c>
      <c r="F1445" s="79">
        <f>SUM(BASE_DATOS[[#This Row],[Capital($)]:[Interés
Resarcitorio($)]])</f>
        <v>76650.988000000012</v>
      </c>
      <c r="G1445" s="8">
        <v>46462</v>
      </c>
      <c r="H1445" s="80" t="s">
        <v>77</v>
      </c>
      <c r="I1445" s="79" t="s">
        <v>6</v>
      </c>
      <c r="J1445" s="81">
        <v>84</v>
      </c>
      <c r="K1445" t="s">
        <v>46</v>
      </c>
    </row>
    <row r="1446" spans="2:11" x14ac:dyDescent="0.25">
      <c r="B1446" s="2">
        <f>+B1445</f>
        <v>28</v>
      </c>
      <c r="C1446" s="4">
        <v>31169.074000000001</v>
      </c>
      <c r="D1446" s="4">
        <v>45481.914000000004</v>
      </c>
      <c r="E1446" s="79">
        <v>10220.129999999999</v>
      </c>
      <c r="F1446" s="79">
        <f>SUM(BASE_DATOS[[#This Row],[Capital($)]:[Interés
Resarcitorio($)]])</f>
        <v>86871.118000000017</v>
      </c>
      <c r="G1446" s="8">
        <v>46472</v>
      </c>
      <c r="H1446" s="80" t="s">
        <v>77</v>
      </c>
      <c r="I1446" s="79" t="s">
        <v>7</v>
      </c>
      <c r="J1446" s="81">
        <v>84</v>
      </c>
      <c r="K1446" t="s">
        <v>46</v>
      </c>
    </row>
    <row r="1447" spans="2:11" x14ac:dyDescent="0.25">
      <c r="B1447" s="2">
        <v>29</v>
      </c>
      <c r="C1447" s="4">
        <v>31169.074000000001</v>
      </c>
      <c r="D1447" s="4">
        <v>44683.985000000001</v>
      </c>
      <c r="E1447" s="79">
        <v>0</v>
      </c>
      <c r="F1447" s="79">
        <f>SUM(BASE_DATOS[[#This Row],[Capital($)]:[Interés
Resarcitorio($)]])</f>
        <v>75853.059000000008</v>
      </c>
      <c r="G1447" s="8">
        <v>46493</v>
      </c>
      <c r="H1447" s="80" t="s">
        <v>77</v>
      </c>
      <c r="I1447" s="79" t="s">
        <v>6</v>
      </c>
      <c r="J1447" s="81">
        <v>84</v>
      </c>
      <c r="K1447" t="s">
        <v>46</v>
      </c>
    </row>
    <row r="1448" spans="2:11" x14ac:dyDescent="0.25">
      <c r="B1448" s="2">
        <f>+B1447</f>
        <v>29</v>
      </c>
      <c r="C1448" s="4">
        <v>31169.074000000001</v>
      </c>
      <c r="D1448" s="4">
        <v>44683.985000000001</v>
      </c>
      <c r="E1448" s="79">
        <v>10113.74</v>
      </c>
      <c r="F1448" s="79">
        <f>SUM(BASE_DATOS[[#This Row],[Capital($)]:[Interés
Resarcitorio($)]])</f>
        <v>85966.799000000014</v>
      </c>
      <c r="G1448" s="8">
        <v>46503</v>
      </c>
      <c r="H1448" s="80" t="s">
        <v>77</v>
      </c>
      <c r="I1448" s="79" t="s">
        <v>7</v>
      </c>
      <c r="J1448" s="81">
        <v>84</v>
      </c>
      <c r="K1448" t="s">
        <v>46</v>
      </c>
    </row>
    <row r="1449" spans="2:11" x14ac:dyDescent="0.25">
      <c r="B1449" s="2">
        <v>30</v>
      </c>
      <c r="C1449" s="4">
        <v>31169.074000000001</v>
      </c>
      <c r="D1449" s="4">
        <v>43886.057000000001</v>
      </c>
      <c r="E1449" s="79">
        <v>0</v>
      </c>
      <c r="F1449" s="79">
        <f>SUM(BASE_DATOS[[#This Row],[Capital($)]:[Interés
Resarcitorio($)]])</f>
        <v>75055.130999999994</v>
      </c>
      <c r="G1449" s="8">
        <v>46523</v>
      </c>
      <c r="H1449" s="80" t="s">
        <v>77</v>
      </c>
      <c r="I1449" s="79" t="s">
        <v>6</v>
      </c>
      <c r="J1449" s="81">
        <v>84</v>
      </c>
      <c r="K1449" t="s">
        <v>46</v>
      </c>
    </row>
    <row r="1450" spans="2:11" x14ac:dyDescent="0.25">
      <c r="B1450" s="2">
        <f>+B1449</f>
        <v>30</v>
      </c>
      <c r="C1450" s="4">
        <v>31169.074000000001</v>
      </c>
      <c r="D1450" s="4">
        <v>43886.057000000001</v>
      </c>
      <c r="E1450" s="79">
        <v>10007.35</v>
      </c>
      <c r="F1450" s="79">
        <f>SUM(BASE_DATOS[[#This Row],[Capital($)]:[Interés
Resarcitorio($)]])</f>
        <v>85062.481</v>
      </c>
      <c r="G1450" s="8">
        <v>46533</v>
      </c>
      <c r="H1450" s="80" t="s">
        <v>77</v>
      </c>
      <c r="I1450" s="79" t="s">
        <v>7</v>
      </c>
      <c r="J1450" s="81">
        <v>84</v>
      </c>
      <c r="K1450" t="s">
        <v>46</v>
      </c>
    </row>
    <row r="1451" spans="2:11" x14ac:dyDescent="0.25">
      <c r="B1451" s="2">
        <v>31</v>
      </c>
      <c r="C1451" s="4">
        <v>31169.074000000001</v>
      </c>
      <c r="D1451" s="4">
        <v>43088.129000000001</v>
      </c>
      <c r="E1451" s="79">
        <v>0</v>
      </c>
      <c r="F1451" s="79">
        <f>SUM(BASE_DATOS[[#This Row],[Capital($)]:[Interés
Resarcitorio($)]])</f>
        <v>74257.203000000009</v>
      </c>
      <c r="G1451" s="8">
        <v>46554</v>
      </c>
      <c r="H1451" s="80" t="s">
        <v>77</v>
      </c>
      <c r="I1451" s="79" t="s">
        <v>6</v>
      </c>
      <c r="J1451" s="81">
        <v>84</v>
      </c>
      <c r="K1451" t="s">
        <v>46</v>
      </c>
    </row>
    <row r="1452" spans="2:11" x14ac:dyDescent="0.25">
      <c r="B1452" s="2">
        <f>+B1451</f>
        <v>31</v>
      </c>
      <c r="C1452" s="4">
        <v>31169.074000000001</v>
      </c>
      <c r="D1452" s="4">
        <v>43088.129000000001</v>
      </c>
      <c r="E1452" s="79">
        <v>9900.9599999999991</v>
      </c>
      <c r="F1452" s="79">
        <f>SUM(BASE_DATOS[[#This Row],[Capital($)]:[Interés
Resarcitorio($)]])</f>
        <v>84158.163</v>
      </c>
      <c r="G1452" s="8">
        <v>46564</v>
      </c>
      <c r="H1452" s="80" t="s">
        <v>77</v>
      </c>
      <c r="I1452" s="79" t="s">
        <v>7</v>
      </c>
      <c r="J1452" s="81">
        <v>84</v>
      </c>
      <c r="K1452" t="s">
        <v>46</v>
      </c>
    </row>
    <row r="1453" spans="2:11" x14ac:dyDescent="0.25">
      <c r="B1453" s="2">
        <v>32</v>
      </c>
      <c r="C1453" s="4">
        <v>31169.074000000001</v>
      </c>
      <c r="D1453" s="4">
        <v>42290.2</v>
      </c>
      <c r="E1453" s="79">
        <v>0</v>
      </c>
      <c r="F1453" s="79">
        <f>SUM(BASE_DATOS[[#This Row],[Capital($)]:[Interés
Resarcitorio($)]])</f>
        <v>73459.274000000005</v>
      </c>
      <c r="G1453" s="8">
        <v>46584</v>
      </c>
      <c r="H1453" s="80" t="s">
        <v>77</v>
      </c>
      <c r="I1453" s="79" t="s">
        <v>6</v>
      </c>
      <c r="J1453" s="81">
        <v>84</v>
      </c>
      <c r="K1453" t="s">
        <v>46</v>
      </c>
    </row>
    <row r="1454" spans="2:11" x14ac:dyDescent="0.25">
      <c r="B1454" s="2">
        <f>+B1453</f>
        <v>32</v>
      </c>
      <c r="C1454" s="4">
        <v>31169.074000000001</v>
      </c>
      <c r="D1454" s="4">
        <v>42290.2</v>
      </c>
      <c r="E1454" s="79">
        <v>9794.57</v>
      </c>
      <c r="F1454" s="79">
        <f>SUM(BASE_DATOS[[#This Row],[Capital($)]:[Interés
Resarcitorio($)]])</f>
        <v>83253.844000000012</v>
      </c>
      <c r="G1454" s="8">
        <v>46594</v>
      </c>
      <c r="H1454" s="80" t="s">
        <v>77</v>
      </c>
      <c r="I1454" s="79" t="s">
        <v>7</v>
      </c>
      <c r="J1454" s="81">
        <v>84</v>
      </c>
      <c r="K1454" t="s">
        <v>46</v>
      </c>
    </row>
    <row r="1455" spans="2:11" x14ac:dyDescent="0.25">
      <c r="B1455" s="2">
        <v>33</v>
      </c>
      <c r="C1455" s="4">
        <v>31169.074000000001</v>
      </c>
      <c r="D1455" s="4">
        <v>41492.271999999997</v>
      </c>
      <c r="E1455" s="79">
        <v>0</v>
      </c>
      <c r="F1455" s="79">
        <f>SUM(BASE_DATOS[[#This Row],[Capital($)]:[Interés
Resarcitorio($)]])</f>
        <v>72661.34599999999</v>
      </c>
      <c r="G1455" s="8">
        <v>46615</v>
      </c>
      <c r="H1455" s="80" t="s">
        <v>77</v>
      </c>
      <c r="I1455" s="79" t="s">
        <v>6</v>
      </c>
      <c r="J1455" s="81">
        <v>84</v>
      </c>
      <c r="K1455" t="s">
        <v>46</v>
      </c>
    </row>
    <row r="1456" spans="2:11" x14ac:dyDescent="0.25">
      <c r="B1456" s="2">
        <f>+B1455</f>
        <v>33</v>
      </c>
      <c r="C1456" s="4">
        <v>31169.074000000001</v>
      </c>
      <c r="D1456" s="4">
        <v>41492.271999999997</v>
      </c>
      <c r="E1456" s="79">
        <v>9688.18</v>
      </c>
      <c r="F1456" s="79">
        <f>SUM(BASE_DATOS[[#This Row],[Capital($)]:[Interés
Resarcitorio($)]])</f>
        <v>82349.525999999983</v>
      </c>
      <c r="G1456" s="8">
        <v>46625</v>
      </c>
      <c r="H1456" s="80" t="s">
        <v>77</v>
      </c>
      <c r="I1456" s="79" t="s">
        <v>7</v>
      </c>
      <c r="J1456" s="81">
        <v>84</v>
      </c>
      <c r="K1456" t="s">
        <v>46</v>
      </c>
    </row>
    <row r="1457" spans="2:11" x14ac:dyDescent="0.25">
      <c r="B1457" s="2">
        <v>34</v>
      </c>
      <c r="C1457" s="4">
        <v>31169.074000000001</v>
      </c>
      <c r="D1457" s="4">
        <v>40694.343999999997</v>
      </c>
      <c r="E1457" s="79">
        <v>0</v>
      </c>
      <c r="F1457" s="79">
        <f>SUM(BASE_DATOS[[#This Row],[Capital($)]:[Interés
Resarcitorio($)]])</f>
        <v>71863.418000000005</v>
      </c>
      <c r="G1457" s="8">
        <v>46646</v>
      </c>
      <c r="H1457" s="80" t="s">
        <v>77</v>
      </c>
      <c r="I1457" s="79" t="s">
        <v>6</v>
      </c>
      <c r="J1457" s="81">
        <v>84</v>
      </c>
      <c r="K1457" t="s">
        <v>46</v>
      </c>
    </row>
    <row r="1458" spans="2:11" x14ac:dyDescent="0.25">
      <c r="B1458" s="2">
        <f>+B1457</f>
        <v>34</v>
      </c>
      <c r="C1458" s="4">
        <v>31169.074000000001</v>
      </c>
      <c r="D1458" s="4">
        <v>40694.343999999997</v>
      </c>
      <c r="E1458" s="79">
        <v>9581.7900000000009</v>
      </c>
      <c r="F1458" s="79">
        <f>SUM(BASE_DATOS[[#This Row],[Capital($)]:[Interés
Resarcitorio($)]])</f>
        <v>81445.208000000013</v>
      </c>
      <c r="G1458" s="8">
        <v>46656</v>
      </c>
      <c r="H1458" s="80" t="s">
        <v>77</v>
      </c>
      <c r="I1458" s="79" t="s">
        <v>7</v>
      </c>
      <c r="J1458" s="81">
        <v>84</v>
      </c>
      <c r="K1458" t="s">
        <v>46</v>
      </c>
    </row>
    <row r="1459" spans="2:11" x14ac:dyDescent="0.25">
      <c r="B1459" s="2">
        <v>35</v>
      </c>
      <c r="C1459" s="4">
        <v>31169.074000000001</v>
      </c>
      <c r="D1459" s="4">
        <v>39896.415000000001</v>
      </c>
      <c r="E1459" s="79">
        <v>0</v>
      </c>
      <c r="F1459" s="79">
        <f>SUM(BASE_DATOS[[#This Row],[Capital($)]:[Interés
Resarcitorio($)]])</f>
        <v>71065.489000000001</v>
      </c>
      <c r="G1459" s="8">
        <v>46676</v>
      </c>
      <c r="H1459" s="80" t="s">
        <v>77</v>
      </c>
      <c r="I1459" s="79" t="s">
        <v>6</v>
      </c>
      <c r="J1459" s="81">
        <v>84</v>
      </c>
      <c r="K1459" t="s">
        <v>46</v>
      </c>
    </row>
    <row r="1460" spans="2:11" x14ac:dyDescent="0.25">
      <c r="B1460" s="2">
        <f>+B1459</f>
        <v>35</v>
      </c>
      <c r="C1460" s="4">
        <v>31169.074000000001</v>
      </c>
      <c r="D1460" s="4">
        <v>39896.415000000001</v>
      </c>
      <c r="E1460" s="79">
        <v>9475.4</v>
      </c>
      <c r="F1460" s="79">
        <f>SUM(BASE_DATOS[[#This Row],[Capital($)]:[Interés
Resarcitorio($)]])</f>
        <v>80540.888999999996</v>
      </c>
      <c r="G1460" s="8">
        <v>46686</v>
      </c>
      <c r="H1460" s="80" t="s">
        <v>77</v>
      </c>
      <c r="I1460" s="79" t="s">
        <v>7</v>
      </c>
      <c r="J1460" s="81">
        <v>84</v>
      </c>
      <c r="K1460" t="s">
        <v>46</v>
      </c>
    </row>
    <row r="1461" spans="2:11" x14ac:dyDescent="0.25">
      <c r="B1461" s="2">
        <v>36</v>
      </c>
      <c r="C1461" s="4">
        <v>31169.074000000001</v>
      </c>
      <c r="D1461" s="4">
        <v>39098.487000000001</v>
      </c>
      <c r="E1461" s="79">
        <v>0</v>
      </c>
      <c r="F1461" s="79">
        <f>SUM(BASE_DATOS[[#This Row],[Capital($)]:[Interés
Resarcitorio($)]])</f>
        <v>70267.561000000002</v>
      </c>
      <c r="G1461" s="8">
        <v>46707</v>
      </c>
      <c r="H1461" s="80" t="s">
        <v>77</v>
      </c>
      <c r="I1461" s="79" t="s">
        <v>6</v>
      </c>
      <c r="J1461" s="81">
        <v>84</v>
      </c>
      <c r="K1461" t="s">
        <v>46</v>
      </c>
    </row>
    <row r="1462" spans="2:11" x14ac:dyDescent="0.25">
      <c r="B1462" s="2">
        <f>+B1461</f>
        <v>36</v>
      </c>
      <c r="C1462" s="4">
        <v>31169.074000000001</v>
      </c>
      <c r="D1462" s="4">
        <v>39098.487000000001</v>
      </c>
      <c r="E1462" s="79">
        <v>9369.01</v>
      </c>
      <c r="F1462" s="79">
        <f>SUM(BASE_DATOS[[#This Row],[Capital($)]:[Interés
Resarcitorio($)]])</f>
        <v>79636.570999999996</v>
      </c>
      <c r="G1462" s="8">
        <v>46717</v>
      </c>
      <c r="H1462" s="80" t="s">
        <v>77</v>
      </c>
      <c r="I1462" s="79" t="s">
        <v>7</v>
      </c>
      <c r="J1462" s="81">
        <v>84</v>
      </c>
      <c r="K1462" t="s">
        <v>46</v>
      </c>
    </row>
    <row r="1463" spans="2:11" x14ac:dyDescent="0.25">
      <c r="B1463" s="2">
        <v>37</v>
      </c>
      <c r="C1463" s="4">
        <v>31169.074000000001</v>
      </c>
      <c r="D1463" s="4">
        <v>38300.559000000001</v>
      </c>
      <c r="E1463" s="79">
        <v>0</v>
      </c>
      <c r="F1463" s="79">
        <f>SUM(BASE_DATOS[[#This Row],[Capital($)]:[Interés
Resarcitorio($)]])</f>
        <v>69469.633000000002</v>
      </c>
      <c r="G1463" s="8">
        <v>46737</v>
      </c>
      <c r="H1463" s="80" t="s">
        <v>77</v>
      </c>
      <c r="I1463" s="79" t="s">
        <v>6</v>
      </c>
      <c r="J1463" s="81">
        <v>84</v>
      </c>
      <c r="K1463" t="s">
        <v>46</v>
      </c>
    </row>
    <row r="1464" spans="2:11" x14ac:dyDescent="0.25">
      <c r="B1464" s="2">
        <f>+B1463</f>
        <v>37</v>
      </c>
      <c r="C1464" s="4">
        <v>31169.074000000001</v>
      </c>
      <c r="D1464" s="4">
        <v>38300.559000000001</v>
      </c>
      <c r="E1464" s="79">
        <v>9262.6200000000008</v>
      </c>
      <c r="F1464" s="79">
        <f>SUM(BASE_DATOS[[#This Row],[Capital($)]:[Interés
Resarcitorio($)]])</f>
        <v>78732.252999999997</v>
      </c>
      <c r="G1464" s="8">
        <v>46747</v>
      </c>
      <c r="H1464" s="80" t="s">
        <v>77</v>
      </c>
      <c r="I1464" s="79" t="s">
        <v>7</v>
      </c>
      <c r="J1464" s="81">
        <v>84</v>
      </c>
      <c r="K1464" t="s">
        <v>46</v>
      </c>
    </row>
    <row r="1465" spans="2:11" x14ac:dyDescent="0.25">
      <c r="B1465" s="2">
        <v>38</v>
      </c>
      <c r="C1465" s="4">
        <v>31169.074000000001</v>
      </c>
      <c r="D1465" s="4">
        <v>37502.631000000001</v>
      </c>
      <c r="E1465" s="79">
        <v>0</v>
      </c>
      <c r="F1465" s="79">
        <f>SUM(BASE_DATOS[[#This Row],[Capital($)]:[Interés
Resarcitorio($)]])</f>
        <v>68671.705000000002</v>
      </c>
      <c r="G1465" s="8">
        <v>46768</v>
      </c>
      <c r="H1465" s="80" t="s">
        <v>77</v>
      </c>
      <c r="I1465" s="79" t="s">
        <v>6</v>
      </c>
      <c r="J1465" s="81">
        <v>84</v>
      </c>
      <c r="K1465" t="s">
        <v>46</v>
      </c>
    </row>
    <row r="1466" spans="2:11" x14ac:dyDescent="0.25">
      <c r="B1466" s="2">
        <f>+B1465</f>
        <v>38</v>
      </c>
      <c r="C1466" s="4">
        <v>31169.074000000001</v>
      </c>
      <c r="D1466" s="4">
        <v>37502.631000000001</v>
      </c>
      <c r="E1466" s="79">
        <v>9156.23</v>
      </c>
      <c r="F1466" s="79">
        <f>SUM(BASE_DATOS[[#This Row],[Capital($)]:[Interés
Resarcitorio($)]])</f>
        <v>77827.934999999998</v>
      </c>
      <c r="G1466" s="8">
        <v>46778</v>
      </c>
      <c r="H1466" s="80" t="s">
        <v>77</v>
      </c>
      <c r="I1466" s="79" t="s">
        <v>7</v>
      </c>
      <c r="J1466" s="81">
        <v>84</v>
      </c>
      <c r="K1466" t="s">
        <v>46</v>
      </c>
    </row>
    <row r="1467" spans="2:11" x14ac:dyDescent="0.25">
      <c r="B1467" s="2">
        <v>39</v>
      </c>
      <c r="C1467" s="4">
        <v>31169.074000000001</v>
      </c>
      <c r="D1467" s="4">
        <v>36704.702000000005</v>
      </c>
      <c r="E1467" s="79">
        <v>0</v>
      </c>
      <c r="F1467" s="79">
        <f>SUM(BASE_DATOS[[#This Row],[Capital($)]:[Interés
Resarcitorio($)]])</f>
        <v>67873.776000000013</v>
      </c>
      <c r="G1467" s="8">
        <v>46799</v>
      </c>
      <c r="H1467" s="80" t="s">
        <v>77</v>
      </c>
      <c r="I1467" s="79" t="s">
        <v>6</v>
      </c>
      <c r="J1467" s="81">
        <v>84</v>
      </c>
      <c r="K1467" t="s">
        <v>46</v>
      </c>
    </row>
    <row r="1468" spans="2:11" x14ac:dyDescent="0.25">
      <c r="B1468" s="2">
        <f>+B1467</f>
        <v>39</v>
      </c>
      <c r="C1468" s="4">
        <v>31169.074000000001</v>
      </c>
      <c r="D1468" s="4">
        <v>36704.702000000005</v>
      </c>
      <c r="E1468" s="79">
        <v>9049.84</v>
      </c>
      <c r="F1468" s="79">
        <f>SUM(BASE_DATOS[[#This Row],[Capital($)]:[Interés
Resarcitorio($)]])</f>
        <v>76923.616000000009</v>
      </c>
      <c r="G1468" s="8">
        <v>46809</v>
      </c>
      <c r="H1468" s="80" t="s">
        <v>77</v>
      </c>
      <c r="I1468" s="79" t="s">
        <v>7</v>
      </c>
      <c r="J1468" s="81">
        <v>84</v>
      </c>
      <c r="K1468" t="s">
        <v>46</v>
      </c>
    </row>
    <row r="1469" spans="2:11" x14ac:dyDescent="0.25">
      <c r="B1469" s="2">
        <v>40</v>
      </c>
      <c r="C1469" s="4">
        <v>31169.074000000001</v>
      </c>
      <c r="D1469" s="4">
        <v>35906.773999999998</v>
      </c>
      <c r="E1469" s="79">
        <v>0</v>
      </c>
      <c r="F1469" s="79">
        <f>SUM(BASE_DATOS[[#This Row],[Capital($)]:[Interés
Resarcitorio($)]])</f>
        <v>67075.847999999998</v>
      </c>
      <c r="G1469" s="8">
        <v>46828</v>
      </c>
      <c r="H1469" s="80" t="s">
        <v>77</v>
      </c>
      <c r="I1469" s="79" t="s">
        <v>6</v>
      </c>
      <c r="J1469" s="81">
        <v>84</v>
      </c>
      <c r="K1469" t="s">
        <v>46</v>
      </c>
    </row>
    <row r="1470" spans="2:11" x14ac:dyDescent="0.25">
      <c r="B1470" s="2">
        <f>+B1469</f>
        <v>40</v>
      </c>
      <c r="C1470" s="4">
        <v>31169.074000000001</v>
      </c>
      <c r="D1470" s="4">
        <v>35906.773999999998</v>
      </c>
      <c r="E1470" s="79">
        <v>8943.4500000000007</v>
      </c>
      <c r="F1470" s="79">
        <f>SUM(BASE_DATOS[[#This Row],[Capital($)]:[Interés
Resarcitorio($)]])</f>
        <v>76019.297999999995</v>
      </c>
      <c r="G1470" s="8">
        <v>46838</v>
      </c>
      <c r="H1470" s="80" t="s">
        <v>77</v>
      </c>
      <c r="I1470" s="79" t="s">
        <v>7</v>
      </c>
      <c r="J1470" s="81">
        <v>84</v>
      </c>
      <c r="K1470" t="s">
        <v>46</v>
      </c>
    </row>
    <row r="1471" spans="2:11" x14ac:dyDescent="0.25">
      <c r="B1471" s="2">
        <v>41</v>
      </c>
      <c r="C1471" s="4">
        <v>31169.074000000001</v>
      </c>
      <c r="D1471" s="4">
        <v>35108.846000000005</v>
      </c>
      <c r="E1471" s="79">
        <v>0</v>
      </c>
      <c r="F1471" s="79">
        <f>SUM(BASE_DATOS[[#This Row],[Capital($)]:[Interés
Resarcitorio($)]])</f>
        <v>66277.920000000013</v>
      </c>
      <c r="G1471" s="8">
        <v>46859</v>
      </c>
      <c r="H1471" s="80" t="s">
        <v>77</v>
      </c>
      <c r="I1471" s="79" t="s">
        <v>6</v>
      </c>
      <c r="J1471" s="81">
        <v>84</v>
      </c>
      <c r="K1471" t="s">
        <v>46</v>
      </c>
    </row>
    <row r="1472" spans="2:11" x14ac:dyDescent="0.25">
      <c r="B1472" s="2">
        <f>+B1471</f>
        <v>41</v>
      </c>
      <c r="C1472" s="4">
        <v>31169.074000000001</v>
      </c>
      <c r="D1472" s="4">
        <v>35108.846000000005</v>
      </c>
      <c r="E1472" s="79">
        <v>8837.06</v>
      </c>
      <c r="F1472" s="79">
        <f>SUM(BASE_DATOS[[#This Row],[Capital($)]:[Interés
Resarcitorio($)]])</f>
        <v>75114.98000000001</v>
      </c>
      <c r="G1472" s="8">
        <v>46869</v>
      </c>
      <c r="H1472" s="80" t="s">
        <v>77</v>
      </c>
      <c r="I1472" s="79" t="s">
        <v>7</v>
      </c>
      <c r="J1472" s="81">
        <v>84</v>
      </c>
      <c r="K1472" t="s">
        <v>46</v>
      </c>
    </row>
    <row r="1473" spans="2:11" x14ac:dyDescent="0.25">
      <c r="B1473" s="2">
        <v>42</v>
      </c>
      <c r="C1473" s="4">
        <v>31169.074000000001</v>
      </c>
      <c r="D1473" s="4">
        <v>34310.917000000001</v>
      </c>
      <c r="E1473" s="79">
        <v>0</v>
      </c>
      <c r="F1473" s="79">
        <f>SUM(BASE_DATOS[[#This Row],[Capital($)]:[Interés
Resarcitorio($)]])</f>
        <v>65479.991000000002</v>
      </c>
      <c r="G1473" s="8">
        <v>46889</v>
      </c>
      <c r="H1473" s="80" t="s">
        <v>77</v>
      </c>
      <c r="I1473" s="79" t="s">
        <v>6</v>
      </c>
      <c r="J1473" s="81">
        <v>84</v>
      </c>
      <c r="K1473" t="s">
        <v>46</v>
      </c>
    </row>
    <row r="1474" spans="2:11" x14ac:dyDescent="0.25">
      <c r="B1474" s="2">
        <f>+B1473</f>
        <v>42</v>
      </c>
      <c r="C1474" s="4">
        <v>31169.074000000001</v>
      </c>
      <c r="D1474" s="4">
        <v>34310.917000000001</v>
      </c>
      <c r="E1474" s="79">
        <v>8730.67</v>
      </c>
      <c r="F1474" s="79">
        <f>SUM(BASE_DATOS[[#This Row],[Capital($)]:[Interés
Resarcitorio($)]])</f>
        <v>74210.661000000007</v>
      </c>
      <c r="G1474" s="8">
        <v>46899</v>
      </c>
      <c r="H1474" s="80" t="s">
        <v>77</v>
      </c>
      <c r="I1474" s="79" t="s">
        <v>7</v>
      </c>
      <c r="J1474" s="81">
        <v>84</v>
      </c>
      <c r="K1474" t="s">
        <v>46</v>
      </c>
    </row>
    <row r="1475" spans="2:11" x14ac:dyDescent="0.25">
      <c r="B1475" s="2">
        <v>43</v>
      </c>
      <c r="C1475" s="4">
        <v>31169.074000000001</v>
      </c>
      <c r="D1475" s="4">
        <v>33512.989000000001</v>
      </c>
      <c r="E1475" s="79">
        <v>0</v>
      </c>
      <c r="F1475" s="79">
        <f>SUM(BASE_DATOS[[#This Row],[Capital($)]:[Interés
Resarcitorio($)]])</f>
        <v>64682.063000000002</v>
      </c>
      <c r="G1475" s="8">
        <v>46920</v>
      </c>
      <c r="H1475" s="80" t="s">
        <v>77</v>
      </c>
      <c r="I1475" s="79" t="s">
        <v>6</v>
      </c>
      <c r="J1475" s="81">
        <v>84</v>
      </c>
      <c r="K1475" t="s">
        <v>46</v>
      </c>
    </row>
    <row r="1476" spans="2:11" x14ac:dyDescent="0.25">
      <c r="B1476" s="2">
        <f>+B1475</f>
        <v>43</v>
      </c>
      <c r="C1476" s="4">
        <v>31169.074000000001</v>
      </c>
      <c r="D1476" s="4">
        <v>33512.989000000001</v>
      </c>
      <c r="E1476" s="79">
        <v>8624.2800000000007</v>
      </c>
      <c r="F1476" s="79">
        <f>SUM(BASE_DATOS[[#This Row],[Capital($)]:[Interés
Resarcitorio($)]])</f>
        <v>73306.343000000008</v>
      </c>
      <c r="G1476" s="8">
        <v>46930</v>
      </c>
      <c r="H1476" s="80" t="s">
        <v>77</v>
      </c>
      <c r="I1476" s="79" t="s">
        <v>7</v>
      </c>
      <c r="J1476" s="81">
        <v>84</v>
      </c>
      <c r="K1476" t="s">
        <v>46</v>
      </c>
    </row>
    <row r="1477" spans="2:11" x14ac:dyDescent="0.25">
      <c r="B1477" s="2">
        <v>44</v>
      </c>
      <c r="C1477" s="4">
        <v>31169.074000000001</v>
      </c>
      <c r="D1477" s="4">
        <v>32715.060999999998</v>
      </c>
      <c r="E1477" s="79">
        <v>0</v>
      </c>
      <c r="F1477" s="79">
        <f>SUM(BASE_DATOS[[#This Row],[Capital($)]:[Interés
Resarcitorio($)]])</f>
        <v>63884.134999999995</v>
      </c>
      <c r="G1477" s="8">
        <v>46950</v>
      </c>
      <c r="H1477" s="80" t="s">
        <v>77</v>
      </c>
      <c r="I1477" s="79" t="s">
        <v>6</v>
      </c>
      <c r="J1477" s="81">
        <v>84</v>
      </c>
      <c r="K1477" t="s">
        <v>46</v>
      </c>
    </row>
    <row r="1478" spans="2:11" x14ac:dyDescent="0.25">
      <c r="B1478" s="2">
        <f>+B1477</f>
        <v>44</v>
      </c>
      <c r="C1478" s="4">
        <v>31169.074000000001</v>
      </c>
      <c r="D1478" s="4">
        <v>32715.060999999998</v>
      </c>
      <c r="E1478" s="79">
        <v>8517.8799999999992</v>
      </c>
      <c r="F1478" s="79">
        <f>SUM(BASE_DATOS[[#This Row],[Capital($)]:[Interés
Resarcitorio($)]])</f>
        <v>72402.014999999999</v>
      </c>
      <c r="G1478" s="8">
        <v>46960</v>
      </c>
      <c r="H1478" s="80" t="s">
        <v>77</v>
      </c>
      <c r="I1478" s="79" t="s">
        <v>7</v>
      </c>
      <c r="J1478" s="81">
        <v>84</v>
      </c>
      <c r="K1478" t="s">
        <v>46</v>
      </c>
    </row>
    <row r="1479" spans="2:11" x14ac:dyDescent="0.25">
      <c r="B1479" s="2">
        <v>45</v>
      </c>
      <c r="C1479" s="4">
        <v>31169.074000000001</v>
      </c>
      <c r="D1479" s="4">
        <v>31917.133000000002</v>
      </c>
      <c r="E1479" s="79">
        <v>0</v>
      </c>
      <c r="F1479" s="79">
        <f>SUM(BASE_DATOS[[#This Row],[Capital($)]:[Interés
Resarcitorio($)]])</f>
        <v>63086.207000000002</v>
      </c>
      <c r="G1479" s="8">
        <v>46981</v>
      </c>
      <c r="H1479" s="80" t="s">
        <v>77</v>
      </c>
      <c r="I1479" s="79" t="s">
        <v>6</v>
      </c>
      <c r="J1479" s="81">
        <v>84</v>
      </c>
      <c r="K1479" t="s">
        <v>46</v>
      </c>
    </row>
    <row r="1480" spans="2:11" x14ac:dyDescent="0.25">
      <c r="B1480" s="2">
        <f>+B1479</f>
        <v>45</v>
      </c>
      <c r="C1480" s="4">
        <v>31169.074000000001</v>
      </c>
      <c r="D1480" s="4">
        <v>31917.133000000002</v>
      </c>
      <c r="E1480" s="79">
        <v>8411.49</v>
      </c>
      <c r="F1480" s="79">
        <f>SUM(BASE_DATOS[[#This Row],[Capital($)]:[Interés
Resarcitorio($)]])</f>
        <v>71497.697</v>
      </c>
      <c r="G1480" s="8">
        <v>46991</v>
      </c>
      <c r="H1480" s="80" t="s">
        <v>77</v>
      </c>
      <c r="I1480" s="79" t="s">
        <v>7</v>
      </c>
      <c r="J1480" s="81">
        <v>84</v>
      </c>
      <c r="K1480" t="s">
        <v>46</v>
      </c>
    </row>
    <row r="1481" spans="2:11" x14ac:dyDescent="0.25">
      <c r="B1481" s="2">
        <v>46</v>
      </c>
      <c r="C1481" s="4">
        <v>31169.074000000001</v>
      </c>
      <c r="D1481" s="4">
        <v>31119.203999999998</v>
      </c>
      <c r="E1481" s="79">
        <v>0</v>
      </c>
      <c r="F1481" s="79">
        <f>SUM(BASE_DATOS[[#This Row],[Capital($)]:[Interés
Resarcitorio($)]])</f>
        <v>62288.277999999998</v>
      </c>
      <c r="G1481" s="8">
        <v>47012</v>
      </c>
      <c r="H1481" s="80" t="s">
        <v>77</v>
      </c>
      <c r="I1481" s="79" t="s">
        <v>6</v>
      </c>
      <c r="J1481" s="81">
        <v>84</v>
      </c>
      <c r="K1481" t="s">
        <v>46</v>
      </c>
    </row>
    <row r="1482" spans="2:11" x14ac:dyDescent="0.25">
      <c r="B1482" s="2">
        <f>+B1481</f>
        <v>46</v>
      </c>
      <c r="C1482" s="4">
        <v>31169.074000000001</v>
      </c>
      <c r="D1482" s="4">
        <v>31119.203999999998</v>
      </c>
      <c r="E1482" s="79">
        <v>8305.1</v>
      </c>
      <c r="F1482" s="79">
        <f>SUM(BASE_DATOS[[#This Row],[Capital($)]:[Interés
Resarcitorio($)]])</f>
        <v>70593.377999999997</v>
      </c>
      <c r="G1482" s="8">
        <v>47022</v>
      </c>
      <c r="H1482" s="80" t="s">
        <v>77</v>
      </c>
      <c r="I1482" s="79" t="s">
        <v>7</v>
      </c>
      <c r="J1482" s="81">
        <v>84</v>
      </c>
      <c r="K1482" t="s">
        <v>46</v>
      </c>
    </row>
    <row r="1483" spans="2:11" x14ac:dyDescent="0.25">
      <c r="B1483" s="2">
        <v>47</v>
      </c>
      <c r="C1483" s="4">
        <v>31169.074000000001</v>
      </c>
      <c r="D1483" s="4">
        <v>30321.276000000002</v>
      </c>
      <c r="E1483" s="79">
        <v>0</v>
      </c>
      <c r="F1483" s="79">
        <f>SUM(BASE_DATOS[[#This Row],[Capital($)]:[Interés
Resarcitorio($)]])</f>
        <v>61490.350000000006</v>
      </c>
      <c r="G1483" s="8">
        <v>47042</v>
      </c>
      <c r="H1483" s="80" t="s">
        <v>77</v>
      </c>
      <c r="I1483" s="79" t="s">
        <v>6</v>
      </c>
      <c r="J1483" s="81">
        <v>84</v>
      </c>
      <c r="K1483" t="s">
        <v>46</v>
      </c>
    </row>
    <row r="1484" spans="2:11" x14ac:dyDescent="0.25">
      <c r="B1484" s="2">
        <f>+B1483</f>
        <v>47</v>
      </c>
      <c r="C1484" s="4">
        <v>31169.074000000001</v>
      </c>
      <c r="D1484" s="4">
        <v>30321.276000000002</v>
      </c>
      <c r="E1484" s="79">
        <v>8198.7099999999991</v>
      </c>
      <c r="F1484" s="79">
        <f>SUM(BASE_DATOS[[#This Row],[Capital($)]:[Interés
Resarcitorio($)]])</f>
        <v>69689.06</v>
      </c>
      <c r="G1484" s="8">
        <v>47052</v>
      </c>
      <c r="H1484" s="80" t="s">
        <v>77</v>
      </c>
      <c r="I1484" s="79" t="s">
        <v>7</v>
      </c>
      <c r="J1484" s="81">
        <v>84</v>
      </c>
      <c r="K1484" t="s">
        <v>46</v>
      </c>
    </row>
    <row r="1485" spans="2:11" x14ac:dyDescent="0.25">
      <c r="B1485" s="2">
        <v>48</v>
      </c>
      <c r="C1485" s="4">
        <v>31169.074000000001</v>
      </c>
      <c r="D1485" s="4">
        <v>29523.347999999998</v>
      </c>
      <c r="E1485" s="79">
        <v>0</v>
      </c>
      <c r="F1485" s="79">
        <f>SUM(BASE_DATOS[[#This Row],[Capital($)]:[Interés
Resarcitorio($)]])</f>
        <v>60692.421999999999</v>
      </c>
      <c r="G1485" s="8">
        <v>47073</v>
      </c>
      <c r="H1485" s="80" t="s">
        <v>77</v>
      </c>
      <c r="I1485" s="79" t="s">
        <v>6</v>
      </c>
      <c r="J1485" s="81">
        <v>84</v>
      </c>
      <c r="K1485" t="s">
        <v>46</v>
      </c>
    </row>
    <row r="1486" spans="2:11" x14ac:dyDescent="0.25">
      <c r="B1486" s="2">
        <f>+B1485</f>
        <v>48</v>
      </c>
      <c r="C1486" s="4">
        <v>31169.074000000001</v>
      </c>
      <c r="D1486" s="4">
        <v>29523.347999999998</v>
      </c>
      <c r="E1486" s="79">
        <v>8092.32</v>
      </c>
      <c r="F1486" s="79">
        <f>SUM(BASE_DATOS[[#This Row],[Capital($)]:[Interés
Resarcitorio($)]])</f>
        <v>68784.741999999998</v>
      </c>
      <c r="G1486" s="8">
        <v>47083</v>
      </c>
      <c r="H1486" s="80" t="s">
        <v>77</v>
      </c>
      <c r="I1486" s="79" t="s">
        <v>7</v>
      </c>
      <c r="J1486" s="81">
        <v>84</v>
      </c>
      <c r="K1486" t="s">
        <v>46</v>
      </c>
    </row>
    <row r="1487" spans="2:11" x14ac:dyDescent="0.25">
      <c r="B1487" s="2">
        <v>49</v>
      </c>
      <c r="C1487" s="4">
        <v>31169.074000000001</v>
      </c>
      <c r="D1487" s="4">
        <v>28725.419000000002</v>
      </c>
      <c r="E1487" s="79">
        <v>0</v>
      </c>
      <c r="F1487" s="79">
        <f>SUM(BASE_DATOS[[#This Row],[Capital($)]:[Interés
Resarcitorio($)]])</f>
        <v>59894.493000000002</v>
      </c>
      <c r="G1487" s="8">
        <v>47103</v>
      </c>
      <c r="H1487" s="80" t="s">
        <v>77</v>
      </c>
      <c r="I1487" s="79" t="s">
        <v>6</v>
      </c>
      <c r="J1487" s="81">
        <v>84</v>
      </c>
      <c r="K1487" t="s">
        <v>46</v>
      </c>
    </row>
    <row r="1488" spans="2:11" x14ac:dyDescent="0.25">
      <c r="B1488" s="2">
        <f>+B1487</f>
        <v>49</v>
      </c>
      <c r="C1488" s="4">
        <v>31169.074000000001</v>
      </c>
      <c r="D1488" s="4">
        <v>28725.419000000002</v>
      </c>
      <c r="E1488" s="79">
        <v>7985.93</v>
      </c>
      <c r="F1488" s="79">
        <f>SUM(BASE_DATOS[[#This Row],[Capital($)]:[Interés
Resarcitorio($)]])</f>
        <v>67880.42300000001</v>
      </c>
      <c r="G1488" s="8">
        <v>47113</v>
      </c>
      <c r="H1488" s="80" t="s">
        <v>77</v>
      </c>
      <c r="I1488" s="79" t="s">
        <v>7</v>
      </c>
      <c r="J1488" s="81">
        <v>84</v>
      </c>
      <c r="K1488" t="s">
        <v>46</v>
      </c>
    </row>
    <row r="1489" spans="2:11" x14ac:dyDescent="0.25">
      <c r="B1489" s="2">
        <v>50</v>
      </c>
      <c r="C1489" s="4">
        <v>31169.074000000001</v>
      </c>
      <c r="D1489" s="4">
        <v>27927.490999999998</v>
      </c>
      <c r="E1489" s="79">
        <v>0</v>
      </c>
      <c r="F1489" s="79">
        <f>SUM(BASE_DATOS[[#This Row],[Capital($)]:[Interés
Resarcitorio($)]])</f>
        <v>59096.565000000002</v>
      </c>
      <c r="G1489" s="8">
        <v>47134</v>
      </c>
      <c r="H1489" s="80" t="s">
        <v>77</v>
      </c>
      <c r="I1489" s="79" t="s">
        <v>6</v>
      </c>
      <c r="J1489" s="81">
        <v>84</v>
      </c>
      <c r="K1489" t="s">
        <v>46</v>
      </c>
    </row>
    <row r="1490" spans="2:11" x14ac:dyDescent="0.25">
      <c r="B1490" s="2">
        <f>+B1489</f>
        <v>50</v>
      </c>
      <c r="C1490" s="4">
        <v>31169.074000000001</v>
      </c>
      <c r="D1490" s="4">
        <v>27927.490999999998</v>
      </c>
      <c r="E1490" s="79">
        <v>7879.54</v>
      </c>
      <c r="F1490" s="79">
        <f>SUM(BASE_DATOS[[#This Row],[Capital($)]:[Interés
Resarcitorio($)]])</f>
        <v>66976.104999999996</v>
      </c>
      <c r="G1490" s="8">
        <v>47144</v>
      </c>
      <c r="H1490" s="80" t="s">
        <v>77</v>
      </c>
      <c r="I1490" s="79" t="s">
        <v>7</v>
      </c>
      <c r="J1490" s="81">
        <v>84</v>
      </c>
      <c r="K1490" t="s">
        <v>46</v>
      </c>
    </row>
    <row r="1491" spans="2:11" x14ac:dyDescent="0.25">
      <c r="B1491" s="2">
        <v>51</v>
      </c>
      <c r="C1491" s="4">
        <v>31169.074000000001</v>
      </c>
      <c r="D1491" s="4">
        <v>27129.563000000002</v>
      </c>
      <c r="E1491" s="79">
        <v>0</v>
      </c>
      <c r="F1491" s="79">
        <f>SUM(BASE_DATOS[[#This Row],[Capital($)]:[Interés
Resarcitorio($)]])</f>
        <v>58298.637000000002</v>
      </c>
      <c r="G1491" s="8">
        <v>47165</v>
      </c>
      <c r="H1491" s="80" t="s">
        <v>77</v>
      </c>
      <c r="I1491" s="79" t="s">
        <v>6</v>
      </c>
      <c r="J1491" s="81">
        <v>84</v>
      </c>
      <c r="K1491" t="s">
        <v>46</v>
      </c>
    </row>
    <row r="1492" spans="2:11" x14ac:dyDescent="0.25">
      <c r="B1492" s="2">
        <f>+B1491</f>
        <v>51</v>
      </c>
      <c r="C1492" s="4">
        <v>31169.074000000001</v>
      </c>
      <c r="D1492" s="4">
        <v>27129.563000000002</v>
      </c>
      <c r="E1492" s="79">
        <v>7773.15</v>
      </c>
      <c r="F1492" s="79">
        <f>SUM(BASE_DATOS[[#This Row],[Capital($)]:[Interés
Resarcitorio($)]])</f>
        <v>66071.786999999997</v>
      </c>
      <c r="G1492" s="8">
        <v>47175</v>
      </c>
      <c r="H1492" s="80" t="s">
        <v>77</v>
      </c>
      <c r="I1492" s="79" t="s">
        <v>7</v>
      </c>
      <c r="J1492" s="81">
        <v>84</v>
      </c>
      <c r="K1492" t="s">
        <v>46</v>
      </c>
    </row>
    <row r="1493" spans="2:11" x14ac:dyDescent="0.25">
      <c r="B1493" s="2">
        <v>52</v>
      </c>
      <c r="C1493" s="4">
        <v>31169.074000000001</v>
      </c>
      <c r="D1493" s="4">
        <v>26331.634000000002</v>
      </c>
      <c r="E1493" s="79">
        <v>0</v>
      </c>
      <c r="F1493" s="79">
        <f>SUM(BASE_DATOS[[#This Row],[Capital($)]:[Interés
Resarcitorio($)]])</f>
        <v>57500.707999999999</v>
      </c>
      <c r="G1493" s="8">
        <v>47193</v>
      </c>
      <c r="H1493" s="80" t="s">
        <v>77</v>
      </c>
      <c r="I1493" s="79" t="s">
        <v>6</v>
      </c>
      <c r="J1493" s="81">
        <v>84</v>
      </c>
      <c r="K1493" t="s">
        <v>46</v>
      </c>
    </row>
    <row r="1494" spans="2:11" x14ac:dyDescent="0.25">
      <c r="B1494" s="2">
        <f>+B1493</f>
        <v>52</v>
      </c>
      <c r="C1494" s="4">
        <v>31169.074000000001</v>
      </c>
      <c r="D1494" s="4">
        <v>26331.634000000002</v>
      </c>
      <c r="E1494" s="79">
        <v>7666.76</v>
      </c>
      <c r="F1494" s="79">
        <f>SUM(BASE_DATOS[[#This Row],[Capital($)]:[Interés
Resarcitorio($)]])</f>
        <v>65167.468000000001</v>
      </c>
      <c r="G1494" s="8">
        <v>47203</v>
      </c>
      <c r="H1494" s="80" t="s">
        <v>77</v>
      </c>
      <c r="I1494" s="79" t="s">
        <v>7</v>
      </c>
      <c r="J1494" s="81">
        <v>84</v>
      </c>
      <c r="K1494" t="s">
        <v>46</v>
      </c>
    </row>
    <row r="1495" spans="2:11" x14ac:dyDescent="0.25">
      <c r="B1495" s="2">
        <v>53</v>
      </c>
      <c r="C1495" s="4">
        <v>31169.074000000001</v>
      </c>
      <c r="D1495" s="4">
        <v>25533.705999999998</v>
      </c>
      <c r="E1495" s="79">
        <v>0</v>
      </c>
      <c r="F1495" s="79">
        <f>SUM(BASE_DATOS[[#This Row],[Capital($)]:[Interés
Resarcitorio($)]])</f>
        <v>56702.78</v>
      </c>
      <c r="G1495" s="8">
        <v>47224</v>
      </c>
      <c r="H1495" s="80" t="s">
        <v>77</v>
      </c>
      <c r="I1495" s="79" t="s">
        <v>6</v>
      </c>
      <c r="J1495" s="81">
        <v>84</v>
      </c>
      <c r="K1495" t="s">
        <v>46</v>
      </c>
    </row>
    <row r="1496" spans="2:11" x14ac:dyDescent="0.25">
      <c r="B1496" s="2">
        <f>+B1495</f>
        <v>53</v>
      </c>
      <c r="C1496" s="4">
        <v>31169.074000000001</v>
      </c>
      <c r="D1496" s="4">
        <v>25533.705999999998</v>
      </c>
      <c r="E1496" s="79">
        <v>7560.37</v>
      </c>
      <c r="F1496" s="79">
        <f>SUM(BASE_DATOS[[#This Row],[Capital($)]:[Interés
Resarcitorio($)]])</f>
        <v>64263.15</v>
      </c>
      <c r="G1496" s="8">
        <v>47234</v>
      </c>
      <c r="H1496" s="80" t="s">
        <v>77</v>
      </c>
      <c r="I1496" s="79" t="s">
        <v>7</v>
      </c>
      <c r="J1496" s="81">
        <v>84</v>
      </c>
      <c r="K1496" t="s">
        <v>46</v>
      </c>
    </row>
    <row r="1497" spans="2:11" x14ac:dyDescent="0.25">
      <c r="B1497" s="2">
        <v>54</v>
      </c>
      <c r="C1497" s="4">
        <v>31169.074000000001</v>
      </c>
      <c r="D1497" s="4">
        <v>24735.777999999998</v>
      </c>
      <c r="E1497" s="79">
        <v>0</v>
      </c>
      <c r="F1497" s="79">
        <f>SUM(BASE_DATOS[[#This Row],[Capital($)]:[Interés
Resarcitorio($)]])</f>
        <v>55904.851999999999</v>
      </c>
      <c r="G1497" s="8">
        <v>47254</v>
      </c>
      <c r="H1497" s="80" t="s">
        <v>77</v>
      </c>
      <c r="I1497" s="79" t="s">
        <v>6</v>
      </c>
      <c r="J1497" s="81">
        <v>84</v>
      </c>
      <c r="K1497" t="s">
        <v>46</v>
      </c>
    </row>
    <row r="1498" spans="2:11" x14ac:dyDescent="0.25">
      <c r="B1498" s="2">
        <f>+B1497</f>
        <v>54</v>
      </c>
      <c r="C1498" s="4">
        <v>31169.074000000001</v>
      </c>
      <c r="D1498" s="4">
        <v>24735.777999999998</v>
      </c>
      <c r="E1498" s="79">
        <v>7453.98</v>
      </c>
      <c r="F1498" s="79">
        <f>SUM(BASE_DATOS[[#This Row],[Capital($)]:[Interés
Resarcitorio($)]])</f>
        <v>63358.831999999995</v>
      </c>
      <c r="G1498" s="8">
        <v>47264</v>
      </c>
      <c r="H1498" s="80" t="s">
        <v>77</v>
      </c>
      <c r="I1498" s="79" t="s">
        <v>7</v>
      </c>
      <c r="J1498" s="81">
        <v>84</v>
      </c>
      <c r="K1498" t="s">
        <v>46</v>
      </c>
    </row>
    <row r="1499" spans="2:11" x14ac:dyDescent="0.25">
      <c r="B1499" s="2">
        <v>55</v>
      </c>
      <c r="C1499" s="4">
        <v>31169.074000000001</v>
      </c>
      <c r="D1499" s="4">
        <v>23937.85</v>
      </c>
      <c r="E1499" s="79">
        <v>0</v>
      </c>
      <c r="F1499" s="79">
        <f>SUM(BASE_DATOS[[#This Row],[Capital($)]:[Interés
Resarcitorio($)]])</f>
        <v>55106.923999999999</v>
      </c>
      <c r="G1499" s="8">
        <v>47285</v>
      </c>
      <c r="H1499" s="80" t="s">
        <v>77</v>
      </c>
      <c r="I1499" s="79" t="s">
        <v>6</v>
      </c>
      <c r="J1499" s="81">
        <v>84</v>
      </c>
      <c r="K1499" t="s">
        <v>46</v>
      </c>
    </row>
    <row r="1500" spans="2:11" x14ac:dyDescent="0.25">
      <c r="B1500" s="2">
        <f>+B1499</f>
        <v>55</v>
      </c>
      <c r="C1500" s="4">
        <v>31169.074000000001</v>
      </c>
      <c r="D1500" s="4">
        <v>23937.85</v>
      </c>
      <c r="E1500" s="79">
        <v>7347.59</v>
      </c>
      <c r="F1500" s="79">
        <f>SUM(BASE_DATOS[[#This Row],[Capital($)]:[Interés
Resarcitorio($)]])</f>
        <v>62454.513999999996</v>
      </c>
      <c r="G1500" s="8">
        <v>47295</v>
      </c>
      <c r="H1500" s="80" t="s">
        <v>77</v>
      </c>
      <c r="I1500" s="79" t="s">
        <v>7</v>
      </c>
      <c r="J1500" s="81">
        <v>84</v>
      </c>
      <c r="K1500" t="s">
        <v>46</v>
      </c>
    </row>
    <row r="1501" spans="2:11" x14ac:dyDescent="0.25">
      <c r="B1501" s="2">
        <v>56</v>
      </c>
      <c r="C1501" s="4">
        <v>31169.074000000001</v>
      </c>
      <c r="D1501" s="4">
        <v>23139.920999999998</v>
      </c>
      <c r="E1501" s="79">
        <v>0</v>
      </c>
      <c r="F1501" s="79">
        <f>SUM(BASE_DATOS[[#This Row],[Capital($)]:[Interés
Resarcitorio($)]])</f>
        <v>54308.994999999995</v>
      </c>
      <c r="G1501" s="8">
        <v>47315</v>
      </c>
      <c r="H1501" s="80" t="s">
        <v>77</v>
      </c>
      <c r="I1501" s="79" t="s">
        <v>6</v>
      </c>
      <c r="J1501" s="81">
        <v>84</v>
      </c>
      <c r="K1501" t="s">
        <v>46</v>
      </c>
    </row>
    <row r="1502" spans="2:11" x14ac:dyDescent="0.25">
      <c r="B1502" s="2">
        <f>+B1501</f>
        <v>56</v>
      </c>
      <c r="C1502" s="4">
        <v>31169.074000000001</v>
      </c>
      <c r="D1502" s="4">
        <v>23139.920999999998</v>
      </c>
      <c r="E1502" s="79">
        <v>7241.2</v>
      </c>
      <c r="F1502" s="79">
        <f>SUM(BASE_DATOS[[#This Row],[Capital($)]:[Interés
Resarcitorio($)]])</f>
        <v>61550.194999999992</v>
      </c>
      <c r="G1502" s="8">
        <v>47325</v>
      </c>
      <c r="H1502" s="80" t="s">
        <v>77</v>
      </c>
      <c r="I1502" s="79" t="s">
        <v>7</v>
      </c>
      <c r="J1502" s="81">
        <v>84</v>
      </c>
      <c r="K1502" t="s">
        <v>46</v>
      </c>
    </row>
    <row r="1503" spans="2:11" x14ac:dyDescent="0.25">
      <c r="B1503" s="2">
        <v>57</v>
      </c>
      <c r="C1503" s="4">
        <v>31169.074000000001</v>
      </c>
      <c r="D1503" s="4">
        <v>22341.992999999999</v>
      </c>
      <c r="E1503" s="79">
        <v>0</v>
      </c>
      <c r="F1503" s="79">
        <f>SUM(BASE_DATOS[[#This Row],[Capital($)]:[Interés
Resarcitorio($)]])</f>
        <v>53511.066999999995</v>
      </c>
      <c r="G1503" s="8">
        <v>47346</v>
      </c>
      <c r="H1503" s="80" t="s">
        <v>77</v>
      </c>
      <c r="I1503" s="79" t="s">
        <v>6</v>
      </c>
      <c r="J1503" s="81">
        <v>84</v>
      </c>
      <c r="K1503" t="s">
        <v>46</v>
      </c>
    </row>
    <row r="1504" spans="2:11" x14ac:dyDescent="0.25">
      <c r="B1504" s="2">
        <f>+B1503</f>
        <v>57</v>
      </c>
      <c r="C1504" s="4">
        <v>31169.074000000001</v>
      </c>
      <c r="D1504" s="4">
        <v>22341.992999999999</v>
      </c>
      <c r="E1504" s="79">
        <v>7134.81</v>
      </c>
      <c r="F1504" s="79">
        <f>SUM(BASE_DATOS[[#This Row],[Capital($)]:[Interés
Resarcitorio($)]])</f>
        <v>60645.876999999993</v>
      </c>
      <c r="G1504" s="8">
        <v>47356</v>
      </c>
      <c r="H1504" s="80" t="s">
        <v>77</v>
      </c>
      <c r="I1504" s="79" t="s">
        <v>7</v>
      </c>
      <c r="J1504" s="81">
        <v>84</v>
      </c>
      <c r="K1504" t="s">
        <v>46</v>
      </c>
    </row>
    <row r="1505" spans="2:11" x14ac:dyDescent="0.25">
      <c r="B1505" s="2">
        <v>58</v>
      </c>
      <c r="C1505" s="4">
        <v>31169.074000000001</v>
      </c>
      <c r="D1505" s="4">
        <v>21544.064999999999</v>
      </c>
      <c r="E1505" s="79">
        <v>0</v>
      </c>
      <c r="F1505" s="79">
        <f>SUM(BASE_DATOS[[#This Row],[Capital($)]:[Interés
Resarcitorio($)]])</f>
        <v>52713.138999999996</v>
      </c>
      <c r="G1505" s="8">
        <v>47377</v>
      </c>
      <c r="H1505" s="80" t="s">
        <v>77</v>
      </c>
      <c r="I1505" s="79" t="s">
        <v>6</v>
      </c>
      <c r="J1505" s="81">
        <v>84</v>
      </c>
      <c r="K1505" t="s">
        <v>46</v>
      </c>
    </row>
    <row r="1506" spans="2:11" x14ac:dyDescent="0.25">
      <c r="B1506" s="2">
        <f>+B1505</f>
        <v>58</v>
      </c>
      <c r="C1506" s="4">
        <v>31169.074000000001</v>
      </c>
      <c r="D1506" s="4">
        <v>21544.064999999999</v>
      </c>
      <c r="E1506" s="79">
        <v>7028.42</v>
      </c>
      <c r="F1506" s="79">
        <f>SUM(BASE_DATOS[[#This Row],[Capital($)]:[Interés
Resarcitorio($)]])</f>
        <v>59741.558999999994</v>
      </c>
      <c r="G1506" s="8">
        <v>47387</v>
      </c>
      <c r="H1506" s="80" t="s">
        <v>77</v>
      </c>
      <c r="I1506" s="79" t="s">
        <v>7</v>
      </c>
      <c r="J1506" s="81">
        <v>84</v>
      </c>
      <c r="K1506" t="s">
        <v>46</v>
      </c>
    </row>
    <row r="1507" spans="2:11" x14ac:dyDescent="0.25">
      <c r="B1507" s="2">
        <v>59</v>
      </c>
      <c r="C1507" s="4">
        <v>31169.074000000001</v>
      </c>
      <c r="D1507" s="4">
        <v>20746.135999999999</v>
      </c>
      <c r="E1507" s="79">
        <v>0</v>
      </c>
      <c r="F1507" s="79">
        <f>SUM(BASE_DATOS[[#This Row],[Capital($)]:[Interés
Resarcitorio($)]])</f>
        <v>51915.21</v>
      </c>
      <c r="G1507" s="8">
        <v>47407</v>
      </c>
      <c r="H1507" s="80" t="s">
        <v>77</v>
      </c>
      <c r="I1507" s="79" t="s">
        <v>6</v>
      </c>
      <c r="J1507" s="81">
        <v>84</v>
      </c>
      <c r="K1507" t="s">
        <v>46</v>
      </c>
    </row>
    <row r="1508" spans="2:11" x14ac:dyDescent="0.25">
      <c r="B1508" s="2">
        <f>+B1507</f>
        <v>59</v>
      </c>
      <c r="C1508" s="4">
        <v>31169.074000000001</v>
      </c>
      <c r="D1508" s="4">
        <v>20746.135999999999</v>
      </c>
      <c r="E1508" s="79">
        <v>6922.03</v>
      </c>
      <c r="F1508" s="79">
        <f>SUM(BASE_DATOS[[#This Row],[Capital($)]:[Interés
Resarcitorio($)]])</f>
        <v>58837.24</v>
      </c>
      <c r="G1508" s="8">
        <v>47417</v>
      </c>
      <c r="H1508" s="80" t="s">
        <v>77</v>
      </c>
      <c r="I1508" s="79" t="s">
        <v>7</v>
      </c>
      <c r="J1508" s="81">
        <v>84</v>
      </c>
      <c r="K1508" t="s">
        <v>46</v>
      </c>
    </row>
    <row r="1509" spans="2:11" x14ac:dyDescent="0.25">
      <c r="B1509" s="2">
        <v>60</v>
      </c>
      <c r="C1509" s="4">
        <v>31169.074000000001</v>
      </c>
      <c r="D1509" s="4">
        <v>19948.207999999999</v>
      </c>
      <c r="E1509" s="79">
        <v>0</v>
      </c>
      <c r="F1509" s="79">
        <f>SUM(BASE_DATOS[[#This Row],[Capital($)]:[Interés
Resarcitorio($)]])</f>
        <v>51117.281999999999</v>
      </c>
      <c r="G1509" s="8">
        <v>47438</v>
      </c>
      <c r="H1509" s="80" t="s">
        <v>77</v>
      </c>
      <c r="I1509" s="79" t="s">
        <v>6</v>
      </c>
      <c r="J1509" s="81">
        <v>84</v>
      </c>
      <c r="K1509" t="s">
        <v>46</v>
      </c>
    </row>
    <row r="1510" spans="2:11" x14ac:dyDescent="0.25">
      <c r="B1510" s="2">
        <f>+B1509</f>
        <v>60</v>
      </c>
      <c r="C1510" s="4">
        <v>31169.074000000001</v>
      </c>
      <c r="D1510" s="4">
        <v>19948.207999999999</v>
      </c>
      <c r="E1510" s="79">
        <v>6815.64</v>
      </c>
      <c r="F1510" s="79">
        <f>SUM(BASE_DATOS[[#This Row],[Capital($)]:[Interés
Resarcitorio($)]])</f>
        <v>57932.921999999999</v>
      </c>
      <c r="G1510" s="8">
        <v>47448</v>
      </c>
      <c r="H1510" s="80" t="s">
        <v>77</v>
      </c>
      <c r="I1510" s="79" t="s">
        <v>7</v>
      </c>
      <c r="J1510" s="81">
        <v>84</v>
      </c>
      <c r="K1510" t="s">
        <v>46</v>
      </c>
    </row>
    <row r="1511" spans="2:11" x14ac:dyDescent="0.25">
      <c r="B1511" s="2">
        <v>61</v>
      </c>
      <c r="C1511" s="4">
        <v>31169.074000000001</v>
      </c>
      <c r="D1511" s="4">
        <v>19150.28</v>
      </c>
      <c r="E1511" s="79">
        <v>0</v>
      </c>
      <c r="F1511" s="79">
        <f>SUM(BASE_DATOS[[#This Row],[Capital($)]:[Interés
Resarcitorio($)]])</f>
        <v>50319.353999999999</v>
      </c>
      <c r="G1511" s="8">
        <v>47468</v>
      </c>
      <c r="H1511" s="80" t="s">
        <v>77</v>
      </c>
      <c r="I1511" s="79" t="s">
        <v>6</v>
      </c>
      <c r="J1511" s="81">
        <v>84</v>
      </c>
      <c r="K1511" t="s">
        <v>46</v>
      </c>
    </row>
    <row r="1512" spans="2:11" x14ac:dyDescent="0.25">
      <c r="B1512" s="2">
        <f>+B1511</f>
        <v>61</v>
      </c>
      <c r="C1512" s="4">
        <v>31169.074000000001</v>
      </c>
      <c r="D1512" s="4">
        <v>19150.28</v>
      </c>
      <c r="E1512" s="79">
        <v>6709.25</v>
      </c>
      <c r="F1512" s="79">
        <f>SUM(BASE_DATOS[[#This Row],[Capital($)]:[Interés
Resarcitorio($)]])</f>
        <v>57028.603999999999</v>
      </c>
      <c r="G1512" s="8">
        <v>47478</v>
      </c>
      <c r="H1512" s="80" t="s">
        <v>77</v>
      </c>
      <c r="I1512" s="79" t="s">
        <v>7</v>
      </c>
      <c r="J1512" s="81">
        <v>84</v>
      </c>
      <c r="K1512" t="s">
        <v>46</v>
      </c>
    </row>
    <row r="1513" spans="2:11" x14ac:dyDescent="0.25">
      <c r="B1513" s="2">
        <v>62</v>
      </c>
      <c r="C1513" s="4">
        <v>31169.074000000001</v>
      </c>
      <c r="D1513" s="4">
        <v>18352.351999999999</v>
      </c>
      <c r="E1513" s="79">
        <v>0</v>
      </c>
      <c r="F1513" s="79">
        <f>SUM(BASE_DATOS[[#This Row],[Capital($)]:[Interés
Resarcitorio($)]])</f>
        <v>49521.425999999999</v>
      </c>
      <c r="G1513" s="8">
        <v>47499</v>
      </c>
      <c r="H1513" s="80" t="s">
        <v>77</v>
      </c>
      <c r="I1513" s="79" t="s">
        <v>6</v>
      </c>
      <c r="J1513" s="81">
        <v>84</v>
      </c>
      <c r="K1513" t="s">
        <v>46</v>
      </c>
    </row>
    <row r="1514" spans="2:11" x14ac:dyDescent="0.25">
      <c r="B1514" s="2">
        <f>+B1513</f>
        <v>62</v>
      </c>
      <c r="C1514" s="4">
        <v>31169.074000000001</v>
      </c>
      <c r="D1514" s="4">
        <v>18352.351999999999</v>
      </c>
      <c r="E1514" s="79">
        <v>6602.86</v>
      </c>
      <c r="F1514" s="79">
        <f>SUM(BASE_DATOS[[#This Row],[Capital($)]:[Interés
Resarcitorio($)]])</f>
        <v>56124.286</v>
      </c>
      <c r="G1514" s="8">
        <v>47509</v>
      </c>
      <c r="H1514" s="80" t="s">
        <v>77</v>
      </c>
      <c r="I1514" s="79" t="s">
        <v>7</v>
      </c>
      <c r="J1514" s="81">
        <v>84</v>
      </c>
      <c r="K1514" t="s">
        <v>46</v>
      </c>
    </row>
    <row r="1515" spans="2:11" x14ac:dyDescent="0.25">
      <c r="B1515" s="2">
        <v>63</v>
      </c>
      <c r="C1515" s="4">
        <v>31169.074000000001</v>
      </c>
      <c r="D1515" s="4">
        <v>17554.423000000003</v>
      </c>
      <c r="E1515" s="79">
        <v>0</v>
      </c>
      <c r="F1515" s="79">
        <f>SUM(BASE_DATOS[[#This Row],[Capital($)]:[Interés
Resarcitorio($)]])</f>
        <v>48723.497000000003</v>
      </c>
      <c r="G1515" s="8">
        <v>47530</v>
      </c>
      <c r="H1515" s="80" t="s">
        <v>77</v>
      </c>
      <c r="I1515" s="79" t="s">
        <v>6</v>
      </c>
      <c r="J1515" s="81">
        <v>84</v>
      </c>
      <c r="K1515" t="s">
        <v>46</v>
      </c>
    </row>
    <row r="1516" spans="2:11" x14ac:dyDescent="0.25">
      <c r="B1516" s="2">
        <f>+B1515</f>
        <v>63</v>
      </c>
      <c r="C1516" s="4">
        <v>31169.074000000001</v>
      </c>
      <c r="D1516" s="4">
        <v>17554.423000000003</v>
      </c>
      <c r="E1516" s="79">
        <v>6496.47</v>
      </c>
      <c r="F1516" s="79">
        <f>SUM(BASE_DATOS[[#This Row],[Capital($)]:[Interés
Resarcitorio($)]])</f>
        <v>55219.967000000004</v>
      </c>
      <c r="G1516" s="8">
        <v>47540</v>
      </c>
      <c r="H1516" s="80" t="s">
        <v>77</v>
      </c>
      <c r="I1516" s="79" t="s">
        <v>7</v>
      </c>
      <c r="J1516" s="81">
        <v>84</v>
      </c>
      <c r="K1516" t="s">
        <v>46</v>
      </c>
    </row>
    <row r="1517" spans="2:11" x14ac:dyDescent="0.25">
      <c r="B1517" s="2">
        <v>64</v>
      </c>
      <c r="C1517" s="4">
        <v>31169.074000000001</v>
      </c>
      <c r="D1517" s="4">
        <v>16756.495000000003</v>
      </c>
      <c r="E1517" s="79">
        <v>0</v>
      </c>
      <c r="F1517" s="79">
        <f>SUM(BASE_DATOS[[#This Row],[Capital($)]:[Interés
Resarcitorio($)]])</f>
        <v>47925.569000000003</v>
      </c>
      <c r="G1517" s="8">
        <v>47558</v>
      </c>
      <c r="H1517" s="80" t="s">
        <v>77</v>
      </c>
      <c r="I1517" s="79" t="s">
        <v>6</v>
      </c>
      <c r="J1517" s="81">
        <v>84</v>
      </c>
      <c r="K1517" t="s">
        <v>46</v>
      </c>
    </row>
    <row r="1518" spans="2:11" x14ac:dyDescent="0.25">
      <c r="B1518" s="2">
        <f>+B1517</f>
        <v>64</v>
      </c>
      <c r="C1518" s="4">
        <v>31169.074000000001</v>
      </c>
      <c r="D1518" s="4">
        <v>16756.495000000003</v>
      </c>
      <c r="E1518" s="79">
        <v>6390.08</v>
      </c>
      <c r="F1518" s="79">
        <f>SUM(BASE_DATOS[[#This Row],[Capital($)]:[Interés
Resarcitorio($)]])</f>
        <v>54315.649000000005</v>
      </c>
      <c r="G1518" s="8">
        <v>47568</v>
      </c>
      <c r="H1518" s="80" t="s">
        <v>77</v>
      </c>
      <c r="I1518" s="79" t="s">
        <v>7</v>
      </c>
      <c r="J1518" s="81">
        <v>84</v>
      </c>
      <c r="K1518" t="s">
        <v>46</v>
      </c>
    </row>
    <row r="1519" spans="2:11" x14ac:dyDescent="0.25">
      <c r="B1519" s="2">
        <v>65</v>
      </c>
      <c r="C1519" s="4">
        <v>31169.074000000001</v>
      </c>
      <c r="D1519" s="4">
        <v>15958.567000000001</v>
      </c>
      <c r="E1519" s="79">
        <v>0</v>
      </c>
      <c r="F1519" s="79">
        <f>SUM(BASE_DATOS[[#This Row],[Capital($)]:[Interés
Resarcitorio($)]])</f>
        <v>47127.641000000003</v>
      </c>
      <c r="G1519" s="8">
        <v>47589</v>
      </c>
      <c r="H1519" s="80" t="s">
        <v>77</v>
      </c>
      <c r="I1519" s="79" t="s">
        <v>6</v>
      </c>
      <c r="J1519" s="81">
        <v>84</v>
      </c>
      <c r="K1519" t="s">
        <v>46</v>
      </c>
    </row>
    <row r="1520" spans="2:11" x14ac:dyDescent="0.25">
      <c r="B1520" s="2">
        <f>+B1519</f>
        <v>65</v>
      </c>
      <c r="C1520" s="4">
        <v>31169.074000000001</v>
      </c>
      <c r="D1520" s="4">
        <v>15958.567000000001</v>
      </c>
      <c r="E1520" s="79">
        <v>6283.69</v>
      </c>
      <c r="F1520" s="79">
        <f>SUM(BASE_DATOS[[#This Row],[Capital($)]:[Interés
Resarcitorio($)]])</f>
        <v>53411.331000000006</v>
      </c>
      <c r="G1520" s="8">
        <v>47599</v>
      </c>
      <c r="H1520" s="80" t="s">
        <v>77</v>
      </c>
      <c r="I1520" s="79" t="s">
        <v>7</v>
      </c>
      <c r="J1520" s="81">
        <v>84</v>
      </c>
      <c r="K1520" t="s">
        <v>46</v>
      </c>
    </row>
    <row r="1521" spans="2:11" x14ac:dyDescent="0.25">
      <c r="B1521" s="2">
        <v>66</v>
      </c>
      <c r="C1521" s="4">
        <v>31169.074000000001</v>
      </c>
      <c r="D1521" s="4">
        <v>15160.638000000001</v>
      </c>
      <c r="E1521" s="79">
        <v>0</v>
      </c>
      <c r="F1521" s="79">
        <f>SUM(BASE_DATOS[[#This Row],[Capital($)]:[Interés
Resarcitorio($)]])</f>
        <v>46329.712</v>
      </c>
      <c r="G1521" s="8">
        <v>47619</v>
      </c>
      <c r="H1521" s="80" t="s">
        <v>77</v>
      </c>
      <c r="I1521" s="79" t="s">
        <v>6</v>
      </c>
      <c r="J1521" s="81">
        <v>84</v>
      </c>
      <c r="K1521" t="s">
        <v>46</v>
      </c>
    </row>
    <row r="1522" spans="2:11" x14ac:dyDescent="0.25">
      <c r="B1522" s="2">
        <f>+B1521</f>
        <v>66</v>
      </c>
      <c r="C1522" s="4">
        <v>31169.074000000001</v>
      </c>
      <c r="D1522" s="4">
        <v>15160.638000000001</v>
      </c>
      <c r="E1522" s="79">
        <v>6177.29</v>
      </c>
      <c r="F1522" s="79">
        <f>SUM(BASE_DATOS[[#This Row],[Capital($)]:[Interés
Resarcitorio($)]])</f>
        <v>52507.002</v>
      </c>
      <c r="G1522" s="8">
        <v>47629</v>
      </c>
      <c r="H1522" s="80" t="s">
        <v>77</v>
      </c>
      <c r="I1522" s="79" t="s">
        <v>7</v>
      </c>
      <c r="J1522" s="81">
        <v>84</v>
      </c>
      <c r="K1522" t="s">
        <v>46</v>
      </c>
    </row>
    <row r="1523" spans="2:11" x14ac:dyDescent="0.25">
      <c r="B1523" s="2">
        <v>67</v>
      </c>
      <c r="C1523" s="4">
        <v>31169.074000000001</v>
      </c>
      <c r="D1523" s="4">
        <v>14362.710000000001</v>
      </c>
      <c r="E1523" s="79">
        <v>0</v>
      </c>
      <c r="F1523" s="79">
        <f>SUM(BASE_DATOS[[#This Row],[Capital($)]:[Interés
Resarcitorio($)]])</f>
        <v>45531.784</v>
      </c>
      <c r="G1523" s="8">
        <v>47650</v>
      </c>
      <c r="H1523" s="80" t="s">
        <v>77</v>
      </c>
      <c r="I1523" s="79" t="s">
        <v>6</v>
      </c>
      <c r="J1523" s="81">
        <v>84</v>
      </c>
      <c r="K1523" t="s">
        <v>46</v>
      </c>
    </row>
    <row r="1524" spans="2:11" x14ac:dyDescent="0.25">
      <c r="B1524" s="2">
        <f>+B1523</f>
        <v>67</v>
      </c>
      <c r="C1524" s="4">
        <v>31169.074000000001</v>
      </c>
      <c r="D1524" s="4">
        <v>14362.710000000001</v>
      </c>
      <c r="E1524" s="79">
        <v>6070.9</v>
      </c>
      <c r="F1524" s="79">
        <f>SUM(BASE_DATOS[[#This Row],[Capital($)]:[Interés
Resarcitorio($)]])</f>
        <v>51602.684000000001</v>
      </c>
      <c r="G1524" s="8">
        <v>47660</v>
      </c>
      <c r="H1524" s="80" t="s">
        <v>77</v>
      </c>
      <c r="I1524" s="79" t="s">
        <v>7</v>
      </c>
      <c r="J1524" s="81">
        <v>84</v>
      </c>
      <c r="K1524" t="s">
        <v>46</v>
      </c>
    </row>
    <row r="1525" spans="2:11" x14ac:dyDescent="0.25">
      <c r="B1525" s="2">
        <v>68</v>
      </c>
      <c r="C1525" s="4">
        <v>31169.074000000001</v>
      </c>
      <c r="D1525" s="4">
        <v>13564.782000000001</v>
      </c>
      <c r="E1525" s="79">
        <v>0</v>
      </c>
      <c r="F1525" s="79">
        <f>SUM(BASE_DATOS[[#This Row],[Capital($)]:[Interés
Resarcitorio($)]])</f>
        <v>44733.856</v>
      </c>
      <c r="G1525" s="8">
        <v>47680</v>
      </c>
      <c r="H1525" s="80" t="s">
        <v>77</v>
      </c>
      <c r="I1525" s="79" t="s">
        <v>6</v>
      </c>
      <c r="J1525" s="81">
        <v>84</v>
      </c>
      <c r="K1525" t="s">
        <v>46</v>
      </c>
    </row>
    <row r="1526" spans="2:11" x14ac:dyDescent="0.25">
      <c r="B1526" s="2">
        <f>+B1525</f>
        <v>68</v>
      </c>
      <c r="C1526" s="4">
        <v>31169.074000000001</v>
      </c>
      <c r="D1526" s="4">
        <v>13564.782000000001</v>
      </c>
      <c r="E1526" s="79">
        <v>5964.51</v>
      </c>
      <c r="F1526" s="79">
        <f>SUM(BASE_DATOS[[#This Row],[Capital($)]:[Interés
Resarcitorio($)]])</f>
        <v>50698.366000000002</v>
      </c>
      <c r="G1526" s="8">
        <v>47690</v>
      </c>
      <c r="H1526" s="80" t="s">
        <v>77</v>
      </c>
      <c r="I1526" s="79" t="s">
        <v>7</v>
      </c>
      <c r="J1526" s="81">
        <v>84</v>
      </c>
      <c r="K1526" t="s">
        <v>46</v>
      </c>
    </row>
    <row r="1527" spans="2:11" x14ac:dyDescent="0.25">
      <c r="B1527" s="2">
        <v>69</v>
      </c>
      <c r="C1527" s="4">
        <v>31169.074000000001</v>
      </c>
      <c r="D1527" s="4">
        <v>12766.852999999999</v>
      </c>
      <c r="E1527" s="79">
        <v>0</v>
      </c>
      <c r="F1527" s="79">
        <f>SUM(BASE_DATOS[[#This Row],[Capital($)]:[Interés
Resarcitorio($)]])</f>
        <v>43935.926999999996</v>
      </c>
      <c r="G1527" s="8">
        <v>47711</v>
      </c>
      <c r="H1527" s="80" t="s">
        <v>77</v>
      </c>
      <c r="I1527" s="79" t="s">
        <v>6</v>
      </c>
      <c r="J1527" s="81">
        <v>84</v>
      </c>
      <c r="K1527" t="s">
        <v>46</v>
      </c>
    </row>
    <row r="1528" spans="2:11" x14ac:dyDescent="0.25">
      <c r="B1528" s="2">
        <f>+B1527</f>
        <v>69</v>
      </c>
      <c r="C1528" s="4">
        <v>31169.074000000001</v>
      </c>
      <c r="D1528" s="4">
        <v>12766.852999999999</v>
      </c>
      <c r="E1528" s="79">
        <v>5858.12</v>
      </c>
      <c r="F1528" s="79">
        <f>SUM(BASE_DATOS[[#This Row],[Capital($)]:[Interés
Resarcitorio($)]])</f>
        <v>49794.046999999999</v>
      </c>
      <c r="G1528" s="8">
        <v>47721</v>
      </c>
      <c r="H1528" s="80" t="s">
        <v>77</v>
      </c>
      <c r="I1528" s="79" t="s">
        <v>7</v>
      </c>
      <c r="J1528" s="81">
        <v>84</v>
      </c>
      <c r="K1528" t="s">
        <v>46</v>
      </c>
    </row>
    <row r="1529" spans="2:11" x14ac:dyDescent="0.25">
      <c r="B1529" s="2">
        <v>70</v>
      </c>
      <c r="C1529" s="4">
        <v>31169.074000000001</v>
      </c>
      <c r="D1529" s="4">
        <v>11968.924999999999</v>
      </c>
      <c r="E1529" s="79">
        <v>0</v>
      </c>
      <c r="F1529" s="79">
        <f>SUM(BASE_DATOS[[#This Row],[Capital($)]:[Interés
Resarcitorio($)]])</f>
        <v>43137.998999999996</v>
      </c>
      <c r="G1529" s="8">
        <v>47742</v>
      </c>
      <c r="H1529" s="80" t="s">
        <v>77</v>
      </c>
      <c r="I1529" s="79" t="s">
        <v>6</v>
      </c>
      <c r="J1529" s="81">
        <v>84</v>
      </c>
      <c r="K1529" t="s">
        <v>46</v>
      </c>
    </row>
    <row r="1530" spans="2:11" x14ac:dyDescent="0.25">
      <c r="B1530" s="2">
        <f>+B1529</f>
        <v>70</v>
      </c>
      <c r="C1530" s="4">
        <v>31169.074000000001</v>
      </c>
      <c r="D1530" s="4">
        <v>11968.924999999999</v>
      </c>
      <c r="E1530" s="79">
        <v>5751.73</v>
      </c>
      <c r="F1530" s="79">
        <f>SUM(BASE_DATOS[[#This Row],[Capital($)]:[Interés
Resarcitorio($)]])</f>
        <v>48889.728999999992</v>
      </c>
      <c r="G1530" s="8">
        <v>47752</v>
      </c>
      <c r="H1530" s="80" t="s">
        <v>77</v>
      </c>
      <c r="I1530" s="79" t="s">
        <v>7</v>
      </c>
      <c r="J1530" s="81">
        <v>84</v>
      </c>
      <c r="K1530" t="s">
        <v>46</v>
      </c>
    </row>
    <row r="1531" spans="2:11" x14ac:dyDescent="0.25">
      <c r="B1531" s="2">
        <v>71</v>
      </c>
      <c r="C1531" s="4">
        <v>31169.074000000001</v>
      </c>
      <c r="D1531" s="4">
        <v>11170.996999999999</v>
      </c>
      <c r="E1531" s="79">
        <v>0</v>
      </c>
      <c r="F1531" s="79">
        <f>SUM(BASE_DATOS[[#This Row],[Capital($)]:[Interés
Resarcitorio($)]])</f>
        <v>42340.070999999996</v>
      </c>
      <c r="G1531" s="8">
        <v>47772</v>
      </c>
      <c r="H1531" s="80" t="s">
        <v>77</v>
      </c>
      <c r="I1531" s="79" t="s">
        <v>6</v>
      </c>
      <c r="J1531" s="81">
        <v>84</v>
      </c>
      <c r="K1531" t="s">
        <v>46</v>
      </c>
    </row>
    <row r="1532" spans="2:11" x14ac:dyDescent="0.25">
      <c r="B1532" s="2">
        <f>+B1531</f>
        <v>71</v>
      </c>
      <c r="C1532" s="4">
        <v>31169.074000000001</v>
      </c>
      <c r="D1532" s="4">
        <v>11170.996999999999</v>
      </c>
      <c r="E1532" s="79">
        <v>5645.34</v>
      </c>
      <c r="F1532" s="79">
        <f>SUM(BASE_DATOS[[#This Row],[Capital($)]:[Interés
Resarcitorio($)]])</f>
        <v>47985.410999999993</v>
      </c>
      <c r="G1532" s="8">
        <v>47782</v>
      </c>
      <c r="H1532" s="80" t="s">
        <v>77</v>
      </c>
      <c r="I1532" s="79" t="s">
        <v>7</v>
      </c>
      <c r="J1532" s="81">
        <v>84</v>
      </c>
      <c r="K1532" t="s">
        <v>46</v>
      </c>
    </row>
    <row r="1533" spans="2:11" x14ac:dyDescent="0.25">
      <c r="B1533" s="2">
        <v>72</v>
      </c>
      <c r="C1533" s="4">
        <v>31169.074000000001</v>
      </c>
      <c r="D1533" s="4">
        <v>10373.069</v>
      </c>
      <c r="E1533" s="79">
        <v>0</v>
      </c>
      <c r="F1533" s="79">
        <f>SUM(BASE_DATOS[[#This Row],[Capital($)]:[Interés
Resarcitorio($)]])</f>
        <v>41542.142999999996</v>
      </c>
      <c r="G1533" s="8">
        <v>47803</v>
      </c>
      <c r="H1533" s="80" t="s">
        <v>77</v>
      </c>
      <c r="I1533" s="79" t="s">
        <v>6</v>
      </c>
      <c r="J1533" s="81">
        <v>84</v>
      </c>
      <c r="K1533" t="s">
        <v>46</v>
      </c>
    </row>
    <row r="1534" spans="2:11" x14ac:dyDescent="0.25">
      <c r="B1534" s="2">
        <f>+B1533</f>
        <v>72</v>
      </c>
      <c r="C1534" s="4">
        <v>31169.074000000001</v>
      </c>
      <c r="D1534" s="4">
        <v>10373.069</v>
      </c>
      <c r="E1534" s="79">
        <v>5538.95</v>
      </c>
      <c r="F1534" s="79">
        <f>SUM(BASE_DATOS[[#This Row],[Capital($)]:[Interés
Resarcitorio($)]])</f>
        <v>47081.092999999993</v>
      </c>
      <c r="G1534" s="8">
        <v>47813</v>
      </c>
      <c r="H1534" s="80" t="s">
        <v>77</v>
      </c>
      <c r="I1534" s="79" t="s">
        <v>7</v>
      </c>
      <c r="J1534" s="81">
        <v>84</v>
      </c>
      <c r="K1534" t="s">
        <v>46</v>
      </c>
    </row>
    <row r="1535" spans="2:11" x14ac:dyDescent="0.25">
      <c r="B1535" s="2">
        <v>73</v>
      </c>
      <c r="C1535" s="4">
        <v>31169.074000000001</v>
      </c>
      <c r="D1535" s="4">
        <v>9575.14</v>
      </c>
      <c r="E1535" s="79">
        <v>0</v>
      </c>
      <c r="F1535" s="79">
        <f>SUM(BASE_DATOS[[#This Row],[Capital($)]:[Interés
Resarcitorio($)]])</f>
        <v>40744.214</v>
      </c>
      <c r="G1535" s="8">
        <v>47833</v>
      </c>
      <c r="H1535" s="80" t="s">
        <v>77</v>
      </c>
      <c r="I1535" s="79" t="s">
        <v>6</v>
      </c>
      <c r="J1535" s="81">
        <v>84</v>
      </c>
      <c r="K1535" t="s">
        <v>46</v>
      </c>
    </row>
    <row r="1536" spans="2:11" x14ac:dyDescent="0.25">
      <c r="B1536" s="2">
        <f>+B1535</f>
        <v>73</v>
      </c>
      <c r="C1536" s="4">
        <v>31169.074000000001</v>
      </c>
      <c r="D1536" s="4">
        <v>9575.14</v>
      </c>
      <c r="E1536" s="79">
        <v>5432.56</v>
      </c>
      <c r="F1536" s="79">
        <f>SUM(BASE_DATOS[[#This Row],[Capital($)]:[Interés
Resarcitorio($)]])</f>
        <v>46176.773999999998</v>
      </c>
      <c r="G1536" s="8">
        <v>47843</v>
      </c>
      <c r="H1536" s="80" t="s">
        <v>77</v>
      </c>
      <c r="I1536" s="79" t="s">
        <v>7</v>
      </c>
      <c r="J1536" s="81">
        <v>84</v>
      </c>
      <c r="K1536" t="s">
        <v>46</v>
      </c>
    </row>
    <row r="1537" spans="2:11" x14ac:dyDescent="0.25">
      <c r="B1537" s="2">
        <v>74</v>
      </c>
      <c r="C1537" s="4">
        <v>31169.074000000001</v>
      </c>
      <c r="D1537" s="4">
        <v>8777.2119999999995</v>
      </c>
      <c r="E1537" s="79">
        <v>0</v>
      </c>
      <c r="F1537" s="79">
        <f>SUM(BASE_DATOS[[#This Row],[Capital($)]:[Interés
Resarcitorio($)]])</f>
        <v>39946.286</v>
      </c>
      <c r="G1537" s="8">
        <v>47864</v>
      </c>
      <c r="H1537" s="80" t="s">
        <v>77</v>
      </c>
      <c r="I1537" s="79" t="s">
        <v>6</v>
      </c>
      <c r="J1537" s="81">
        <v>84</v>
      </c>
      <c r="K1537" t="s">
        <v>46</v>
      </c>
    </row>
    <row r="1538" spans="2:11" x14ac:dyDescent="0.25">
      <c r="B1538" s="2">
        <f>+B1537</f>
        <v>74</v>
      </c>
      <c r="C1538" s="4">
        <v>31169.074000000001</v>
      </c>
      <c r="D1538" s="4">
        <v>8777.2119999999995</v>
      </c>
      <c r="E1538" s="79">
        <v>5326.17</v>
      </c>
      <c r="F1538" s="79">
        <f>SUM(BASE_DATOS[[#This Row],[Capital($)]:[Interés
Resarcitorio($)]])</f>
        <v>45272.455999999998</v>
      </c>
      <c r="G1538" s="8">
        <v>47874</v>
      </c>
      <c r="H1538" s="80" t="s">
        <v>77</v>
      </c>
      <c r="I1538" s="79" t="s">
        <v>7</v>
      </c>
      <c r="J1538" s="81">
        <v>84</v>
      </c>
      <c r="K1538" t="s">
        <v>46</v>
      </c>
    </row>
    <row r="1539" spans="2:11" x14ac:dyDescent="0.25">
      <c r="B1539" s="2">
        <v>75</v>
      </c>
      <c r="C1539" s="4">
        <v>31169.074000000001</v>
      </c>
      <c r="D1539" s="4">
        <v>7979.2839999999997</v>
      </c>
      <c r="E1539" s="79">
        <v>0</v>
      </c>
      <c r="F1539" s="79">
        <f>SUM(BASE_DATOS[[#This Row],[Capital($)]:[Interés
Resarcitorio($)]])</f>
        <v>39148.358</v>
      </c>
      <c r="G1539" s="8">
        <v>47895</v>
      </c>
      <c r="H1539" s="80" t="s">
        <v>77</v>
      </c>
      <c r="I1539" s="79" t="s">
        <v>6</v>
      </c>
      <c r="J1539" s="81">
        <v>84</v>
      </c>
      <c r="K1539" t="s">
        <v>46</v>
      </c>
    </row>
    <row r="1540" spans="2:11" x14ac:dyDescent="0.25">
      <c r="B1540" s="2">
        <f>+B1539</f>
        <v>75</v>
      </c>
      <c r="C1540" s="4">
        <v>31169.074000000001</v>
      </c>
      <c r="D1540" s="4">
        <v>7979.2839999999997</v>
      </c>
      <c r="E1540" s="79">
        <v>5219.78</v>
      </c>
      <c r="F1540" s="79">
        <f>SUM(BASE_DATOS[[#This Row],[Capital($)]:[Interés
Resarcitorio($)]])</f>
        <v>44368.137999999999</v>
      </c>
      <c r="G1540" s="8">
        <v>47905</v>
      </c>
      <c r="H1540" s="80" t="s">
        <v>77</v>
      </c>
      <c r="I1540" s="79" t="s">
        <v>7</v>
      </c>
      <c r="J1540" s="81">
        <v>84</v>
      </c>
      <c r="K1540" t="s">
        <v>46</v>
      </c>
    </row>
    <row r="1541" spans="2:11" x14ac:dyDescent="0.25">
      <c r="B1541" s="2">
        <v>76</v>
      </c>
      <c r="C1541" s="4">
        <v>31169.074000000001</v>
      </c>
      <c r="D1541" s="4">
        <v>7181.3550000000005</v>
      </c>
      <c r="E1541" s="79">
        <v>0</v>
      </c>
      <c r="F1541" s="79">
        <f>SUM(BASE_DATOS[[#This Row],[Capital($)]:[Interés
Resarcitorio($)]])</f>
        <v>38350.429000000004</v>
      </c>
      <c r="G1541" s="8">
        <v>47923</v>
      </c>
      <c r="H1541" s="80" t="s">
        <v>77</v>
      </c>
      <c r="I1541" s="79" t="s">
        <v>6</v>
      </c>
      <c r="J1541" s="81">
        <v>84</v>
      </c>
      <c r="K1541" t="s">
        <v>46</v>
      </c>
    </row>
    <row r="1542" spans="2:11" x14ac:dyDescent="0.25">
      <c r="B1542" s="2">
        <f>+B1541</f>
        <v>76</v>
      </c>
      <c r="C1542" s="4">
        <v>31169.074000000001</v>
      </c>
      <c r="D1542" s="4">
        <v>7181.3550000000005</v>
      </c>
      <c r="E1542" s="79">
        <v>5113.3900000000003</v>
      </c>
      <c r="F1542" s="79">
        <f>SUM(BASE_DATOS[[#This Row],[Capital($)]:[Interés
Resarcitorio($)]])</f>
        <v>43463.819000000003</v>
      </c>
      <c r="G1542" s="8">
        <v>47933</v>
      </c>
      <c r="H1542" s="80" t="s">
        <v>77</v>
      </c>
      <c r="I1542" s="79" t="s">
        <v>7</v>
      </c>
      <c r="J1542" s="81">
        <v>84</v>
      </c>
      <c r="K1542" t="s">
        <v>46</v>
      </c>
    </row>
    <row r="1543" spans="2:11" x14ac:dyDescent="0.25">
      <c r="B1543" s="2">
        <v>77</v>
      </c>
      <c r="C1543" s="4">
        <v>31169.074000000001</v>
      </c>
      <c r="D1543" s="4">
        <v>6383.4269999999997</v>
      </c>
      <c r="E1543" s="79">
        <v>0</v>
      </c>
      <c r="F1543" s="79">
        <f>SUM(BASE_DATOS[[#This Row],[Capital($)]:[Interés
Resarcitorio($)]])</f>
        <v>37552.501000000004</v>
      </c>
      <c r="G1543" s="8">
        <v>47954</v>
      </c>
      <c r="H1543" s="80" t="s">
        <v>77</v>
      </c>
      <c r="I1543" s="79" t="s">
        <v>6</v>
      </c>
      <c r="J1543" s="81">
        <v>84</v>
      </c>
      <c r="K1543" t="s">
        <v>46</v>
      </c>
    </row>
    <row r="1544" spans="2:11" x14ac:dyDescent="0.25">
      <c r="B1544" s="2">
        <f>+B1543</f>
        <v>77</v>
      </c>
      <c r="C1544" s="4">
        <v>31169.074000000001</v>
      </c>
      <c r="D1544" s="4">
        <v>6383.4269999999997</v>
      </c>
      <c r="E1544" s="79">
        <v>5007</v>
      </c>
      <c r="F1544" s="79">
        <f>SUM(BASE_DATOS[[#This Row],[Capital($)]:[Interés
Resarcitorio($)]])</f>
        <v>42559.501000000004</v>
      </c>
      <c r="G1544" s="8">
        <v>47964</v>
      </c>
      <c r="H1544" s="80" t="s">
        <v>77</v>
      </c>
      <c r="I1544" s="79" t="s">
        <v>7</v>
      </c>
      <c r="J1544" s="81">
        <v>84</v>
      </c>
      <c r="K1544" t="s">
        <v>46</v>
      </c>
    </row>
    <row r="1545" spans="2:11" x14ac:dyDescent="0.25">
      <c r="B1545" s="2">
        <v>78</v>
      </c>
      <c r="C1545" s="4">
        <v>31169.074000000001</v>
      </c>
      <c r="D1545" s="4">
        <v>5585.4989999999998</v>
      </c>
      <c r="E1545" s="79">
        <v>0</v>
      </c>
      <c r="F1545" s="79">
        <f>SUM(BASE_DATOS[[#This Row],[Capital($)]:[Interés
Resarcitorio($)]])</f>
        <v>36754.573000000004</v>
      </c>
      <c r="G1545" s="8">
        <v>47984</v>
      </c>
      <c r="H1545" s="80" t="s">
        <v>77</v>
      </c>
      <c r="I1545" s="79" t="s">
        <v>6</v>
      </c>
      <c r="J1545" s="81">
        <v>84</v>
      </c>
      <c r="K1545" t="s">
        <v>46</v>
      </c>
    </row>
    <row r="1546" spans="2:11" x14ac:dyDescent="0.25">
      <c r="B1546" s="2">
        <f>+B1545</f>
        <v>78</v>
      </c>
      <c r="C1546" s="4">
        <v>31169.074000000001</v>
      </c>
      <c r="D1546" s="4">
        <v>5585.4989999999998</v>
      </c>
      <c r="E1546" s="79">
        <v>4900.6099999999997</v>
      </c>
      <c r="F1546" s="79">
        <f>SUM(BASE_DATOS[[#This Row],[Capital($)]:[Interés
Resarcitorio($)]])</f>
        <v>41655.183000000005</v>
      </c>
      <c r="G1546" s="8">
        <v>47994</v>
      </c>
      <c r="H1546" s="80" t="s">
        <v>77</v>
      </c>
      <c r="I1546" s="79" t="s">
        <v>7</v>
      </c>
      <c r="J1546" s="81">
        <v>84</v>
      </c>
      <c r="K1546" t="s">
        <v>46</v>
      </c>
    </row>
    <row r="1547" spans="2:11" x14ac:dyDescent="0.25">
      <c r="B1547" s="2">
        <v>79</v>
      </c>
      <c r="C1547" s="4">
        <v>31169.074000000001</v>
      </c>
      <c r="D1547" s="4">
        <v>4787.5709999999999</v>
      </c>
      <c r="E1547" s="79">
        <v>0</v>
      </c>
      <c r="F1547" s="79">
        <f>SUM(BASE_DATOS[[#This Row],[Capital($)]:[Interés
Resarcitorio($)]])</f>
        <v>35956.645000000004</v>
      </c>
      <c r="G1547" s="8">
        <v>48015</v>
      </c>
      <c r="H1547" s="80" t="s">
        <v>77</v>
      </c>
      <c r="I1547" s="79" t="s">
        <v>6</v>
      </c>
      <c r="J1547" s="81">
        <v>84</v>
      </c>
      <c r="K1547" t="s">
        <v>46</v>
      </c>
    </row>
    <row r="1548" spans="2:11" x14ac:dyDescent="0.25">
      <c r="B1548" s="2">
        <f>+B1547</f>
        <v>79</v>
      </c>
      <c r="C1548" s="4">
        <v>31169.074000000001</v>
      </c>
      <c r="D1548" s="4">
        <v>4787.5709999999999</v>
      </c>
      <c r="E1548" s="79">
        <v>4794.22</v>
      </c>
      <c r="F1548" s="79">
        <f>SUM(BASE_DATOS[[#This Row],[Capital($)]:[Interés
Resarcitorio($)]])</f>
        <v>40750.865000000005</v>
      </c>
      <c r="G1548" s="8">
        <v>48025</v>
      </c>
      <c r="H1548" s="80" t="s">
        <v>77</v>
      </c>
      <c r="I1548" s="79" t="s">
        <v>7</v>
      </c>
      <c r="J1548" s="81">
        <v>84</v>
      </c>
      <c r="K1548" t="s">
        <v>46</v>
      </c>
    </row>
    <row r="1549" spans="2:11" x14ac:dyDescent="0.25">
      <c r="B1549" s="2">
        <v>80</v>
      </c>
      <c r="C1549" s="4">
        <v>31169.074000000001</v>
      </c>
      <c r="D1549" s="4">
        <v>3989.6419999999998</v>
      </c>
      <c r="E1549" s="79">
        <v>0</v>
      </c>
      <c r="F1549" s="79">
        <f>SUM(BASE_DATOS[[#This Row],[Capital($)]:[Interés
Resarcitorio($)]])</f>
        <v>35158.716</v>
      </c>
      <c r="G1549" s="8">
        <v>48045</v>
      </c>
      <c r="H1549" s="80" t="s">
        <v>77</v>
      </c>
      <c r="I1549" s="79" t="s">
        <v>6</v>
      </c>
      <c r="J1549" s="81">
        <v>84</v>
      </c>
      <c r="K1549" t="s">
        <v>46</v>
      </c>
    </row>
    <row r="1550" spans="2:11" x14ac:dyDescent="0.25">
      <c r="B1550" s="2">
        <f>+B1549</f>
        <v>80</v>
      </c>
      <c r="C1550" s="4">
        <v>31169.074000000001</v>
      </c>
      <c r="D1550" s="4">
        <v>3989.6419999999998</v>
      </c>
      <c r="E1550" s="79">
        <v>4687.83</v>
      </c>
      <c r="F1550" s="79">
        <f>SUM(BASE_DATOS[[#This Row],[Capital($)]:[Interés
Resarcitorio($)]])</f>
        <v>39846.546000000002</v>
      </c>
      <c r="G1550" s="8">
        <v>48055</v>
      </c>
      <c r="H1550" s="80" t="s">
        <v>77</v>
      </c>
      <c r="I1550" s="79" t="s">
        <v>7</v>
      </c>
      <c r="J1550" s="81">
        <v>84</v>
      </c>
      <c r="K1550" t="s">
        <v>46</v>
      </c>
    </row>
    <row r="1551" spans="2:11" x14ac:dyDescent="0.25">
      <c r="B1551" s="2">
        <v>81</v>
      </c>
      <c r="C1551" s="4">
        <v>31169.074000000001</v>
      </c>
      <c r="D1551" s="4">
        <v>3191.7139999999999</v>
      </c>
      <c r="E1551" s="79">
        <v>0</v>
      </c>
      <c r="F1551" s="79">
        <f>SUM(BASE_DATOS[[#This Row],[Capital($)]:[Interés
Resarcitorio($)]])</f>
        <v>34360.788</v>
      </c>
      <c r="G1551" s="8">
        <v>48076</v>
      </c>
      <c r="H1551" s="80" t="s">
        <v>77</v>
      </c>
      <c r="I1551" s="79" t="s">
        <v>6</v>
      </c>
      <c r="J1551" s="81">
        <v>84</v>
      </c>
      <c r="K1551" t="s">
        <v>46</v>
      </c>
    </row>
    <row r="1552" spans="2:11" x14ac:dyDescent="0.25">
      <c r="B1552" s="2">
        <f>+B1551</f>
        <v>81</v>
      </c>
      <c r="C1552" s="4">
        <v>31169.074000000001</v>
      </c>
      <c r="D1552" s="4">
        <v>3191.7139999999999</v>
      </c>
      <c r="E1552" s="79">
        <v>4581.4399999999996</v>
      </c>
      <c r="F1552" s="79">
        <f>SUM(BASE_DATOS[[#This Row],[Capital($)]:[Interés
Resarcitorio($)]])</f>
        <v>38942.228000000003</v>
      </c>
      <c r="G1552" s="8">
        <v>48086</v>
      </c>
      <c r="H1552" s="80" t="s">
        <v>77</v>
      </c>
      <c r="I1552" s="79" t="s">
        <v>7</v>
      </c>
      <c r="J1552" s="81">
        <v>84</v>
      </c>
      <c r="K1552" t="s">
        <v>46</v>
      </c>
    </row>
    <row r="1553" spans="2:11" x14ac:dyDescent="0.25">
      <c r="B1553" s="2">
        <v>82</v>
      </c>
      <c r="C1553" s="4">
        <v>31169.074000000001</v>
      </c>
      <c r="D1553" s="4">
        <v>2393.7860000000001</v>
      </c>
      <c r="E1553" s="79">
        <v>0</v>
      </c>
      <c r="F1553" s="79">
        <f>SUM(BASE_DATOS[[#This Row],[Capital($)]:[Interés
Resarcitorio($)]])</f>
        <v>33562.86</v>
      </c>
      <c r="G1553" s="8">
        <v>48107</v>
      </c>
      <c r="H1553" s="80" t="s">
        <v>77</v>
      </c>
      <c r="I1553" s="79" t="s">
        <v>6</v>
      </c>
      <c r="J1553" s="81">
        <v>84</v>
      </c>
      <c r="K1553" t="s">
        <v>46</v>
      </c>
    </row>
    <row r="1554" spans="2:11" x14ac:dyDescent="0.25">
      <c r="B1554" s="2">
        <f>+B1553</f>
        <v>82</v>
      </c>
      <c r="C1554" s="4">
        <v>31169.074000000001</v>
      </c>
      <c r="D1554" s="4">
        <v>2393.7860000000001</v>
      </c>
      <c r="E1554" s="79">
        <v>4475.05</v>
      </c>
      <c r="F1554" s="79">
        <f>SUM(BASE_DATOS[[#This Row],[Capital($)]:[Interés
Resarcitorio($)]])</f>
        <v>38037.910000000003</v>
      </c>
      <c r="G1554" s="8">
        <v>48117</v>
      </c>
      <c r="H1554" s="80" t="s">
        <v>77</v>
      </c>
      <c r="I1554" s="79" t="s">
        <v>7</v>
      </c>
      <c r="J1554" s="81">
        <v>84</v>
      </c>
      <c r="K1554" t="s">
        <v>46</v>
      </c>
    </row>
    <row r="1555" spans="2:11" x14ac:dyDescent="0.25">
      <c r="B1555" s="2">
        <v>83</v>
      </c>
      <c r="C1555" s="4">
        <v>31169.074000000001</v>
      </c>
      <c r="D1555" s="4">
        <v>1595.857</v>
      </c>
      <c r="E1555" s="79">
        <v>0</v>
      </c>
      <c r="F1555" s="79">
        <f>SUM(BASE_DATOS[[#This Row],[Capital($)]:[Interés
Resarcitorio($)]])</f>
        <v>32764.931</v>
      </c>
      <c r="G1555" s="8">
        <v>48137</v>
      </c>
      <c r="H1555" s="80" t="s">
        <v>77</v>
      </c>
      <c r="I1555" s="79" t="s">
        <v>6</v>
      </c>
      <c r="J1555" s="81">
        <v>84</v>
      </c>
      <c r="K1555" t="s">
        <v>46</v>
      </c>
    </row>
    <row r="1556" spans="2:11" x14ac:dyDescent="0.25">
      <c r="B1556" s="2">
        <f>+B1555</f>
        <v>83</v>
      </c>
      <c r="C1556" s="4">
        <v>31169.074000000001</v>
      </c>
      <c r="D1556" s="4">
        <v>1595.857</v>
      </c>
      <c r="E1556" s="79">
        <v>4368.66</v>
      </c>
      <c r="F1556" s="79">
        <f>SUM(BASE_DATOS[[#This Row],[Capital($)]:[Interés
Resarcitorio($)]])</f>
        <v>37133.591</v>
      </c>
      <c r="G1556" s="8">
        <v>48147</v>
      </c>
      <c r="H1556" s="80" t="s">
        <v>77</v>
      </c>
      <c r="I1556" s="79" t="s">
        <v>7</v>
      </c>
      <c r="J1556" s="81">
        <v>84</v>
      </c>
      <c r="K1556" t="s">
        <v>46</v>
      </c>
    </row>
    <row r="1557" spans="2:11" x14ac:dyDescent="0.25">
      <c r="B1557" s="2">
        <v>84</v>
      </c>
      <c r="C1557" s="4">
        <v>31169.103000000003</v>
      </c>
      <c r="D1557" s="4">
        <v>797.92899999999997</v>
      </c>
      <c r="E1557" s="79">
        <v>0</v>
      </c>
      <c r="F1557" s="79">
        <f>SUM(BASE_DATOS[[#This Row],[Capital($)]:[Interés
Resarcitorio($)]])</f>
        <v>31967.032000000003</v>
      </c>
      <c r="G1557" s="8">
        <v>48168</v>
      </c>
      <c r="H1557" s="80" t="s">
        <v>77</v>
      </c>
      <c r="I1557" s="79" t="s">
        <v>6</v>
      </c>
      <c r="J1557" s="81">
        <v>84</v>
      </c>
      <c r="K1557" t="s">
        <v>46</v>
      </c>
    </row>
    <row r="1558" spans="2:11" x14ac:dyDescent="0.25">
      <c r="B1558" s="2">
        <f>+B1557</f>
        <v>84</v>
      </c>
      <c r="C1558" s="4">
        <v>31169.103000000003</v>
      </c>
      <c r="D1558" s="4">
        <v>797.92899999999997</v>
      </c>
      <c r="E1558" s="79">
        <v>4262.2700000000004</v>
      </c>
      <c r="F1558" s="79">
        <f>SUM(BASE_DATOS[[#This Row],[Capital($)]:[Interés
Resarcitorio($)]])</f>
        <v>36229.302000000003</v>
      </c>
      <c r="G1558" s="8">
        <v>48178</v>
      </c>
      <c r="H1558" s="80" t="s">
        <v>77</v>
      </c>
      <c r="I1558" s="79" t="s">
        <v>7</v>
      </c>
      <c r="J1558" s="81">
        <v>84</v>
      </c>
      <c r="K1558" t="s">
        <v>46</v>
      </c>
    </row>
    <row r="1559" spans="2:11" x14ac:dyDescent="0.25">
      <c r="B1559" s="2">
        <v>1</v>
      </c>
      <c r="C1559" s="4">
        <v>2509.0009999999997</v>
      </c>
      <c r="D1559" s="4">
        <v>72631.441000000006</v>
      </c>
      <c r="E1559" s="79">
        <v>0</v>
      </c>
      <c r="F1559" s="79">
        <f>SUM(BASE_DATOS[[#This Row],[Capital($)]:[Interés
Resarcitorio($)]])</f>
        <v>75140.44200000001</v>
      </c>
      <c r="G1559" s="8">
        <v>45093</v>
      </c>
      <c r="H1559" s="80" t="s">
        <v>63</v>
      </c>
      <c r="I1559" s="79" t="s">
        <v>9</v>
      </c>
      <c r="J1559" s="81">
        <v>84</v>
      </c>
      <c r="K1559" t="s">
        <v>48</v>
      </c>
    </row>
    <row r="1560" spans="2:11" x14ac:dyDescent="0.25">
      <c r="B1560" s="2">
        <v>1</v>
      </c>
      <c r="C1560" s="4">
        <v>2509.0009999999997</v>
      </c>
      <c r="D1560" s="4">
        <v>72631.441000000006</v>
      </c>
      <c r="E1560" s="79">
        <v>14802.67</v>
      </c>
      <c r="F1560" s="79">
        <f>SUM(BASE_DATOS[[#This Row],[Capital($)]:[Interés
Resarcitorio($)]])</f>
        <v>89943.112000000008</v>
      </c>
      <c r="G1560" s="8">
        <v>45103</v>
      </c>
      <c r="H1560" s="80" t="s">
        <v>63</v>
      </c>
      <c r="I1560" s="79" t="s">
        <v>7</v>
      </c>
      <c r="J1560" s="81">
        <v>84</v>
      </c>
      <c r="K1560" t="s">
        <v>48</v>
      </c>
    </row>
    <row r="1561" spans="2:11" x14ac:dyDescent="0.25">
      <c r="B1561" s="2">
        <v>2</v>
      </c>
      <c r="C1561" s="4">
        <v>2612.623</v>
      </c>
      <c r="D1561" s="4">
        <v>72527.818999999989</v>
      </c>
      <c r="E1561" s="79">
        <v>0</v>
      </c>
      <c r="F1561" s="79">
        <f>SUM(BASE_DATOS[[#This Row],[Capital($)]:[Interés
Resarcitorio($)]])</f>
        <v>75140.441999999995</v>
      </c>
      <c r="G1561" s="8">
        <v>45123</v>
      </c>
      <c r="H1561" s="80" t="s">
        <v>63</v>
      </c>
      <c r="I1561" s="79" t="s">
        <v>9</v>
      </c>
      <c r="J1561" s="81">
        <v>84</v>
      </c>
      <c r="K1561" t="s">
        <v>48</v>
      </c>
    </row>
    <row r="1562" spans="2:11" x14ac:dyDescent="0.25">
      <c r="B1562" s="2">
        <v>2</v>
      </c>
      <c r="C1562" s="4">
        <v>2612.623</v>
      </c>
      <c r="D1562" s="4">
        <v>72527.818999999989</v>
      </c>
      <c r="E1562" s="79">
        <v>14802.67</v>
      </c>
      <c r="F1562" s="79">
        <f>SUM(BASE_DATOS[[#This Row],[Capital($)]:[Interés
Resarcitorio($)]])</f>
        <v>89943.111999999994</v>
      </c>
      <c r="G1562" s="8">
        <v>45133</v>
      </c>
      <c r="H1562" s="80" t="s">
        <v>63</v>
      </c>
      <c r="I1562" s="79" t="s">
        <v>7</v>
      </c>
      <c r="J1562" s="81">
        <v>84</v>
      </c>
      <c r="K1562" t="s">
        <v>48</v>
      </c>
    </row>
    <row r="1563" spans="2:11" x14ac:dyDescent="0.25">
      <c r="B1563" s="2">
        <v>3</v>
      </c>
      <c r="C1563" s="4">
        <v>2720.5240000000003</v>
      </c>
      <c r="D1563" s="4">
        <v>72419.918000000005</v>
      </c>
      <c r="E1563" s="79">
        <v>0</v>
      </c>
      <c r="F1563" s="79">
        <f>SUM(BASE_DATOS[[#This Row],[Capital($)]:[Interés
Resarcitorio($)]])</f>
        <v>75140.44200000001</v>
      </c>
      <c r="G1563" s="8">
        <v>45154</v>
      </c>
      <c r="H1563" s="80" t="s">
        <v>63</v>
      </c>
      <c r="I1563" s="79" t="s">
        <v>9</v>
      </c>
      <c r="J1563" s="81">
        <v>84</v>
      </c>
      <c r="K1563" t="s">
        <v>48</v>
      </c>
    </row>
    <row r="1564" spans="2:11" x14ac:dyDescent="0.25">
      <c r="B1564" s="2">
        <v>3</v>
      </c>
      <c r="C1564" s="4">
        <v>2720.5240000000003</v>
      </c>
      <c r="D1564" s="4">
        <v>72419.918000000005</v>
      </c>
      <c r="E1564" s="79">
        <v>14802.67</v>
      </c>
      <c r="F1564" s="79">
        <f>SUM(BASE_DATOS[[#This Row],[Capital($)]:[Interés
Resarcitorio($)]])</f>
        <v>89943.112000000008</v>
      </c>
      <c r="G1564" s="8">
        <v>45164</v>
      </c>
      <c r="H1564" s="80" t="s">
        <v>63</v>
      </c>
      <c r="I1564" s="79" t="s">
        <v>7</v>
      </c>
      <c r="J1564" s="81">
        <v>84</v>
      </c>
      <c r="K1564" t="s">
        <v>48</v>
      </c>
    </row>
    <row r="1565" spans="2:11" x14ac:dyDescent="0.25">
      <c r="B1565" s="2">
        <v>4</v>
      </c>
      <c r="C1565" s="4">
        <v>2832.8820000000001</v>
      </c>
      <c r="D1565" s="4">
        <v>72307.56</v>
      </c>
      <c r="E1565" s="79">
        <v>0</v>
      </c>
      <c r="F1565" s="79">
        <f>SUM(BASE_DATOS[[#This Row],[Capital($)]:[Interés
Resarcitorio($)]])</f>
        <v>75140.441999999995</v>
      </c>
      <c r="G1565" s="8">
        <v>45185</v>
      </c>
      <c r="H1565" s="80" t="s">
        <v>63</v>
      </c>
      <c r="I1565" s="79" t="s">
        <v>9</v>
      </c>
      <c r="J1565" s="81">
        <v>84</v>
      </c>
      <c r="K1565" t="s">
        <v>48</v>
      </c>
    </row>
    <row r="1566" spans="2:11" x14ac:dyDescent="0.25">
      <c r="B1566" s="2">
        <v>4</v>
      </c>
      <c r="C1566" s="4">
        <v>2832.8820000000001</v>
      </c>
      <c r="D1566" s="4">
        <v>72307.56</v>
      </c>
      <c r="E1566" s="79">
        <v>14802.67</v>
      </c>
      <c r="F1566" s="79">
        <f>SUM(BASE_DATOS[[#This Row],[Capital($)]:[Interés
Resarcitorio($)]])</f>
        <v>89943.111999999994</v>
      </c>
      <c r="G1566" s="8">
        <v>45195</v>
      </c>
      <c r="H1566" s="80" t="s">
        <v>63</v>
      </c>
      <c r="I1566" s="79" t="s">
        <v>7</v>
      </c>
      <c r="J1566" s="81">
        <v>84</v>
      </c>
      <c r="K1566" t="s">
        <v>48</v>
      </c>
    </row>
    <row r="1567" spans="2:11" x14ac:dyDescent="0.25">
      <c r="B1567" s="2">
        <v>5</v>
      </c>
      <c r="C1567" s="4">
        <v>2949.88</v>
      </c>
      <c r="D1567" s="4">
        <v>72190.562000000005</v>
      </c>
      <c r="E1567" s="79">
        <v>0</v>
      </c>
      <c r="F1567" s="79">
        <f>SUM(BASE_DATOS[[#This Row],[Capital($)]:[Interés
Resarcitorio($)]])</f>
        <v>75140.44200000001</v>
      </c>
      <c r="G1567" s="8">
        <v>45215</v>
      </c>
      <c r="H1567" s="80" t="s">
        <v>63</v>
      </c>
      <c r="I1567" s="79" t="s">
        <v>9</v>
      </c>
      <c r="J1567" s="81">
        <v>84</v>
      </c>
      <c r="K1567" t="s">
        <v>48</v>
      </c>
    </row>
    <row r="1568" spans="2:11" x14ac:dyDescent="0.25">
      <c r="B1568" s="2">
        <v>5</v>
      </c>
      <c r="C1568" s="4">
        <v>2949.88</v>
      </c>
      <c r="D1568" s="4">
        <v>72190.562000000005</v>
      </c>
      <c r="E1568" s="79">
        <v>14802.67</v>
      </c>
      <c r="F1568" s="79">
        <f>SUM(BASE_DATOS[[#This Row],[Capital($)]:[Interés
Resarcitorio($)]])</f>
        <v>89943.112000000008</v>
      </c>
      <c r="G1568" s="8">
        <v>45225</v>
      </c>
      <c r="H1568" s="80" t="s">
        <v>63</v>
      </c>
      <c r="I1568" s="79" t="s">
        <v>7</v>
      </c>
      <c r="J1568" s="81">
        <v>84</v>
      </c>
      <c r="K1568" t="s">
        <v>48</v>
      </c>
    </row>
    <row r="1569" spans="2:11" x14ac:dyDescent="0.25">
      <c r="B1569" s="2">
        <v>6</v>
      </c>
      <c r="C1569" s="4">
        <v>3071.71</v>
      </c>
      <c r="D1569" s="4">
        <v>72068.731999999989</v>
      </c>
      <c r="E1569" s="79">
        <v>0</v>
      </c>
      <c r="F1569" s="79">
        <f>SUM(BASE_DATOS[[#This Row],[Capital($)]:[Interés
Resarcitorio($)]])</f>
        <v>75140.441999999995</v>
      </c>
      <c r="G1569" s="8">
        <v>45246</v>
      </c>
      <c r="H1569" s="80" t="s">
        <v>63</v>
      </c>
      <c r="I1569" s="79" t="s">
        <v>9</v>
      </c>
      <c r="J1569" s="81">
        <v>84</v>
      </c>
      <c r="K1569" t="s">
        <v>48</v>
      </c>
    </row>
    <row r="1570" spans="2:11" x14ac:dyDescent="0.25">
      <c r="B1570" s="2">
        <v>6</v>
      </c>
      <c r="C1570" s="4">
        <v>3071.71</v>
      </c>
      <c r="D1570" s="4">
        <v>72068.731999999989</v>
      </c>
      <c r="E1570" s="79">
        <v>14802.67</v>
      </c>
      <c r="F1570" s="79">
        <f>SUM(BASE_DATOS[[#This Row],[Capital($)]:[Interés
Resarcitorio($)]])</f>
        <v>89943.111999999994</v>
      </c>
      <c r="G1570" s="8">
        <v>45256</v>
      </c>
      <c r="H1570" s="80" t="s">
        <v>63</v>
      </c>
      <c r="I1570" s="79" t="s">
        <v>7</v>
      </c>
      <c r="J1570" s="81">
        <v>84</v>
      </c>
      <c r="K1570" t="s">
        <v>48</v>
      </c>
    </row>
    <row r="1571" spans="2:11" x14ac:dyDescent="0.25">
      <c r="B1571" s="2">
        <v>7</v>
      </c>
      <c r="C1571" s="4">
        <v>3198.5709999999999</v>
      </c>
      <c r="D1571" s="4">
        <v>71941.870999999999</v>
      </c>
      <c r="E1571" s="79">
        <v>0</v>
      </c>
      <c r="F1571" s="79">
        <f>SUM(BASE_DATOS[[#This Row],[Capital($)]:[Interés
Resarcitorio($)]])</f>
        <v>75140.441999999995</v>
      </c>
      <c r="G1571" s="8">
        <v>45276</v>
      </c>
      <c r="H1571" s="80" t="s">
        <v>63</v>
      </c>
      <c r="I1571" s="79" t="s">
        <v>9</v>
      </c>
      <c r="J1571" s="81">
        <v>84</v>
      </c>
      <c r="K1571" t="s">
        <v>48</v>
      </c>
    </row>
    <row r="1572" spans="2:11" x14ac:dyDescent="0.25">
      <c r="B1572" s="2">
        <v>7</v>
      </c>
      <c r="C1572" s="4">
        <v>3198.5709999999999</v>
      </c>
      <c r="D1572" s="4">
        <v>71941.870999999999</v>
      </c>
      <c r="E1572" s="79">
        <v>14802.67</v>
      </c>
      <c r="F1572" s="79">
        <f>SUM(BASE_DATOS[[#This Row],[Capital($)]:[Interés
Resarcitorio($)]])</f>
        <v>89943.111999999994</v>
      </c>
      <c r="G1572" s="8">
        <v>45286</v>
      </c>
      <c r="H1572" s="80" t="s">
        <v>63</v>
      </c>
      <c r="I1572" s="79" t="s">
        <v>7</v>
      </c>
      <c r="J1572" s="81">
        <v>84</v>
      </c>
      <c r="K1572" t="s">
        <v>48</v>
      </c>
    </row>
    <row r="1573" spans="2:11" x14ac:dyDescent="0.25">
      <c r="B1573" s="2">
        <v>8</v>
      </c>
      <c r="C1573" s="4">
        <v>3330.672</v>
      </c>
      <c r="D1573" s="4">
        <v>71809.76999999999</v>
      </c>
      <c r="E1573" s="79">
        <v>0</v>
      </c>
      <c r="F1573" s="79">
        <f>SUM(BASE_DATOS[[#This Row],[Capital($)]:[Interés
Resarcitorio($)]])</f>
        <v>75140.441999999995</v>
      </c>
      <c r="G1573" s="8">
        <v>45307</v>
      </c>
      <c r="H1573" s="80" t="s">
        <v>63</v>
      </c>
      <c r="I1573" s="79" t="s">
        <v>9</v>
      </c>
      <c r="J1573" s="81">
        <v>84</v>
      </c>
      <c r="K1573" t="s">
        <v>48</v>
      </c>
    </row>
    <row r="1574" spans="2:11" x14ac:dyDescent="0.25">
      <c r="B1574" s="2">
        <v>8</v>
      </c>
      <c r="C1574" s="4">
        <v>3330.672</v>
      </c>
      <c r="D1574" s="4">
        <v>71809.76999999999</v>
      </c>
      <c r="E1574" s="79">
        <v>14802.67</v>
      </c>
      <c r="F1574" s="79">
        <f>SUM(BASE_DATOS[[#This Row],[Capital($)]:[Interés
Resarcitorio($)]])</f>
        <v>89943.111999999994</v>
      </c>
      <c r="G1574" s="8">
        <v>45317</v>
      </c>
      <c r="H1574" s="80" t="s">
        <v>63</v>
      </c>
      <c r="I1574" s="79" t="s">
        <v>7</v>
      </c>
      <c r="J1574" s="81">
        <v>84</v>
      </c>
      <c r="K1574" t="s">
        <v>48</v>
      </c>
    </row>
    <row r="1575" spans="2:11" x14ac:dyDescent="0.25">
      <c r="B1575" s="2">
        <v>9</v>
      </c>
      <c r="C1575" s="4">
        <v>3468.2290000000003</v>
      </c>
      <c r="D1575" s="4">
        <v>71672.213000000003</v>
      </c>
      <c r="E1575" s="79">
        <v>0</v>
      </c>
      <c r="F1575" s="79">
        <f>SUM(BASE_DATOS[[#This Row],[Capital($)]:[Interés
Resarcitorio($)]])</f>
        <v>75140.44200000001</v>
      </c>
      <c r="G1575" s="8">
        <v>45338</v>
      </c>
      <c r="H1575" s="80" t="s">
        <v>63</v>
      </c>
      <c r="I1575" s="79" t="s">
        <v>9</v>
      </c>
      <c r="J1575" s="81">
        <v>84</v>
      </c>
      <c r="K1575" t="s">
        <v>48</v>
      </c>
    </row>
    <row r="1576" spans="2:11" x14ac:dyDescent="0.25">
      <c r="B1576" s="2">
        <v>9</v>
      </c>
      <c r="C1576" s="4">
        <v>3468.2290000000003</v>
      </c>
      <c r="D1576" s="4">
        <v>71672.213000000003</v>
      </c>
      <c r="E1576" s="79">
        <v>38246.480000000003</v>
      </c>
      <c r="F1576" s="79">
        <f>SUM(BASE_DATOS[[#This Row],[Capital($)]:[Interés
Resarcitorio($)]])</f>
        <v>113386.92200000002</v>
      </c>
      <c r="G1576" s="8">
        <v>45348</v>
      </c>
      <c r="H1576" s="80" t="s">
        <v>63</v>
      </c>
      <c r="I1576" s="79" t="s">
        <v>7</v>
      </c>
      <c r="J1576" s="81">
        <v>84</v>
      </c>
      <c r="K1576" t="s">
        <v>48</v>
      </c>
    </row>
    <row r="1577" spans="2:11" x14ac:dyDescent="0.25">
      <c r="B1577" s="2">
        <v>10</v>
      </c>
      <c r="C1577" s="4">
        <v>3611.4669999999996</v>
      </c>
      <c r="D1577" s="4">
        <v>71528.975000000006</v>
      </c>
      <c r="E1577" s="79">
        <v>0</v>
      </c>
      <c r="F1577" s="79">
        <f>SUM(BASE_DATOS[[#This Row],[Capital($)]:[Interés
Resarcitorio($)]])</f>
        <v>75140.44200000001</v>
      </c>
      <c r="G1577" s="8">
        <v>45367</v>
      </c>
      <c r="H1577" s="80" t="s">
        <v>63</v>
      </c>
      <c r="I1577" s="79" t="s">
        <v>9</v>
      </c>
      <c r="J1577" s="81">
        <v>84</v>
      </c>
      <c r="K1577" t="s">
        <v>48</v>
      </c>
    </row>
    <row r="1578" spans="2:11" x14ac:dyDescent="0.25">
      <c r="B1578" s="2">
        <v>10</v>
      </c>
      <c r="C1578" s="4">
        <v>3611.4669999999996</v>
      </c>
      <c r="D1578" s="4">
        <v>71528.975000000006</v>
      </c>
      <c r="E1578" s="79">
        <v>38246.480000000003</v>
      </c>
      <c r="F1578" s="79">
        <f>SUM(BASE_DATOS[[#This Row],[Capital($)]:[Interés
Resarcitorio($)]])</f>
        <v>113386.92200000002</v>
      </c>
      <c r="G1578" s="8">
        <v>45377</v>
      </c>
      <c r="H1578" s="80" t="s">
        <v>63</v>
      </c>
      <c r="I1578" s="79" t="s">
        <v>7</v>
      </c>
      <c r="J1578" s="81">
        <v>84</v>
      </c>
      <c r="K1578" t="s">
        <v>48</v>
      </c>
    </row>
    <row r="1579" spans="2:11" x14ac:dyDescent="0.25">
      <c r="B1579" s="2">
        <v>11</v>
      </c>
      <c r="C1579" s="4">
        <v>3760.62</v>
      </c>
      <c r="D1579" s="4">
        <v>71379.822</v>
      </c>
      <c r="E1579" s="79">
        <v>0</v>
      </c>
      <c r="F1579" s="79">
        <f>SUM(BASE_DATOS[[#This Row],[Capital($)]:[Interés
Resarcitorio($)]])</f>
        <v>75140.441999999995</v>
      </c>
      <c r="G1579" s="8">
        <v>45398</v>
      </c>
      <c r="H1579" s="80" t="s">
        <v>63</v>
      </c>
      <c r="I1579" s="79" t="s">
        <v>9</v>
      </c>
      <c r="J1579" s="81">
        <v>84</v>
      </c>
      <c r="K1579" t="s">
        <v>48</v>
      </c>
    </row>
    <row r="1580" spans="2:11" x14ac:dyDescent="0.25">
      <c r="B1580" s="2">
        <v>11</v>
      </c>
      <c r="C1580" s="4">
        <v>3760.62</v>
      </c>
      <c r="D1580" s="4">
        <v>71379.822</v>
      </c>
      <c r="E1580" s="79">
        <v>30231.5</v>
      </c>
      <c r="F1580" s="79">
        <f>SUM(BASE_DATOS[[#This Row],[Capital($)]:[Interés
Resarcitorio($)]])</f>
        <v>105371.942</v>
      </c>
      <c r="G1580" s="8">
        <v>45408</v>
      </c>
      <c r="H1580" s="80" t="s">
        <v>63</v>
      </c>
      <c r="I1580" s="79" t="s">
        <v>7</v>
      </c>
      <c r="J1580" s="81">
        <v>84</v>
      </c>
      <c r="K1580" t="s">
        <v>48</v>
      </c>
    </row>
    <row r="1581" spans="2:11" x14ac:dyDescent="0.25">
      <c r="B1581" s="2">
        <v>12</v>
      </c>
      <c r="C1581" s="4">
        <v>3915.9339999999997</v>
      </c>
      <c r="D1581" s="4">
        <v>71224.508000000002</v>
      </c>
      <c r="E1581" s="79">
        <v>0</v>
      </c>
      <c r="F1581" s="79">
        <f>SUM(BASE_DATOS[[#This Row],[Capital($)]:[Interés
Resarcitorio($)]])</f>
        <v>75140.441999999995</v>
      </c>
      <c r="G1581" s="8">
        <v>45428</v>
      </c>
      <c r="H1581" s="80" t="s">
        <v>63</v>
      </c>
      <c r="I1581" s="79" t="s">
        <v>9</v>
      </c>
      <c r="J1581" s="81">
        <v>84</v>
      </c>
      <c r="K1581" t="s">
        <v>48</v>
      </c>
    </row>
    <row r="1582" spans="2:11" x14ac:dyDescent="0.25">
      <c r="B1582" s="2">
        <v>12</v>
      </c>
      <c r="C1582" s="4">
        <v>3915.9339999999997</v>
      </c>
      <c r="D1582" s="4">
        <v>71224.508000000002</v>
      </c>
      <c r="E1582" s="79">
        <v>30231.5</v>
      </c>
      <c r="F1582" s="79">
        <f>SUM(BASE_DATOS[[#This Row],[Capital($)]:[Interés
Resarcitorio($)]])</f>
        <v>105371.942</v>
      </c>
      <c r="G1582" s="8">
        <v>45438</v>
      </c>
      <c r="H1582" s="80" t="s">
        <v>63</v>
      </c>
      <c r="I1582" s="79" t="s">
        <v>7</v>
      </c>
      <c r="J1582" s="81">
        <v>84</v>
      </c>
      <c r="K1582" t="s">
        <v>48</v>
      </c>
    </row>
    <row r="1583" spans="2:11" x14ac:dyDescent="0.25">
      <c r="B1583" s="2">
        <v>13</v>
      </c>
      <c r="C1583" s="4">
        <v>4077.6620000000003</v>
      </c>
      <c r="D1583" s="4">
        <v>71062.78</v>
      </c>
      <c r="E1583" s="79">
        <v>0</v>
      </c>
      <c r="F1583" s="79">
        <f>SUM(BASE_DATOS[[#This Row],[Capital($)]:[Interés
Resarcitorio($)]])</f>
        <v>75140.441999999995</v>
      </c>
      <c r="G1583" s="8">
        <v>45459</v>
      </c>
      <c r="H1583" s="80" t="s">
        <v>63</v>
      </c>
      <c r="I1583" s="79" t="s">
        <v>9</v>
      </c>
      <c r="J1583" s="81">
        <v>84</v>
      </c>
      <c r="K1583" t="s">
        <v>48</v>
      </c>
    </row>
    <row r="1584" spans="2:11" x14ac:dyDescent="0.25">
      <c r="B1584" s="2">
        <v>13</v>
      </c>
      <c r="C1584" s="4">
        <v>4077.6620000000003</v>
      </c>
      <c r="D1584" s="4">
        <v>71062.78</v>
      </c>
      <c r="E1584" s="79">
        <v>16055.01</v>
      </c>
      <c r="F1584" s="79">
        <f>SUM(BASE_DATOS[[#This Row],[Capital($)]:[Interés
Resarcitorio($)]])</f>
        <v>91195.45199999999</v>
      </c>
      <c r="G1584" s="8">
        <v>45469</v>
      </c>
      <c r="H1584" s="80" t="s">
        <v>63</v>
      </c>
      <c r="I1584" s="79" t="s">
        <v>7</v>
      </c>
      <c r="J1584" s="81">
        <v>84</v>
      </c>
      <c r="K1584" t="s">
        <v>48</v>
      </c>
    </row>
    <row r="1585" spans="2:11" x14ac:dyDescent="0.25">
      <c r="B1585" s="2">
        <v>14</v>
      </c>
      <c r="C1585" s="4">
        <v>4246.07</v>
      </c>
      <c r="D1585" s="4">
        <v>70894.372000000003</v>
      </c>
      <c r="E1585" s="79">
        <v>0</v>
      </c>
      <c r="F1585" s="79">
        <f>SUM(BASE_DATOS[[#This Row],[Capital($)]:[Interés
Resarcitorio($)]])</f>
        <v>75140.44200000001</v>
      </c>
      <c r="G1585" s="8">
        <v>45489</v>
      </c>
      <c r="H1585" s="80" t="s">
        <v>63</v>
      </c>
      <c r="I1585" s="79" t="s">
        <v>9</v>
      </c>
      <c r="J1585" s="81">
        <v>84</v>
      </c>
      <c r="K1585" t="s">
        <v>48</v>
      </c>
    </row>
    <row r="1586" spans="2:11" x14ac:dyDescent="0.25">
      <c r="B1586" s="2">
        <v>14</v>
      </c>
      <c r="C1586" s="4">
        <v>4246.07</v>
      </c>
      <c r="D1586" s="4">
        <v>70894.372000000003</v>
      </c>
      <c r="E1586" s="79">
        <v>16055.01</v>
      </c>
      <c r="F1586" s="79">
        <f>SUM(BASE_DATOS[[#This Row],[Capital($)]:[Interés
Resarcitorio($)]])</f>
        <v>91195.452000000005</v>
      </c>
      <c r="G1586" s="8">
        <v>45499</v>
      </c>
      <c r="H1586" s="80" t="s">
        <v>63</v>
      </c>
      <c r="I1586" s="79" t="s">
        <v>7</v>
      </c>
      <c r="J1586" s="81">
        <v>84</v>
      </c>
      <c r="K1586" t="s">
        <v>48</v>
      </c>
    </row>
    <row r="1587" spans="2:11" x14ac:dyDescent="0.25">
      <c r="B1587" s="2">
        <v>15</v>
      </c>
      <c r="C1587" s="4">
        <v>4421.4319999999998</v>
      </c>
      <c r="D1587" s="4">
        <v>70719.009999999995</v>
      </c>
      <c r="E1587" s="79">
        <v>0</v>
      </c>
      <c r="F1587" s="79">
        <f>SUM(BASE_DATOS[[#This Row],[Capital($)]:[Interés
Resarcitorio($)]])</f>
        <v>75140.441999999995</v>
      </c>
      <c r="G1587" s="8">
        <v>45520</v>
      </c>
      <c r="H1587" s="80" t="s">
        <v>63</v>
      </c>
      <c r="I1587" s="79" t="s">
        <v>9</v>
      </c>
      <c r="J1587" s="81">
        <v>84</v>
      </c>
      <c r="K1587" t="s">
        <v>48</v>
      </c>
    </row>
    <row r="1588" spans="2:11" x14ac:dyDescent="0.25">
      <c r="B1588" s="2">
        <v>15</v>
      </c>
      <c r="C1588" s="4">
        <v>4421.4319999999998</v>
      </c>
      <c r="D1588" s="4">
        <v>70719.009999999995</v>
      </c>
      <c r="E1588" s="79">
        <v>16055.01</v>
      </c>
      <c r="F1588" s="79">
        <f>SUM(BASE_DATOS[[#This Row],[Capital($)]:[Interés
Resarcitorio($)]])</f>
        <v>91195.45199999999</v>
      </c>
      <c r="G1588" s="8">
        <v>45530</v>
      </c>
      <c r="H1588" s="80" t="s">
        <v>63</v>
      </c>
      <c r="I1588" s="79" t="s">
        <v>7</v>
      </c>
      <c r="J1588" s="81">
        <v>84</v>
      </c>
      <c r="K1588" t="s">
        <v>48</v>
      </c>
    </row>
    <row r="1589" spans="2:11" x14ac:dyDescent="0.25">
      <c r="B1589" s="2">
        <v>16</v>
      </c>
      <c r="C1589" s="4">
        <v>4604.0370000000003</v>
      </c>
      <c r="D1589" s="4">
        <v>70536.404999999999</v>
      </c>
      <c r="E1589" s="79">
        <v>0</v>
      </c>
      <c r="F1589" s="79">
        <f>SUM(BASE_DATOS[[#This Row],[Capital($)]:[Interés
Resarcitorio($)]])</f>
        <v>75140.441999999995</v>
      </c>
      <c r="G1589" s="8">
        <v>45551</v>
      </c>
      <c r="H1589" s="80" t="s">
        <v>63</v>
      </c>
      <c r="I1589" s="79" t="s">
        <v>9</v>
      </c>
      <c r="J1589" s="81">
        <v>84</v>
      </c>
      <c r="K1589" t="s">
        <v>48</v>
      </c>
    </row>
    <row r="1590" spans="2:11" x14ac:dyDescent="0.25">
      <c r="B1590" s="2">
        <v>16</v>
      </c>
      <c r="C1590" s="4">
        <v>4604.0370000000003</v>
      </c>
      <c r="D1590" s="4">
        <v>70536.404999999999</v>
      </c>
      <c r="E1590" s="79">
        <v>16055.01</v>
      </c>
      <c r="F1590" s="79">
        <f>SUM(BASE_DATOS[[#This Row],[Capital($)]:[Interés
Resarcitorio($)]])</f>
        <v>91195.45199999999</v>
      </c>
      <c r="G1590" s="8">
        <v>45561</v>
      </c>
      <c r="H1590" s="80" t="s">
        <v>63</v>
      </c>
      <c r="I1590" s="79" t="s">
        <v>7</v>
      </c>
      <c r="J1590" s="81">
        <v>84</v>
      </c>
      <c r="K1590" t="s">
        <v>48</v>
      </c>
    </row>
    <row r="1591" spans="2:11" x14ac:dyDescent="0.25">
      <c r="B1591" s="2">
        <v>17</v>
      </c>
      <c r="C1591" s="4">
        <v>4794.1839999999993</v>
      </c>
      <c r="D1591" s="4">
        <v>70346.258000000002</v>
      </c>
      <c r="E1591" s="79">
        <v>0</v>
      </c>
      <c r="F1591" s="79">
        <f>SUM(BASE_DATOS[[#This Row],[Capital($)]:[Interés
Resarcitorio($)]])</f>
        <v>75140.441999999995</v>
      </c>
      <c r="G1591" s="8">
        <v>45581</v>
      </c>
      <c r="H1591" s="80" t="s">
        <v>63</v>
      </c>
      <c r="I1591" s="79" t="s">
        <v>9</v>
      </c>
      <c r="J1591" s="81">
        <v>84</v>
      </c>
      <c r="K1591" t="s">
        <v>48</v>
      </c>
    </row>
    <row r="1592" spans="2:11" x14ac:dyDescent="0.25">
      <c r="B1592" s="2">
        <v>17</v>
      </c>
      <c r="C1592" s="4">
        <v>4794.1839999999993</v>
      </c>
      <c r="D1592" s="4">
        <v>70346.258000000002</v>
      </c>
      <c r="E1592" s="79">
        <v>16055.01</v>
      </c>
      <c r="F1592" s="79">
        <f>SUM(BASE_DATOS[[#This Row],[Capital($)]:[Interés
Resarcitorio($)]])</f>
        <v>91195.45199999999</v>
      </c>
      <c r="G1592" s="8">
        <v>45591</v>
      </c>
      <c r="H1592" s="80" t="s">
        <v>63</v>
      </c>
      <c r="I1592" s="79" t="s">
        <v>7</v>
      </c>
      <c r="J1592" s="81">
        <v>84</v>
      </c>
      <c r="K1592" t="s">
        <v>48</v>
      </c>
    </row>
    <row r="1593" spans="2:11" x14ac:dyDescent="0.25">
      <c r="B1593" s="2">
        <v>18</v>
      </c>
      <c r="C1593" s="4">
        <v>4992.1839999999993</v>
      </c>
      <c r="D1593" s="4">
        <v>70148.258000000002</v>
      </c>
      <c r="E1593" s="79">
        <v>0</v>
      </c>
      <c r="F1593" s="79">
        <f>SUM(BASE_DATOS[[#This Row],[Capital($)]:[Interés
Resarcitorio($)]])</f>
        <v>75140.441999999995</v>
      </c>
      <c r="G1593" s="8">
        <v>45612</v>
      </c>
      <c r="H1593" s="80" t="s">
        <v>63</v>
      </c>
      <c r="I1593" s="79" t="s">
        <v>9</v>
      </c>
      <c r="J1593" s="81">
        <v>84</v>
      </c>
      <c r="K1593" t="s">
        <v>48</v>
      </c>
    </row>
    <row r="1594" spans="2:11" x14ac:dyDescent="0.25">
      <c r="B1594" s="2">
        <v>18</v>
      </c>
      <c r="C1594" s="4">
        <v>4992.1839999999993</v>
      </c>
      <c r="D1594" s="4">
        <v>70148.258000000002</v>
      </c>
      <c r="E1594" s="79">
        <v>16055.01</v>
      </c>
      <c r="F1594" s="79">
        <f>SUM(BASE_DATOS[[#This Row],[Capital($)]:[Interés
Resarcitorio($)]])</f>
        <v>91195.45199999999</v>
      </c>
      <c r="G1594" s="8">
        <v>45622</v>
      </c>
      <c r="H1594" s="80" t="s">
        <v>63</v>
      </c>
      <c r="I1594" s="79" t="s">
        <v>7</v>
      </c>
      <c r="J1594" s="81">
        <v>84</v>
      </c>
      <c r="K1594" t="s">
        <v>48</v>
      </c>
    </row>
    <row r="1595" spans="2:11" x14ac:dyDescent="0.25">
      <c r="B1595" s="2">
        <v>19</v>
      </c>
      <c r="C1595" s="4">
        <v>5198.3609999999999</v>
      </c>
      <c r="D1595" s="4">
        <v>69942.081000000006</v>
      </c>
      <c r="E1595" s="79">
        <v>0</v>
      </c>
      <c r="F1595" s="79">
        <f>SUM(BASE_DATOS[[#This Row],[Capital($)]:[Interés
Resarcitorio($)]])</f>
        <v>75140.44200000001</v>
      </c>
      <c r="G1595" s="8">
        <v>45642</v>
      </c>
      <c r="H1595" s="80" t="s">
        <v>63</v>
      </c>
      <c r="I1595" s="79" t="s">
        <v>9</v>
      </c>
      <c r="J1595" s="81">
        <v>84</v>
      </c>
      <c r="K1595" t="s">
        <v>48</v>
      </c>
    </row>
    <row r="1596" spans="2:11" x14ac:dyDescent="0.25">
      <c r="B1596" s="2">
        <v>19</v>
      </c>
      <c r="C1596" s="4">
        <v>5198.3609999999999</v>
      </c>
      <c r="D1596" s="4">
        <v>69942.081000000006</v>
      </c>
      <c r="E1596" s="79">
        <v>18709.97</v>
      </c>
      <c r="F1596" s="79">
        <f>SUM(BASE_DATOS[[#This Row],[Capital($)]:[Interés
Resarcitorio($)]])</f>
        <v>93850.412000000011</v>
      </c>
      <c r="G1596" s="8">
        <v>45652</v>
      </c>
      <c r="H1596" s="80" t="s">
        <v>63</v>
      </c>
      <c r="I1596" s="79" t="s">
        <v>7</v>
      </c>
      <c r="J1596" s="81">
        <v>84</v>
      </c>
      <c r="K1596" t="s">
        <v>48</v>
      </c>
    </row>
    <row r="1597" spans="2:11" x14ac:dyDescent="0.25">
      <c r="B1597" s="2">
        <v>20</v>
      </c>
      <c r="C1597" s="4">
        <v>5413.0529999999999</v>
      </c>
      <c r="D1597" s="4">
        <v>69727.388999999996</v>
      </c>
      <c r="E1597" s="79">
        <v>0</v>
      </c>
      <c r="F1597" s="79">
        <f>SUM(BASE_DATOS[[#This Row],[Capital($)]:[Interés
Resarcitorio($)]])</f>
        <v>75140.441999999995</v>
      </c>
      <c r="G1597" s="8">
        <v>45673</v>
      </c>
      <c r="H1597" s="80" t="s">
        <v>63</v>
      </c>
      <c r="I1597" s="79" t="s">
        <v>9</v>
      </c>
      <c r="J1597" s="81">
        <v>84</v>
      </c>
      <c r="K1597" t="s">
        <v>48</v>
      </c>
    </row>
    <row r="1598" spans="2:11" x14ac:dyDescent="0.25">
      <c r="B1598" s="2">
        <v>20</v>
      </c>
      <c r="C1598" s="4">
        <v>5413.0529999999999</v>
      </c>
      <c r="D1598" s="4">
        <v>69727.388999999996</v>
      </c>
      <c r="E1598" s="79">
        <v>18709.97</v>
      </c>
      <c r="F1598" s="79">
        <f>SUM(BASE_DATOS[[#This Row],[Capital($)]:[Interés
Resarcitorio($)]])</f>
        <v>93850.411999999997</v>
      </c>
      <c r="G1598" s="8">
        <v>45683</v>
      </c>
      <c r="H1598" s="80" t="s">
        <v>63</v>
      </c>
      <c r="I1598" s="79" t="s">
        <v>7</v>
      </c>
      <c r="J1598" s="81">
        <v>84</v>
      </c>
      <c r="K1598" t="s">
        <v>48</v>
      </c>
    </row>
    <row r="1599" spans="2:11" x14ac:dyDescent="0.25">
      <c r="B1599" s="2">
        <v>21</v>
      </c>
      <c r="C1599" s="4">
        <v>5636.6129999999994</v>
      </c>
      <c r="D1599" s="4">
        <v>69503.828999999998</v>
      </c>
      <c r="E1599" s="79">
        <v>0</v>
      </c>
      <c r="F1599" s="79">
        <f>SUM(BASE_DATOS[[#This Row],[Capital($)]:[Interés
Resarcitorio($)]])</f>
        <v>75140.441999999995</v>
      </c>
      <c r="G1599" s="8">
        <v>45704</v>
      </c>
      <c r="H1599" s="80" t="s">
        <v>63</v>
      </c>
      <c r="I1599" s="79" t="s">
        <v>9</v>
      </c>
      <c r="J1599" s="81">
        <v>84</v>
      </c>
      <c r="K1599" t="s">
        <v>48</v>
      </c>
    </row>
    <row r="1600" spans="2:11" x14ac:dyDescent="0.25">
      <c r="B1600" s="2">
        <v>21</v>
      </c>
      <c r="C1600" s="4">
        <v>5636.6129999999994</v>
      </c>
      <c r="D1600" s="4">
        <v>69503.828999999998</v>
      </c>
      <c r="E1600" s="79">
        <v>18183.990000000002</v>
      </c>
      <c r="F1600" s="79">
        <f>SUM(BASE_DATOS[[#This Row],[Capital($)]:[Interés
Resarcitorio($)]])</f>
        <v>93324.432000000001</v>
      </c>
      <c r="G1600" s="8">
        <v>45714</v>
      </c>
      <c r="H1600" s="80" t="s">
        <v>63</v>
      </c>
      <c r="I1600" s="79" t="s">
        <v>7</v>
      </c>
      <c r="J1600" s="81">
        <v>84</v>
      </c>
      <c r="K1600" t="s">
        <v>48</v>
      </c>
    </row>
    <row r="1601" spans="2:11" x14ac:dyDescent="0.25">
      <c r="B1601" s="2">
        <v>22</v>
      </c>
      <c r="C1601" s="4">
        <v>5869.4050000000007</v>
      </c>
      <c r="D1601" s="4">
        <v>69271.036999999997</v>
      </c>
      <c r="E1601" s="79">
        <v>0</v>
      </c>
      <c r="F1601" s="79">
        <f>SUM(BASE_DATOS[[#This Row],[Capital($)]:[Interés
Resarcitorio($)]])</f>
        <v>75140.441999999995</v>
      </c>
      <c r="G1601" s="8">
        <v>45732</v>
      </c>
      <c r="H1601" s="80" t="s">
        <v>63</v>
      </c>
      <c r="I1601" s="79" t="s">
        <v>9</v>
      </c>
      <c r="J1601" s="81">
        <v>84</v>
      </c>
      <c r="K1601" t="s">
        <v>48</v>
      </c>
    </row>
    <row r="1602" spans="2:11" x14ac:dyDescent="0.25">
      <c r="B1602" s="2">
        <v>22</v>
      </c>
      <c r="C1602" s="4">
        <v>5869.4050000000007</v>
      </c>
      <c r="D1602" s="4">
        <v>69271.036999999997</v>
      </c>
      <c r="E1602" s="79">
        <v>10018.73</v>
      </c>
      <c r="F1602" s="79">
        <f>SUM(BASE_DATOS[[#This Row],[Capital($)]:[Interés
Resarcitorio($)]])</f>
        <v>85159.171999999991</v>
      </c>
      <c r="G1602" s="8">
        <v>45742</v>
      </c>
      <c r="H1602" s="80" t="s">
        <v>63</v>
      </c>
      <c r="I1602" s="79" t="s">
        <v>7</v>
      </c>
      <c r="J1602" s="81">
        <v>84</v>
      </c>
      <c r="K1602" t="s">
        <v>48</v>
      </c>
    </row>
    <row r="1603" spans="2:11" x14ac:dyDescent="0.25">
      <c r="B1603" s="2">
        <v>23</v>
      </c>
      <c r="C1603" s="4">
        <v>6111.8109999999997</v>
      </c>
      <c r="D1603" s="4">
        <v>69028.631000000008</v>
      </c>
      <c r="E1603" s="79">
        <v>0</v>
      </c>
      <c r="F1603" s="79">
        <f>SUM(BASE_DATOS[[#This Row],[Capital($)]:[Interés
Resarcitorio($)]])</f>
        <v>75140.44200000001</v>
      </c>
      <c r="G1603" s="8">
        <v>45763</v>
      </c>
      <c r="H1603" s="80" t="s">
        <v>63</v>
      </c>
      <c r="I1603" s="79" t="s">
        <v>6</v>
      </c>
      <c r="J1603" s="81">
        <v>84</v>
      </c>
      <c r="K1603" t="s">
        <v>48</v>
      </c>
    </row>
    <row r="1604" spans="2:11" x14ac:dyDescent="0.25">
      <c r="B1604" s="2">
        <v>23</v>
      </c>
      <c r="C1604" s="4">
        <v>6111.8109999999997</v>
      </c>
      <c r="D1604" s="4">
        <v>69028.631000000008</v>
      </c>
      <c r="E1604" s="79">
        <v>10018.73</v>
      </c>
      <c r="F1604" s="79">
        <f>SUM(BASE_DATOS[[#This Row],[Capital($)]:[Interés
Resarcitorio($)]])</f>
        <v>85159.172000000006</v>
      </c>
      <c r="G1604" s="8">
        <v>45773</v>
      </c>
      <c r="H1604" s="80" t="s">
        <v>63</v>
      </c>
      <c r="I1604" s="79" t="s">
        <v>7</v>
      </c>
      <c r="J1604" s="81">
        <v>84</v>
      </c>
      <c r="K1604" t="s">
        <v>48</v>
      </c>
    </row>
    <row r="1605" spans="2:11" x14ac:dyDescent="0.25">
      <c r="B1605" s="2">
        <v>24</v>
      </c>
      <c r="C1605" s="4">
        <v>6364.2290000000003</v>
      </c>
      <c r="D1605" s="4">
        <v>68776.213000000003</v>
      </c>
      <c r="E1605" s="79">
        <v>0</v>
      </c>
      <c r="F1605" s="79">
        <f>SUM(BASE_DATOS[[#This Row],[Capital($)]:[Interés
Resarcitorio($)]])</f>
        <v>75140.44200000001</v>
      </c>
      <c r="G1605" s="8">
        <v>45793</v>
      </c>
      <c r="H1605" s="80" t="s">
        <v>63</v>
      </c>
      <c r="I1605" s="79" t="s">
        <v>9</v>
      </c>
      <c r="J1605" s="81">
        <v>84</v>
      </c>
      <c r="K1605" t="s">
        <v>48</v>
      </c>
    </row>
    <row r="1606" spans="2:11" x14ac:dyDescent="0.25">
      <c r="B1606" s="2">
        <v>24</v>
      </c>
      <c r="C1606" s="4">
        <v>6364.2290000000003</v>
      </c>
      <c r="D1606" s="4">
        <v>68776.213000000003</v>
      </c>
      <c r="E1606" s="79">
        <v>10018.73</v>
      </c>
      <c r="F1606" s="79">
        <f>SUM(BASE_DATOS[[#This Row],[Capital($)]:[Interés
Resarcitorio($)]])</f>
        <v>85159.172000000006</v>
      </c>
      <c r="G1606" s="8">
        <v>45803</v>
      </c>
      <c r="H1606" s="80" t="s">
        <v>63</v>
      </c>
      <c r="I1606" s="79" t="s">
        <v>7</v>
      </c>
      <c r="J1606" s="81">
        <v>84</v>
      </c>
      <c r="K1606" t="s">
        <v>48</v>
      </c>
    </row>
    <row r="1607" spans="2:11" x14ac:dyDescent="0.25">
      <c r="B1607" s="2">
        <v>25</v>
      </c>
      <c r="C1607" s="4">
        <v>6627.0720000000001</v>
      </c>
      <c r="D1607" s="4">
        <v>68513.37</v>
      </c>
      <c r="E1607" s="79">
        <v>0</v>
      </c>
      <c r="F1607" s="79">
        <f>SUM(BASE_DATOS[[#This Row],[Capital($)]:[Interés
Resarcitorio($)]])</f>
        <v>75140.441999999995</v>
      </c>
      <c r="G1607" s="8">
        <v>45824</v>
      </c>
      <c r="H1607" s="80" t="s">
        <v>63</v>
      </c>
      <c r="I1607" s="79" t="s">
        <v>9</v>
      </c>
      <c r="J1607" s="81">
        <v>84</v>
      </c>
      <c r="K1607" t="s">
        <v>48</v>
      </c>
    </row>
    <row r="1608" spans="2:11" x14ac:dyDescent="0.25">
      <c r="B1608" s="2">
        <v>25</v>
      </c>
      <c r="C1608" s="4">
        <v>6627.0720000000001</v>
      </c>
      <c r="D1608" s="4">
        <v>68513.37</v>
      </c>
      <c r="E1608" s="79">
        <v>10018.73</v>
      </c>
      <c r="F1608" s="79">
        <f>SUM(BASE_DATOS[[#This Row],[Capital($)]:[Interés
Resarcitorio($)]])</f>
        <v>85159.171999999991</v>
      </c>
      <c r="G1608" s="8">
        <v>45834</v>
      </c>
      <c r="H1608" s="80" t="s">
        <v>63</v>
      </c>
      <c r="I1608" s="79" t="s">
        <v>7</v>
      </c>
      <c r="J1608" s="81">
        <v>84</v>
      </c>
      <c r="K1608" t="s">
        <v>48</v>
      </c>
    </row>
    <row r="1609" spans="2:11" x14ac:dyDescent="0.25">
      <c r="B1609" s="2">
        <v>26</v>
      </c>
      <c r="C1609" s="4">
        <v>6900.7699999999995</v>
      </c>
      <c r="D1609" s="4">
        <v>68239.671999999991</v>
      </c>
      <c r="E1609" s="79">
        <v>0</v>
      </c>
      <c r="F1609" s="79">
        <f>SUM(BASE_DATOS[[#This Row],[Capital($)]:[Interés
Resarcitorio($)]])</f>
        <v>75140.441999999995</v>
      </c>
      <c r="G1609" s="8">
        <v>45854</v>
      </c>
      <c r="H1609" s="80" t="s">
        <v>63</v>
      </c>
      <c r="I1609" s="79" t="s">
        <v>6</v>
      </c>
      <c r="J1609" s="81">
        <v>84</v>
      </c>
      <c r="K1609" t="s">
        <v>48</v>
      </c>
    </row>
    <row r="1610" spans="2:11" x14ac:dyDescent="0.25">
      <c r="B1610" s="2">
        <v>26</v>
      </c>
      <c r="C1610" s="4">
        <v>6900.7699999999995</v>
      </c>
      <c r="D1610" s="4">
        <v>68239.671999999991</v>
      </c>
      <c r="E1610" s="79">
        <v>10018.73</v>
      </c>
      <c r="F1610" s="79">
        <f>SUM(BASE_DATOS[[#This Row],[Capital($)]:[Interés
Resarcitorio($)]])</f>
        <v>85159.171999999991</v>
      </c>
      <c r="G1610" s="8">
        <v>45864</v>
      </c>
      <c r="H1610" s="80" t="s">
        <v>63</v>
      </c>
      <c r="I1610" s="79" t="s">
        <v>7</v>
      </c>
      <c r="J1610" s="81">
        <v>84</v>
      </c>
      <c r="K1610" t="s">
        <v>48</v>
      </c>
    </row>
    <row r="1611" spans="2:11" x14ac:dyDescent="0.25">
      <c r="B1611" s="2">
        <v>27</v>
      </c>
      <c r="C1611" s="4">
        <v>7185.7710000000006</v>
      </c>
      <c r="D1611" s="4">
        <v>67954.671000000002</v>
      </c>
      <c r="E1611" s="79">
        <v>0</v>
      </c>
      <c r="F1611" s="79">
        <f>SUM(BASE_DATOS[[#This Row],[Capital($)]:[Interés
Resarcitorio($)]])</f>
        <v>75140.44200000001</v>
      </c>
      <c r="G1611" s="8">
        <v>45885</v>
      </c>
      <c r="H1611" s="80" t="s">
        <v>63</v>
      </c>
      <c r="I1611" s="79" t="s">
        <v>6</v>
      </c>
      <c r="J1611" s="81">
        <v>84</v>
      </c>
      <c r="K1611" t="s">
        <v>48</v>
      </c>
    </row>
    <row r="1612" spans="2:11" x14ac:dyDescent="0.25">
      <c r="B1612" s="2">
        <v>27</v>
      </c>
      <c r="C1612" s="4">
        <v>7185.7710000000006</v>
      </c>
      <c r="D1612" s="4">
        <v>67954.671000000002</v>
      </c>
      <c r="E1612" s="79">
        <v>10018.73</v>
      </c>
      <c r="F1612" s="79">
        <f>SUM(BASE_DATOS[[#This Row],[Capital($)]:[Interés
Resarcitorio($)]])</f>
        <v>85159.172000000006</v>
      </c>
      <c r="G1612" s="8">
        <v>45895</v>
      </c>
      <c r="H1612" s="80" t="s">
        <v>63</v>
      </c>
      <c r="I1612" s="79" t="s">
        <v>7</v>
      </c>
      <c r="J1612" s="81">
        <v>84</v>
      </c>
      <c r="K1612" t="s">
        <v>48</v>
      </c>
    </row>
    <row r="1613" spans="2:11" x14ac:dyDescent="0.25">
      <c r="B1613" s="2">
        <v>28</v>
      </c>
      <c r="C1613" s="4">
        <v>7482.5439999999999</v>
      </c>
      <c r="D1613" s="4">
        <v>67657.898000000001</v>
      </c>
      <c r="E1613" s="79">
        <v>0</v>
      </c>
      <c r="F1613" s="79">
        <f>SUM(BASE_DATOS[[#This Row],[Capital($)]:[Interés
Resarcitorio($)]])</f>
        <v>75140.441999999995</v>
      </c>
      <c r="G1613" s="8">
        <v>45916</v>
      </c>
      <c r="H1613" s="80" t="s">
        <v>63</v>
      </c>
      <c r="I1613" s="79" t="s">
        <v>6</v>
      </c>
      <c r="J1613" s="81">
        <v>84</v>
      </c>
      <c r="K1613" t="s">
        <v>48</v>
      </c>
    </row>
    <row r="1614" spans="2:11" x14ac:dyDescent="0.25">
      <c r="B1614" s="2">
        <v>28</v>
      </c>
      <c r="C1614" s="4">
        <v>7482.5439999999999</v>
      </c>
      <c r="D1614" s="4">
        <v>67657.898000000001</v>
      </c>
      <c r="E1614" s="79">
        <v>10018.73</v>
      </c>
      <c r="F1614" s="79">
        <f>SUM(BASE_DATOS[[#This Row],[Capital($)]:[Interés
Resarcitorio($)]])</f>
        <v>85159.171999999991</v>
      </c>
      <c r="G1614" s="8">
        <v>45926</v>
      </c>
      <c r="H1614" s="80" t="s">
        <v>63</v>
      </c>
      <c r="I1614" s="79" t="s">
        <v>7</v>
      </c>
      <c r="J1614" s="81">
        <v>84</v>
      </c>
      <c r="K1614" t="s">
        <v>48</v>
      </c>
    </row>
    <row r="1615" spans="2:11" x14ac:dyDescent="0.25">
      <c r="B1615" s="2">
        <v>29</v>
      </c>
      <c r="C1615" s="4">
        <v>7791.5729999999994</v>
      </c>
      <c r="D1615" s="4">
        <v>67348.868999999992</v>
      </c>
      <c r="E1615" s="79">
        <v>0</v>
      </c>
      <c r="F1615" s="79">
        <f>SUM(BASE_DATOS[[#This Row],[Capital($)]:[Interés
Resarcitorio($)]])</f>
        <v>75140.441999999995</v>
      </c>
      <c r="G1615" s="8">
        <v>45946</v>
      </c>
      <c r="H1615" s="80" t="s">
        <v>63</v>
      </c>
      <c r="I1615" s="79" t="s">
        <v>6</v>
      </c>
      <c r="J1615" s="81">
        <v>84</v>
      </c>
      <c r="K1615" t="s">
        <v>48</v>
      </c>
    </row>
    <row r="1616" spans="2:11" x14ac:dyDescent="0.25">
      <c r="B1616" s="2">
        <v>29</v>
      </c>
      <c r="C1616" s="4">
        <v>7791.5729999999994</v>
      </c>
      <c r="D1616" s="4">
        <v>67348.868999999992</v>
      </c>
      <c r="E1616" s="79">
        <v>10018.73</v>
      </c>
      <c r="F1616" s="79">
        <f>SUM(BASE_DATOS[[#This Row],[Capital($)]:[Interés
Resarcitorio($)]])</f>
        <v>85159.171999999991</v>
      </c>
      <c r="G1616" s="8">
        <v>45956</v>
      </c>
      <c r="H1616" s="80" t="s">
        <v>63</v>
      </c>
      <c r="I1616" s="79" t="s">
        <v>7</v>
      </c>
      <c r="J1616" s="81">
        <v>84</v>
      </c>
      <c r="K1616" t="s">
        <v>48</v>
      </c>
    </row>
    <row r="1617" spans="2:11" x14ac:dyDescent="0.25">
      <c r="B1617" s="2">
        <v>30</v>
      </c>
      <c r="C1617" s="4">
        <v>8113.3649999999998</v>
      </c>
      <c r="D1617" s="4">
        <v>67027.077000000005</v>
      </c>
      <c r="E1617" s="79">
        <v>0</v>
      </c>
      <c r="F1617" s="79">
        <f>SUM(BASE_DATOS[[#This Row],[Capital($)]:[Interés
Resarcitorio($)]])</f>
        <v>75140.44200000001</v>
      </c>
      <c r="G1617" s="8">
        <v>45977</v>
      </c>
      <c r="H1617" s="80" t="s">
        <v>63</v>
      </c>
      <c r="I1617" s="79" t="s">
        <v>6</v>
      </c>
      <c r="J1617" s="81">
        <v>84</v>
      </c>
      <c r="K1617" t="s">
        <v>48</v>
      </c>
    </row>
    <row r="1618" spans="2:11" x14ac:dyDescent="0.25">
      <c r="B1618" s="2">
        <v>30</v>
      </c>
      <c r="C1618" s="4">
        <v>8113.3649999999998</v>
      </c>
      <c r="D1618" s="4">
        <v>67027.077000000005</v>
      </c>
      <c r="E1618" s="79">
        <v>10018.73</v>
      </c>
      <c r="F1618" s="79">
        <f>SUM(BASE_DATOS[[#This Row],[Capital($)]:[Interés
Resarcitorio($)]])</f>
        <v>85159.172000000006</v>
      </c>
      <c r="G1618" s="8">
        <v>45987</v>
      </c>
      <c r="H1618" s="80" t="s">
        <v>63</v>
      </c>
      <c r="I1618" s="79" t="s">
        <v>7</v>
      </c>
      <c r="J1618" s="81">
        <v>84</v>
      </c>
      <c r="K1618" t="s">
        <v>48</v>
      </c>
    </row>
    <row r="1619" spans="2:11" x14ac:dyDescent="0.25">
      <c r="B1619" s="2">
        <v>31</v>
      </c>
      <c r="C1619" s="4">
        <v>8448.4470000000001</v>
      </c>
      <c r="D1619" s="4">
        <v>66691.994999999995</v>
      </c>
      <c r="E1619" s="79">
        <v>0</v>
      </c>
      <c r="F1619" s="79">
        <f>SUM(BASE_DATOS[[#This Row],[Capital($)]:[Interés
Resarcitorio($)]])</f>
        <v>75140.441999999995</v>
      </c>
      <c r="G1619" s="8">
        <v>46007</v>
      </c>
      <c r="H1619" s="80" t="s">
        <v>63</v>
      </c>
      <c r="I1619" s="79" t="s">
        <v>6</v>
      </c>
      <c r="J1619" s="81">
        <v>84</v>
      </c>
      <c r="K1619" t="s">
        <v>48</v>
      </c>
    </row>
    <row r="1620" spans="2:11" x14ac:dyDescent="0.25">
      <c r="B1620" s="2">
        <v>31</v>
      </c>
      <c r="C1620" s="4">
        <v>8448.4470000000001</v>
      </c>
      <c r="D1620" s="4">
        <v>66691.994999999995</v>
      </c>
      <c r="E1620" s="79">
        <v>10018.73</v>
      </c>
      <c r="F1620" s="79">
        <f>SUM(BASE_DATOS[[#This Row],[Capital($)]:[Interés
Resarcitorio($)]])</f>
        <v>85159.171999999991</v>
      </c>
      <c r="G1620" s="8">
        <v>46017</v>
      </c>
      <c r="H1620" s="80" t="s">
        <v>63</v>
      </c>
      <c r="I1620" s="79" t="s">
        <v>7</v>
      </c>
      <c r="J1620" s="81">
        <v>84</v>
      </c>
      <c r="K1620" t="s">
        <v>48</v>
      </c>
    </row>
    <row r="1621" spans="2:11" x14ac:dyDescent="0.25">
      <c r="B1621" s="2">
        <v>32</v>
      </c>
      <c r="C1621" s="4">
        <v>8797.3679999999986</v>
      </c>
      <c r="D1621" s="4">
        <v>66343.073999999993</v>
      </c>
      <c r="E1621" s="79">
        <v>0</v>
      </c>
      <c r="F1621" s="79">
        <f>SUM(BASE_DATOS[[#This Row],[Capital($)]:[Interés
Resarcitorio($)]])</f>
        <v>75140.441999999995</v>
      </c>
      <c r="G1621" s="8">
        <v>46038</v>
      </c>
      <c r="H1621" s="80" t="s">
        <v>63</v>
      </c>
      <c r="I1621" s="79" t="s">
        <v>6</v>
      </c>
      <c r="J1621" s="81">
        <v>84</v>
      </c>
      <c r="K1621" t="s">
        <v>48</v>
      </c>
    </row>
    <row r="1622" spans="2:11" x14ac:dyDescent="0.25">
      <c r="B1622" s="2">
        <v>32</v>
      </c>
      <c r="C1622" s="4">
        <v>8797.3679999999986</v>
      </c>
      <c r="D1622" s="4">
        <v>66343.073999999993</v>
      </c>
      <c r="E1622" s="79">
        <v>10018.73</v>
      </c>
      <c r="F1622" s="79">
        <f>SUM(BASE_DATOS[[#This Row],[Capital($)]:[Interés
Resarcitorio($)]])</f>
        <v>85159.171999999991</v>
      </c>
      <c r="G1622" s="8">
        <v>46048</v>
      </c>
      <c r="H1622" s="80" t="s">
        <v>63</v>
      </c>
      <c r="I1622" s="79" t="s">
        <v>7</v>
      </c>
      <c r="J1622" s="81">
        <v>84</v>
      </c>
      <c r="K1622" t="s">
        <v>48</v>
      </c>
    </row>
    <row r="1623" spans="2:11" x14ac:dyDescent="0.25">
      <c r="B1623" s="2">
        <v>33</v>
      </c>
      <c r="C1623" s="4">
        <v>9160.6990000000005</v>
      </c>
      <c r="D1623" s="4">
        <v>65979.743000000002</v>
      </c>
      <c r="E1623" s="79">
        <v>0</v>
      </c>
      <c r="F1623" s="79">
        <f>SUM(BASE_DATOS[[#This Row],[Capital($)]:[Interés
Resarcitorio($)]])</f>
        <v>75140.44200000001</v>
      </c>
      <c r="G1623" s="8">
        <v>46069</v>
      </c>
      <c r="H1623" s="80" t="s">
        <v>63</v>
      </c>
      <c r="I1623" s="79" t="s">
        <v>6</v>
      </c>
      <c r="J1623" s="81">
        <v>84</v>
      </c>
      <c r="K1623" t="s">
        <v>48</v>
      </c>
    </row>
    <row r="1624" spans="2:11" x14ac:dyDescent="0.25">
      <c r="B1624" s="2">
        <v>33</v>
      </c>
      <c r="C1624" s="4">
        <v>9160.6990000000005</v>
      </c>
      <c r="D1624" s="4">
        <v>65979.743000000002</v>
      </c>
      <c r="E1624" s="79">
        <v>10018.73</v>
      </c>
      <c r="F1624" s="79">
        <f>SUM(BASE_DATOS[[#This Row],[Capital($)]:[Interés
Resarcitorio($)]])</f>
        <v>85159.172000000006</v>
      </c>
      <c r="G1624" s="8">
        <v>46079</v>
      </c>
      <c r="H1624" s="80" t="s">
        <v>63</v>
      </c>
      <c r="I1624" s="79" t="s">
        <v>7</v>
      </c>
      <c r="J1624" s="81">
        <v>84</v>
      </c>
      <c r="K1624" t="s">
        <v>48</v>
      </c>
    </row>
    <row r="1625" spans="2:11" x14ac:dyDescent="0.25">
      <c r="B1625" s="2">
        <v>34</v>
      </c>
      <c r="C1625" s="4">
        <v>9539.0360000000001</v>
      </c>
      <c r="D1625" s="4">
        <v>65601.406000000003</v>
      </c>
      <c r="E1625" s="79">
        <v>0</v>
      </c>
      <c r="F1625" s="79">
        <f>SUM(BASE_DATOS[[#This Row],[Capital($)]:[Interés
Resarcitorio($)]])</f>
        <v>75140.44200000001</v>
      </c>
      <c r="G1625" s="8">
        <v>46097</v>
      </c>
      <c r="H1625" s="80" t="s">
        <v>63</v>
      </c>
      <c r="I1625" s="79" t="s">
        <v>6</v>
      </c>
      <c r="J1625" s="81">
        <v>84</v>
      </c>
      <c r="K1625" t="s">
        <v>48</v>
      </c>
    </row>
    <row r="1626" spans="2:11" x14ac:dyDescent="0.25">
      <c r="B1626" s="2">
        <v>34</v>
      </c>
      <c r="C1626" s="4">
        <v>9539.0360000000001</v>
      </c>
      <c r="D1626" s="4">
        <v>65601.406000000003</v>
      </c>
      <c r="E1626" s="79">
        <v>10018.73</v>
      </c>
      <c r="F1626" s="79">
        <f>SUM(BASE_DATOS[[#This Row],[Capital($)]:[Interés
Resarcitorio($)]])</f>
        <v>85159.172000000006</v>
      </c>
      <c r="G1626" s="8">
        <v>46107</v>
      </c>
      <c r="H1626" s="80" t="s">
        <v>63</v>
      </c>
      <c r="I1626" s="79" t="s">
        <v>7</v>
      </c>
      <c r="J1626" s="81">
        <v>84</v>
      </c>
      <c r="K1626" t="s">
        <v>48</v>
      </c>
    </row>
    <row r="1627" spans="2:11" x14ac:dyDescent="0.25">
      <c r="B1627" s="2">
        <v>35</v>
      </c>
      <c r="C1627" s="4">
        <v>9932.9979999999996</v>
      </c>
      <c r="D1627" s="4">
        <v>65207.443999999996</v>
      </c>
      <c r="E1627" s="79">
        <v>0</v>
      </c>
      <c r="F1627" s="79">
        <f>SUM(BASE_DATOS[[#This Row],[Capital($)]:[Interés
Resarcitorio($)]])</f>
        <v>75140.441999999995</v>
      </c>
      <c r="G1627" s="8">
        <v>46128</v>
      </c>
      <c r="H1627" s="80" t="s">
        <v>63</v>
      </c>
      <c r="I1627" s="79" t="s">
        <v>6</v>
      </c>
      <c r="J1627" s="81">
        <v>84</v>
      </c>
      <c r="K1627" t="s">
        <v>48</v>
      </c>
    </row>
    <row r="1628" spans="2:11" x14ac:dyDescent="0.25">
      <c r="B1628" s="2">
        <v>35</v>
      </c>
      <c r="C1628" s="4">
        <v>9932.9979999999996</v>
      </c>
      <c r="D1628" s="4">
        <v>65207.443999999996</v>
      </c>
      <c r="E1628" s="79">
        <v>10018.73</v>
      </c>
      <c r="F1628" s="79">
        <f>SUM(BASE_DATOS[[#This Row],[Capital($)]:[Interés
Resarcitorio($)]])</f>
        <v>85159.171999999991</v>
      </c>
      <c r="G1628" s="8">
        <v>46138</v>
      </c>
      <c r="H1628" s="80" t="s">
        <v>63</v>
      </c>
      <c r="I1628" s="79" t="s">
        <v>7</v>
      </c>
      <c r="J1628" s="81">
        <v>84</v>
      </c>
      <c r="K1628" t="s">
        <v>48</v>
      </c>
    </row>
    <row r="1629" spans="2:11" x14ac:dyDescent="0.25">
      <c r="B1629" s="2">
        <v>36</v>
      </c>
      <c r="C1629" s="4">
        <v>10343.231</v>
      </c>
      <c r="D1629" s="4">
        <v>64797.210999999996</v>
      </c>
      <c r="E1629" s="79">
        <v>0</v>
      </c>
      <c r="F1629" s="79">
        <f>SUM(BASE_DATOS[[#This Row],[Capital($)]:[Interés
Resarcitorio($)]])</f>
        <v>75140.441999999995</v>
      </c>
      <c r="G1629" s="8">
        <v>46158</v>
      </c>
      <c r="H1629" s="80" t="s">
        <v>63</v>
      </c>
      <c r="I1629" s="79" t="s">
        <v>6</v>
      </c>
      <c r="J1629" s="81">
        <v>84</v>
      </c>
      <c r="K1629" t="s">
        <v>48</v>
      </c>
    </row>
    <row r="1630" spans="2:11" x14ac:dyDescent="0.25">
      <c r="B1630" s="2">
        <v>36</v>
      </c>
      <c r="C1630" s="4">
        <v>10343.231</v>
      </c>
      <c r="D1630" s="4">
        <v>64797.210999999996</v>
      </c>
      <c r="E1630" s="79">
        <v>10018.73</v>
      </c>
      <c r="F1630" s="79">
        <f>SUM(BASE_DATOS[[#This Row],[Capital($)]:[Interés
Resarcitorio($)]])</f>
        <v>85159.171999999991</v>
      </c>
      <c r="G1630" s="8">
        <v>46168</v>
      </c>
      <c r="H1630" s="80" t="s">
        <v>63</v>
      </c>
      <c r="I1630" s="79" t="s">
        <v>7</v>
      </c>
      <c r="J1630" s="81">
        <v>84</v>
      </c>
      <c r="K1630" t="s">
        <v>48</v>
      </c>
    </row>
    <row r="1631" spans="2:11" x14ac:dyDescent="0.25">
      <c r="B1631" s="2">
        <v>37</v>
      </c>
      <c r="C1631" s="4">
        <v>10770.405999999999</v>
      </c>
      <c r="D1631" s="4">
        <v>64370.036</v>
      </c>
      <c r="E1631" s="79">
        <v>0</v>
      </c>
      <c r="F1631" s="79">
        <f>SUM(BASE_DATOS[[#This Row],[Capital($)]:[Interés
Resarcitorio($)]])</f>
        <v>75140.441999999995</v>
      </c>
      <c r="G1631" s="8">
        <v>46189</v>
      </c>
      <c r="H1631" s="80" t="s">
        <v>63</v>
      </c>
      <c r="I1631" s="79" t="s">
        <v>6</v>
      </c>
      <c r="J1631" s="81">
        <v>84</v>
      </c>
      <c r="K1631" t="s">
        <v>48</v>
      </c>
    </row>
    <row r="1632" spans="2:11" x14ac:dyDescent="0.25">
      <c r="B1632" s="2">
        <v>37</v>
      </c>
      <c r="C1632" s="4">
        <v>10770.405999999999</v>
      </c>
      <c r="D1632" s="4">
        <v>64370.036</v>
      </c>
      <c r="E1632" s="79">
        <v>10018.73</v>
      </c>
      <c r="F1632" s="79">
        <f>SUM(BASE_DATOS[[#This Row],[Capital($)]:[Interés
Resarcitorio($)]])</f>
        <v>85159.171999999991</v>
      </c>
      <c r="G1632" s="8">
        <v>46199</v>
      </c>
      <c r="H1632" s="80" t="s">
        <v>63</v>
      </c>
      <c r="I1632" s="79" t="s">
        <v>7</v>
      </c>
      <c r="J1632" s="81">
        <v>84</v>
      </c>
      <c r="K1632" t="s">
        <v>48</v>
      </c>
    </row>
    <row r="1633" spans="2:11" x14ac:dyDescent="0.25">
      <c r="B1633" s="2">
        <v>38</v>
      </c>
      <c r="C1633" s="4">
        <v>11215.224</v>
      </c>
      <c r="D1633" s="4">
        <v>63925.218000000008</v>
      </c>
      <c r="E1633" s="79">
        <v>0</v>
      </c>
      <c r="F1633" s="79">
        <f>SUM(BASE_DATOS[[#This Row],[Capital($)]:[Interés
Resarcitorio($)]])</f>
        <v>75140.44200000001</v>
      </c>
      <c r="G1633" s="8">
        <v>46219</v>
      </c>
      <c r="H1633" s="80" t="s">
        <v>63</v>
      </c>
      <c r="I1633" s="79" t="s">
        <v>6</v>
      </c>
      <c r="J1633" s="81">
        <v>84</v>
      </c>
      <c r="K1633" t="s">
        <v>48</v>
      </c>
    </row>
    <row r="1634" spans="2:11" x14ac:dyDescent="0.25">
      <c r="B1634" s="2">
        <v>38</v>
      </c>
      <c r="C1634" s="4">
        <v>11215.224</v>
      </c>
      <c r="D1634" s="4">
        <v>63925.218000000008</v>
      </c>
      <c r="E1634" s="79">
        <v>10018.73</v>
      </c>
      <c r="F1634" s="79">
        <f>SUM(BASE_DATOS[[#This Row],[Capital($)]:[Interés
Resarcitorio($)]])</f>
        <v>85159.172000000006</v>
      </c>
      <c r="G1634" s="8">
        <v>46229</v>
      </c>
      <c r="H1634" s="80" t="s">
        <v>63</v>
      </c>
      <c r="I1634" s="79" t="s">
        <v>7</v>
      </c>
      <c r="J1634" s="81">
        <v>84</v>
      </c>
      <c r="K1634" t="s">
        <v>48</v>
      </c>
    </row>
    <row r="1635" spans="2:11" x14ac:dyDescent="0.25">
      <c r="B1635" s="2">
        <v>39</v>
      </c>
      <c r="C1635" s="4">
        <v>11678.413</v>
      </c>
      <c r="D1635" s="4">
        <v>63462.029000000002</v>
      </c>
      <c r="E1635" s="79">
        <v>0</v>
      </c>
      <c r="F1635" s="79">
        <f>SUM(BASE_DATOS[[#This Row],[Capital($)]:[Interés
Resarcitorio($)]])</f>
        <v>75140.44200000001</v>
      </c>
      <c r="G1635" s="8">
        <v>46250</v>
      </c>
      <c r="H1635" s="80" t="s">
        <v>63</v>
      </c>
      <c r="I1635" s="79" t="s">
        <v>6</v>
      </c>
      <c r="J1635" s="81">
        <v>84</v>
      </c>
      <c r="K1635" t="s">
        <v>48</v>
      </c>
    </row>
    <row r="1636" spans="2:11" x14ac:dyDescent="0.25">
      <c r="B1636" s="2">
        <v>39</v>
      </c>
      <c r="C1636" s="4">
        <v>11678.413</v>
      </c>
      <c r="D1636" s="4">
        <v>63462.029000000002</v>
      </c>
      <c r="E1636" s="79">
        <v>10018.73</v>
      </c>
      <c r="F1636" s="79">
        <f>SUM(BASE_DATOS[[#This Row],[Capital($)]:[Interés
Resarcitorio($)]])</f>
        <v>85159.172000000006</v>
      </c>
      <c r="G1636" s="8">
        <v>46260</v>
      </c>
      <c r="H1636" s="80" t="s">
        <v>63</v>
      </c>
      <c r="I1636" s="79" t="s">
        <v>7</v>
      </c>
      <c r="J1636" s="81">
        <v>84</v>
      </c>
      <c r="K1636" t="s">
        <v>48</v>
      </c>
    </row>
    <row r="1637" spans="2:11" x14ac:dyDescent="0.25">
      <c r="B1637" s="2">
        <v>40</v>
      </c>
      <c r="C1637" s="4">
        <v>12160.731</v>
      </c>
      <c r="D1637" s="4">
        <v>62979.710999999996</v>
      </c>
      <c r="E1637" s="79">
        <v>0</v>
      </c>
      <c r="F1637" s="79">
        <f>SUM(BASE_DATOS[[#This Row],[Capital($)]:[Interés
Resarcitorio($)]])</f>
        <v>75140.441999999995</v>
      </c>
      <c r="G1637" s="8">
        <v>46281</v>
      </c>
      <c r="H1637" s="80" t="s">
        <v>63</v>
      </c>
      <c r="I1637" s="79" t="s">
        <v>6</v>
      </c>
      <c r="J1637" s="81">
        <v>84</v>
      </c>
      <c r="K1637" t="s">
        <v>48</v>
      </c>
    </row>
    <row r="1638" spans="2:11" x14ac:dyDescent="0.25">
      <c r="B1638" s="2">
        <v>40</v>
      </c>
      <c r="C1638" s="4">
        <v>12160.731</v>
      </c>
      <c r="D1638" s="4">
        <v>62979.710999999996</v>
      </c>
      <c r="E1638" s="79">
        <v>10018.73</v>
      </c>
      <c r="F1638" s="79">
        <f>SUM(BASE_DATOS[[#This Row],[Capital($)]:[Interés
Resarcitorio($)]])</f>
        <v>85159.171999999991</v>
      </c>
      <c r="G1638" s="8">
        <v>46291</v>
      </c>
      <c r="H1638" s="80" t="s">
        <v>63</v>
      </c>
      <c r="I1638" s="79" t="s">
        <v>7</v>
      </c>
      <c r="J1638" s="81">
        <v>84</v>
      </c>
      <c r="K1638" t="s">
        <v>48</v>
      </c>
    </row>
    <row r="1639" spans="2:11" x14ac:dyDescent="0.25">
      <c r="B1639" s="2">
        <v>41</v>
      </c>
      <c r="C1639" s="4">
        <v>12662.969000000001</v>
      </c>
      <c r="D1639" s="4">
        <v>62477.472999999998</v>
      </c>
      <c r="E1639" s="79">
        <v>0</v>
      </c>
      <c r="F1639" s="79">
        <f>SUM(BASE_DATOS[[#This Row],[Capital($)]:[Interés
Resarcitorio($)]])</f>
        <v>75140.441999999995</v>
      </c>
      <c r="G1639" s="8">
        <v>46311</v>
      </c>
      <c r="H1639" s="80" t="s">
        <v>63</v>
      </c>
      <c r="I1639" s="79" t="s">
        <v>6</v>
      </c>
      <c r="J1639" s="81">
        <v>84</v>
      </c>
      <c r="K1639" t="s">
        <v>48</v>
      </c>
    </row>
    <row r="1640" spans="2:11" x14ac:dyDescent="0.25">
      <c r="B1640" s="2">
        <v>41</v>
      </c>
      <c r="C1640" s="4">
        <v>12662.969000000001</v>
      </c>
      <c r="D1640" s="4">
        <v>62477.472999999998</v>
      </c>
      <c r="E1640" s="79">
        <v>10018.73</v>
      </c>
      <c r="F1640" s="79">
        <f>SUM(BASE_DATOS[[#This Row],[Capital($)]:[Interés
Resarcitorio($)]])</f>
        <v>85159.171999999991</v>
      </c>
      <c r="G1640" s="8">
        <v>46321</v>
      </c>
      <c r="H1640" s="80" t="s">
        <v>63</v>
      </c>
      <c r="I1640" s="79" t="s">
        <v>7</v>
      </c>
      <c r="J1640" s="81">
        <v>84</v>
      </c>
      <c r="K1640" t="s">
        <v>48</v>
      </c>
    </row>
    <row r="1641" spans="2:11" x14ac:dyDescent="0.25">
      <c r="B1641" s="2">
        <v>42</v>
      </c>
      <c r="C1641" s="4">
        <v>13185.95</v>
      </c>
      <c r="D1641" s="4">
        <v>61954.492000000006</v>
      </c>
      <c r="E1641" s="79">
        <v>0</v>
      </c>
      <c r="F1641" s="79">
        <f>SUM(BASE_DATOS[[#This Row],[Capital($)]:[Interés
Resarcitorio($)]])</f>
        <v>75140.44200000001</v>
      </c>
      <c r="G1641" s="8">
        <v>46342</v>
      </c>
      <c r="H1641" s="80" t="s">
        <v>63</v>
      </c>
      <c r="I1641" s="79" t="s">
        <v>6</v>
      </c>
      <c r="J1641" s="81">
        <v>84</v>
      </c>
      <c r="K1641" t="s">
        <v>48</v>
      </c>
    </row>
    <row r="1642" spans="2:11" x14ac:dyDescent="0.25">
      <c r="B1642" s="2">
        <v>42</v>
      </c>
      <c r="C1642" s="4">
        <v>13185.95</v>
      </c>
      <c r="D1642" s="4">
        <v>61954.492000000006</v>
      </c>
      <c r="E1642" s="79">
        <v>10018.73</v>
      </c>
      <c r="F1642" s="79">
        <f>SUM(BASE_DATOS[[#This Row],[Capital($)]:[Interés
Resarcitorio($)]])</f>
        <v>85159.172000000006</v>
      </c>
      <c r="G1642" s="8">
        <v>46352</v>
      </c>
      <c r="H1642" s="80" t="s">
        <v>63</v>
      </c>
      <c r="I1642" s="79" t="s">
        <v>7</v>
      </c>
      <c r="J1642" s="81">
        <v>84</v>
      </c>
      <c r="K1642" t="s">
        <v>48</v>
      </c>
    </row>
    <row r="1643" spans="2:11" x14ac:dyDescent="0.25">
      <c r="B1643" s="2">
        <v>43</v>
      </c>
      <c r="C1643" s="4">
        <v>13730.529999999999</v>
      </c>
      <c r="D1643" s="4">
        <v>61409.911999999997</v>
      </c>
      <c r="E1643" s="79">
        <v>0</v>
      </c>
      <c r="F1643" s="79">
        <f>SUM(BASE_DATOS[[#This Row],[Capital($)]:[Interés
Resarcitorio($)]])</f>
        <v>75140.441999999995</v>
      </c>
      <c r="G1643" s="8">
        <v>46372</v>
      </c>
      <c r="H1643" s="80" t="s">
        <v>63</v>
      </c>
      <c r="I1643" s="79" t="s">
        <v>6</v>
      </c>
      <c r="J1643" s="81">
        <v>84</v>
      </c>
      <c r="K1643" t="s">
        <v>48</v>
      </c>
    </row>
    <row r="1644" spans="2:11" x14ac:dyDescent="0.25">
      <c r="B1644" s="2">
        <v>43</v>
      </c>
      <c r="C1644" s="4">
        <v>13730.529999999999</v>
      </c>
      <c r="D1644" s="4">
        <v>61409.911999999997</v>
      </c>
      <c r="E1644" s="79">
        <v>10018.73</v>
      </c>
      <c r="F1644" s="79">
        <f>SUM(BASE_DATOS[[#This Row],[Capital($)]:[Interés
Resarcitorio($)]])</f>
        <v>85159.171999999991</v>
      </c>
      <c r="G1644" s="8">
        <v>46382</v>
      </c>
      <c r="H1644" s="80" t="s">
        <v>63</v>
      </c>
      <c r="I1644" s="79" t="s">
        <v>7</v>
      </c>
      <c r="J1644" s="81">
        <v>84</v>
      </c>
      <c r="K1644" t="s">
        <v>48</v>
      </c>
    </row>
    <row r="1645" spans="2:11" x14ac:dyDescent="0.25">
      <c r="B1645" s="2">
        <v>44</v>
      </c>
      <c r="C1645" s="4">
        <v>14297.601000000001</v>
      </c>
      <c r="D1645" s="4">
        <v>60842.841</v>
      </c>
      <c r="E1645" s="79">
        <v>0</v>
      </c>
      <c r="F1645" s="79">
        <f>SUM(BASE_DATOS[[#This Row],[Capital($)]:[Interés
Resarcitorio($)]])</f>
        <v>75140.441999999995</v>
      </c>
      <c r="G1645" s="8">
        <v>46403</v>
      </c>
      <c r="H1645" s="80" t="s">
        <v>63</v>
      </c>
      <c r="I1645" s="79" t="s">
        <v>6</v>
      </c>
      <c r="J1645" s="81">
        <v>84</v>
      </c>
      <c r="K1645" t="s">
        <v>48</v>
      </c>
    </row>
    <row r="1646" spans="2:11" x14ac:dyDescent="0.25">
      <c r="B1646" s="2">
        <v>44</v>
      </c>
      <c r="C1646" s="4">
        <v>14297.601000000001</v>
      </c>
      <c r="D1646" s="4">
        <v>60842.841</v>
      </c>
      <c r="E1646" s="79">
        <v>10018.73</v>
      </c>
      <c r="F1646" s="79">
        <f>SUM(BASE_DATOS[[#This Row],[Capital($)]:[Interés
Resarcitorio($)]])</f>
        <v>85159.171999999991</v>
      </c>
      <c r="G1646" s="8">
        <v>46413</v>
      </c>
      <c r="H1646" s="80" t="s">
        <v>63</v>
      </c>
      <c r="I1646" s="79" t="s">
        <v>7</v>
      </c>
      <c r="J1646" s="81">
        <v>84</v>
      </c>
      <c r="K1646" t="s">
        <v>48</v>
      </c>
    </row>
    <row r="1647" spans="2:11" x14ac:dyDescent="0.25">
      <c r="B1647" s="2">
        <v>45</v>
      </c>
      <c r="C1647" s="4">
        <v>14888.091</v>
      </c>
      <c r="D1647" s="4">
        <v>60252.351000000002</v>
      </c>
      <c r="E1647" s="79">
        <v>0</v>
      </c>
      <c r="F1647" s="79">
        <f>SUM(BASE_DATOS[[#This Row],[Capital($)]:[Interés
Resarcitorio($)]])</f>
        <v>75140.44200000001</v>
      </c>
      <c r="G1647" s="8">
        <v>46434</v>
      </c>
      <c r="H1647" s="80" t="s">
        <v>63</v>
      </c>
      <c r="I1647" s="79" t="s">
        <v>6</v>
      </c>
      <c r="J1647" s="81">
        <v>84</v>
      </c>
      <c r="K1647" t="s">
        <v>48</v>
      </c>
    </row>
    <row r="1648" spans="2:11" x14ac:dyDescent="0.25">
      <c r="B1648" s="2">
        <v>45</v>
      </c>
      <c r="C1648" s="4">
        <v>14888.091</v>
      </c>
      <c r="D1648" s="4">
        <v>60252.351000000002</v>
      </c>
      <c r="E1648" s="79">
        <v>10018.73</v>
      </c>
      <c r="F1648" s="79">
        <f>SUM(BASE_DATOS[[#This Row],[Capital($)]:[Interés
Resarcitorio($)]])</f>
        <v>85159.172000000006</v>
      </c>
      <c r="G1648" s="8">
        <v>46444</v>
      </c>
      <c r="H1648" s="80" t="s">
        <v>63</v>
      </c>
      <c r="I1648" s="79" t="s">
        <v>7</v>
      </c>
      <c r="J1648" s="81">
        <v>84</v>
      </c>
      <c r="K1648" t="s">
        <v>48</v>
      </c>
    </row>
    <row r="1649" spans="2:11" x14ac:dyDescent="0.25">
      <c r="B1649" s="2">
        <v>46</v>
      </c>
      <c r="C1649" s="4">
        <v>15502.970000000001</v>
      </c>
      <c r="D1649" s="4">
        <v>59637.471999999994</v>
      </c>
      <c r="E1649" s="79">
        <v>0</v>
      </c>
      <c r="F1649" s="79">
        <f>SUM(BASE_DATOS[[#This Row],[Capital($)]:[Interés
Resarcitorio($)]])</f>
        <v>75140.441999999995</v>
      </c>
      <c r="G1649" s="8">
        <v>46462</v>
      </c>
      <c r="H1649" s="80" t="s">
        <v>63</v>
      </c>
      <c r="I1649" s="79" t="s">
        <v>6</v>
      </c>
      <c r="J1649" s="81">
        <v>84</v>
      </c>
      <c r="K1649" t="s">
        <v>48</v>
      </c>
    </row>
    <row r="1650" spans="2:11" x14ac:dyDescent="0.25">
      <c r="B1650" s="2">
        <v>46</v>
      </c>
      <c r="C1650" s="4">
        <v>15502.970000000001</v>
      </c>
      <c r="D1650" s="4">
        <v>59637.471999999994</v>
      </c>
      <c r="E1650" s="79">
        <v>10018.73</v>
      </c>
      <c r="F1650" s="79">
        <f>SUM(BASE_DATOS[[#This Row],[Capital($)]:[Interés
Resarcitorio($)]])</f>
        <v>85159.171999999991</v>
      </c>
      <c r="G1650" s="8">
        <v>46472</v>
      </c>
      <c r="H1650" s="80" t="s">
        <v>63</v>
      </c>
      <c r="I1650" s="79" t="s">
        <v>7</v>
      </c>
      <c r="J1650" s="81">
        <v>84</v>
      </c>
      <c r="K1650" t="s">
        <v>48</v>
      </c>
    </row>
    <row r="1651" spans="2:11" x14ac:dyDescent="0.25">
      <c r="B1651" s="2">
        <v>47</v>
      </c>
      <c r="C1651" s="4">
        <v>16143.242000000002</v>
      </c>
      <c r="D1651" s="4">
        <v>58997.2</v>
      </c>
      <c r="E1651" s="79">
        <v>0</v>
      </c>
      <c r="F1651" s="79">
        <f>SUM(BASE_DATOS[[#This Row],[Capital($)]:[Interés
Resarcitorio($)]])</f>
        <v>75140.441999999995</v>
      </c>
      <c r="G1651" s="8">
        <v>46493</v>
      </c>
      <c r="H1651" s="80" t="s">
        <v>63</v>
      </c>
      <c r="I1651" s="79" t="s">
        <v>6</v>
      </c>
      <c r="J1651" s="81">
        <v>84</v>
      </c>
      <c r="K1651" t="s">
        <v>48</v>
      </c>
    </row>
    <row r="1652" spans="2:11" x14ac:dyDescent="0.25">
      <c r="B1652" s="2">
        <v>47</v>
      </c>
      <c r="C1652" s="4">
        <v>16143.242000000002</v>
      </c>
      <c r="D1652" s="4">
        <v>58997.2</v>
      </c>
      <c r="E1652" s="79">
        <v>10018.73</v>
      </c>
      <c r="F1652" s="79">
        <f>SUM(BASE_DATOS[[#This Row],[Capital($)]:[Interés
Resarcitorio($)]])</f>
        <v>85159.171999999991</v>
      </c>
      <c r="G1652" s="8">
        <v>46503</v>
      </c>
      <c r="H1652" s="80" t="s">
        <v>63</v>
      </c>
      <c r="I1652" s="79" t="s">
        <v>7</v>
      </c>
      <c r="J1652" s="81">
        <v>84</v>
      </c>
      <c r="K1652" t="s">
        <v>48</v>
      </c>
    </row>
    <row r="1653" spans="2:11" x14ac:dyDescent="0.25">
      <c r="B1653" s="2">
        <v>48</v>
      </c>
      <c r="C1653" s="4">
        <v>16809.957999999999</v>
      </c>
      <c r="D1653" s="4">
        <v>58330.483999999997</v>
      </c>
      <c r="E1653" s="79">
        <v>0</v>
      </c>
      <c r="F1653" s="79">
        <f>SUM(BASE_DATOS[[#This Row],[Capital($)]:[Interés
Resarcitorio($)]])</f>
        <v>75140.441999999995</v>
      </c>
      <c r="G1653" s="8">
        <v>46523</v>
      </c>
      <c r="H1653" s="80" t="s">
        <v>63</v>
      </c>
      <c r="I1653" s="79" t="s">
        <v>6</v>
      </c>
      <c r="J1653" s="81">
        <v>84</v>
      </c>
      <c r="K1653" t="s">
        <v>48</v>
      </c>
    </row>
    <row r="1654" spans="2:11" x14ac:dyDescent="0.25">
      <c r="B1654" s="2">
        <v>48</v>
      </c>
      <c r="C1654" s="4">
        <v>16809.957999999999</v>
      </c>
      <c r="D1654" s="4">
        <v>58330.483999999997</v>
      </c>
      <c r="E1654" s="79">
        <v>10018.73</v>
      </c>
      <c r="F1654" s="79">
        <f>SUM(BASE_DATOS[[#This Row],[Capital($)]:[Interés
Resarcitorio($)]])</f>
        <v>85159.171999999991</v>
      </c>
      <c r="G1654" s="8">
        <v>46533</v>
      </c>
      <c r="H1654" s="80" t="s">
        <v>63</v>
      </c>
      <c r="I1654" s="79" t="s">
        <v>7</v>
      </c>
      <c r="J1654" s="81">
        <v>84</v>
      </c>
      <c r="K1654" t="s">
        <v>48</v>
      </c>
    </row>
    <row r="1655" spans="2:11" x14ac:dyDescent="0.25">
      <c r="B1655" s="2">
        <v>49</v>
      </c>
      <c r="C1655" s="4">
        <v>17504.208999999999</v>
      </c>
      <c r="D1655" s="4">
        <v>57636.232999999993</v>
      </c>
      <c r="E1655" s="79">
        <v>0</v>
      </c>
      <c r="F1655" s="79">
        <f>SUM(BASE_DATOS[[#This Row],[Capital($)]:[Interés
Resarcitorio($)]])</f>
        <v>75140.441999999995</v>
      </c>
      <c r="G1655" s="8">
        <v>46554</v>
      </c>
      <c r="H1655" s="80" t="s">
        <v>63</v>
      </c>
      <c r="I1655" s="79" t="s">
        <v>6</v>
      </c>
      <c r="J1655" s="81">
        <v>84</v>
      </c>
      <c r="K1655" t="s">
        <v>48</v>
      </c>
    </row>
    <row r="1656" spans="2:11" x14ac:dyDescent="0.25">
      <c r="B1656" s="2">
        <v>49</v>
      </c>
      <c r="C1656" s="4">
        <v>17504.208999999999</v>
      </c>
      <c r="D1656" s="4">
        <v>57636.232999999993</v>
      </c>
      <c r="E1656" s="79">
        <v>10018.73</v>
      </c>
      <c r="F1656" s="79">
        <f>SUM(BASE_DATOS[[#This Row],[Capital($)]:[Interés
Resarcitorio($)]])</f>
        <v>85159.171999999991</v>
      </c>
      <c r="G1656" s="8">
        <v>46564</v>
      </c>
      <c r="H1656" s="80" t="s">
        <v>63</v>
      </c>
      <c r="I1656" s="79" t="s">
        <v>7</v>
      </c>
      <c r="J1656" s="81">
        <v>84</v>
      </c>
      <c r="K1656" t="s">
        <v>48</v>
      </c>
    </row>
    <row r="1657" spans="2:11" x14ac:dyDescent="0.25">
      <c r="B1657" s="2">
        <v>50</v>
      </c>
      <c r="C1657" s="4">
        <v>18227.132999999998</v>
      </c>
      <c r="D1657" s="4">
        <v>56913.308999999994</v>
      </c>
      <c r="E1657" s="79">
        <v>0</v>
      </c>
      <c r="F1657" s="79">
        <f>SUM(BASE_DATOS[[#This Row],[Capital($)]:[Interés
Resarcitorio($)]])</f>
        <v>75140.441999999995</v>
      </c>
      <c r="G1657" s="8">
        <v>46584</v>
      </c>
      <c r="H1657" s="80" t="s">
        <v>63</v>
      </c>
      <c r="I1657" s="79" t="s">
        <v>6</v>
      </c>
      <c r="J1657" s="81">
        <v>84</v>
      </c>
      <c r="K1657" t="s">
        <v>48</v>
      </c>
    </row>
    <row r="1658" spans="2:11" x14ac:dyDescent="0.25">
      <c r="B1658" s="2">
        <v>50</v>
      </c>
      <c r="C1658" s="4">
        <v>18227.132999999998</v>
      </c>
      <c r="D1658" s="4">
        <v>56913.308999999994</v>
      </c>
      <c r="E1658" s="79">
        <v>10018.73</v>
      </c>
      <c r="F1658" s="79">
        <f>SUM(BASE_DATOS[[#This Row],[Capital($)]:[Interés
Resarcitorio($)]])</f>
        <v>85159.171999999991</v>
      </c>
      <c r="G1658" s="8">
        <v>46594</v>
      </c>
      <c r="H1658" s="80" t="s">
        <v>63</v>
      </c>
      <c r="I1658" s="79" t="s">
        <v>7</v>
      </c>
      <c r="J1658" s="81">
        <v>84</v>
      </c>
      <c r="K1658" t="s">
        <v>48</v>
      </c>
    </row>
    <row r="1659" spans="2:11" x14ac:dyDescent="0.25">
      <c r="B1659" s="2">
        <v>51</v>
      </c>
      <c r="C1659" s="4">
        <v>18979.914000000001</v>
      </c>
      <c r="D1659" s="4">
        <v>56160.528000000006</v>
      </c>
      <c r="E1659" s="79">
        <v>0</v>
      </c>
      <c r="F1659" s="79">
        <f>SUM(BASE_DATOS[[#This Row],[Capital($)]:[Interés
Resarcitorio($)]])</f>
        <v>75140.44200000001</v>
      </c>
      <c r="G1659" s="8">
        <v>46615</v>
      </c>
      <c r="H1659" s="80" t="s">
        <v>63</v>
      </c>
      <c r="I1659" s="79" t="s">
        <v>6</v>
      </c>
      <c r="J1659" s="81">
        <v>84</v>
      </c>
      <c r="K1659" t="s">
        <v>48</v>
      </c>
    </row>
    <row r="1660" spans="2:11" x14ac:dyDescent="0.25">
      <c r="B1660" s="2">
        <v>51</v>
      </c>
      <c r="C1660" s="4">
        <v>18979.914000000001</v>
      </c>
      <c r="D1660" s="4">
        <v>56160.528000000006</v>
      </c>
      <c r="E1660" s="79">
        <v>10018.73</v>
      </c>
      <c r="F1660" s="79">
        <f>SUM(BASE_DATOS[[#This Row],[Capital($)]:[Interés
Resarcitorio($)]])</f>
        <v>85159.172000000006</v>
      </c>
      <c r="G1660" s="8">
        <v>46625</v>
      </c>
      <c r="H1660" s="80" t="s">
        <v>63</v>
      </c>
      <c r="I1660" s="79" t="s">
        <v>7</v>
      </c>
      <c r="J1660" s="81">
        <v>84</v>
      </c>
      <c r="K1660" t="s">
        <v>48</v>
      </c>
    </row>
    <row r="1661" spans="2:11" x14ac:dyDescent="0.25">
      <c r="B1661" s="2">
        <v>52</v>
      </c>
      <c r="C1661" s="4">
        <v>19763.784</v>
      </c>
      <c r="D1661" s="4">
        <v>55376.657999999996</v>
      </c>
      <c r="E1661" s="79">
        <v>0</v>
      </c>
      <c r="F1661" s="79">
        <f>SUM(BASE_DATOS[[#This Row],[Capital($)]:[Interés
Resarcitorio($)]])</f>
        <v>75140.441999999995</v>
      </c>
      <c r="G1661" s="8">
        <v>46646</v>
      </c>
      <c r="H1661" s="80" t="s">
        <v>63</v>
      </c>
      <c r="I1661" s="79" t="s">
        <v>6</v>
      </c>
      <c r="J1661" s="81">
        <v>84</v>
      </c>
      <c r="K1661" t="s">
        <v>48</v>
      </c>
    </row>
    <row r="1662" spans="2:11" x14ac:dyDescent="0.25">
      <c r="B1662" s="2">
        <v>52</v>
      </c>
      <c r="C1662" s="4">
        <v>19763.784</v>
      </c>
      <c r="D1662" s="4">
        <v>55376.657999999996</v>
      </c>
      <c r="E1662" s="79">
        <v>10018.73</v>
      </c>
      <c r="F1662" s="79">
        <f>SUM(BASE_DATOS[[#This Row],[Capital($)]:[Interés
Resarcitorio($)]])</f>
        <v>85159.171999999991</v>
      </c>
      <c r="G1662" s="8">
        <v>46656</v>
      </c>
      <c r="H1662" s="80" t="s">
        <v>63</v>
      </c>
      <c r="I1662" s="79" t="s">
        <v>7</v>
      </c>
      <c r="J1662" s="81">
        <v>84</v>
      </c>
      <c r="K1662" t="s">
        <v>48</v>
      </c>
    </row>
    <row r="1663" spans="2:11" x14ac:dyDescent="0.25">
      <c r="B1663" s="2">
        <v>53</v>
      </c>
      <c r="C1663" s="4">
        <v>20580.029000000002</v>
      </c>
      <c r="D1663" s="4">
        <v>54560.413</v>
      </c>
      <c r="E1663" s="79">
        <v>0</v>
      </c>
      <c r="F1663" s="79">
        <f>SUM(BASE_DATOS[[#This Row],[Capital($)]:[Interés
Resarcitorio($)]])</f>
        <v>75140.44200000001</v>
      </c>
      <c r="G1663" s="8">
        <v>46676</v>
      </c>
      <c r="H1663" s="80" t="s">
        <v>63</v>
      </c>
      <c r="I1663" s="79" t="s">
        <v>6</v>
      </c>
      <c r="J1663" s="81">
        <v>84</v>
      </c>
      <c r="K1663" t="s">
        <v>48</v>
      </c>
    </row>
    <row r="1664" spans="2:11" x14ac:dyDescent="0.25">
      <c r="B1664" s="2">
        <v>53</v>
      </c>
      <c r="C1664" s="4">
        <v>20580.029000000002</v>
      </c>
      <c r="D1664" s="4">
        <v>54560.413</v>
      </c>
      <c r="E1664" s="79">
        <v>10018.73</v>
      </c>
      <c r="F1664" s="79">
        <f>SUM(BASE_DATOS[[#This Row],[Capital($)]:[Interés
Resarcitorio($)]])</f>
        <v>85159.172000000006</v>
      </c>
      <c r="G1664" s="8">
        <v>46686</v>
      </c>
      <c r="H1664" s="80" t="s">
        <v>63</v>
      </c>
      <c r="I1664" s="79" t="s">
        <v>7</v>
      </c>
      <c r="J1664" s="81">
        <v>84</v>
      </c>
      <c r="K1664" t="s">
        <v>48</v>
      </c>
    </row>
    <row r="1665" spans="2:11" x14ac:dyDescent="0.25">
      <c r="B1665" s="2">
        <v>54</v>
      </c>
      <c r="C1665" s="4">
        <v>21429.984</v>
      </c>
      <c r="D1665" s="4">
        <v>53710.457999999999</v>
      </c>
      <c r="E1665" s="79">
        <v>0</v>
      </c>
      <c r="F1665" s="79">
        <f>SUM(BASE_DATOS[[#This Row],[Capital($)]:[Interés
Resarcitorio($)]])</f>
        <v>75140.441999999995</v>
      </c>
      <c r="G1665" s="8">
        <v>46707</v>
      </c>
      <c r="H1665" s="80" t="s">
        <v>63</v>
      </c>
      <c r="I1665" s="79" t="s">
        <v>6</v>
      </c>
      <c r="J1665" s="81">
        <v>84</v>
      </c>
      <c r="K1665" t="s">
        <v>48</v>
      </c>
    </row>
    <row r="1666" spans="2:11" x14ac:dyDescent="0.25">
      <c r="B1666" s="2">
        <v>54</v>
      </c>
      <c r="C1666" s="4">
        <v>21429.984</v>
      </c>
      <c r="D1666" s="4">
        <v>53710.457999999999</v>
      </c>
      <c r="E1666" s="79">
        <v>10018.73</v>
      </c>
      <c r="F1666" s="79">
        <f>SUM(BASE_DATOS[[#This Row],[Capital($)]:[Interés
Resarcitorio($)]])</f>
        <v>85159.171999999991</v>
      </c>
      <c r="G1666" s="8">
        <v>46717</v>
      </c>
      <c r="H1666" s="80" t="s">
        <v>63</v>
      </c>
      <c r="I1666" s="79" t="s">
        <v>7</v>
      </c>
      <c r="J1666" s="81">
        <v>84</v>
      </c>
      <c r="K1666" t="s">
        <v>48</v>
      </c>
    </row>
    <row r="1667" spans="2:11" x14ac:dyDescent="0.25">
      <c r="B1667" s="2">
        <v>55</v>
      </c>
      <c r="C1667" s="4">
        <v>22315.042000000001</v>
      </c>
      <c r="D1667" s="4">
        <v>52825.4</v>
      </c>
      <c r="E1667" s="79">
        <v>0</v>
      </c>
      <c r="F1667" s="79">
        <f>SUM(BASE_DATOS[[#This Row],[Capital($)]:[Interés
Resarcitorio($)]])</f>
        <v>75140.44200000001</v>
      </c>
      <c r="G1667" s="8">
        <v>46737</v>
      </c>
      <c r="H1667" s="80" t="s">
        <v>63</v>
      </c>
      <c r="I1667" s="79" t="s">
        <v>6</v>
      </c>
      <c r="J1667" s="81">
        <v>84</v>
      </c>
      <c r="K1667" t="s">
        <v>48</v>
      </c>
    </row>
    <row r="1668" spans="2:11" x14ac:dyDescent="0.25">
      <c r="B1668" s="2">
        <v>55</v>
      </c>
      <c r="C1668" s="4">
        <v>22315.042000000001</v>
      </c>
      <c r="D1668" s="4">
        <v>52825.4</v>
      </c>
      <c r="E1668" s="79">
        <v>10018.73</v>
      </c>
      <c r="F1668" s="79">
        <f>SUM(BASE_DATOS[[#This Row],[Capital($)]:[Interés
Resarcitorio($)]])</f>
        <v>85159.172000000006</v>
      </c>
      <c r="G1668" s="8">
        <v>46747</v>
      </c>
      <c r="H1668" s="80" t="s">
        <v>63</v>
      </c>
      <c r="I1668" s="79" t="s">
        <v>7</v>
      </c>
      <c r="J1668" s="81">
        <v>84</v>
      </c>
      <c r="K1668" t="s">
        <v>48</v>
      </c>
    </row>
    <row r="1669" spans="2:11" x14ac:dyDescent="0.25">
      <c r="B1669" s="2">
        <v>56</v>
      </c>
      <c r="C1669" s="4">
        <v>23236.652999999998</v>
      </c>
      <c r="D1669" s="4">
        <v>51903.789000000004</v>
      </c>
      <c r="E1669" s="79">
        <v>0</v>
      </c>
      <c r="F1669" s="79">
        <f>SUM(BASE_DATOS[[#This Row],[Capital($)]:[Interés
Resarcitorio($)]])</f>
        <v>75140.44200000001</v>
      </c>
      <c r="G1669" s="8">
        <v>46768</v>
      </c>
      <c r="H1669" s="80" t="s">
        <v>63</v>
      </c>
      <c r="I1669" s="79" t="s">
        <v>6</v>
      </c>
      <c r="J1669" s="81">
        <v>84</v>
      </c>
      <c r="K1669" t="s">
        <v>48</v>
      </c>
    </row>
    <row r="1670" spans="2:11" x14ac:dyDescent="0.25">
      <c r="B1670" s="2">
        <v>56</v>
      </c>
      <c r="C1670" s="4">
        <v>23236.652999999998</v>
      </c>
      <c r="D1670" s="4">
        <v>51903.789000000004</v>
      </c>
      <c r="E1670" s="79">
        <v>10018.73</v>
      </c>
      <c r="F1670" s="79">
        <f>SUM(BASE_DATOS[[#This Row],[Capital($)]:[Interés
Resarcitorio($)]])</f>
        <v>85159.172000000006</v>
      </c>
      <c r="G1670" s="8">
        <v>46778</v>
      </c>
      <c r="H1670" s="80" t="s">
        <v>63</v>
      </c>
      <c r="I1670" s="79" t="s">
        <v>7</v>
      </c>
      <c r="J1670" s="81">
        <v>84</v>
      </c>
      <c r="K1670" t="s">
        <v>48</v>
      </c>
    </row>
    <row r="1671" spans="2:11" x14ac:dyDescent="0.25">
      <c r="B1671" s="2">
        <v>57</v>
      </c>
      <c r="C1671" s="4">
        <v>24196.326999999997</v>
      </c>
      <c r="D1671" s="4">
        <v>50944.115000000005</v>
      </c>
      <c r="E1671" s="79">
        <v>0</v>
      </c>
      <c r="F1671" s="79">
        <f>SUM(BASE_DATOS[[#This Row],[Capital($)]:[Interés
Resarcitorio($)]])</f>
        <v>75140.44200000001</v>
      </c>
      <c r="G1671" s="8">
        <v>46799</v>
      </c>
      <c r="H1671" s="80" t="s">
        <v>63</v>
      </c>
      <c r="I1671" s="79" t="s">
        <v>6</v>
      </c>
      <c r="J1671" s="81">
        <v>84</v>
      </c>
      <c r="K1671" t="s">
        <v>48</v>
      </c>
    </row>
    <row r="1672" spans="2:11" x14ac:dyDescent="0.25">
      <c r="B1672" s="2">
        <v>57</v>
      </c>
      <c r="C1672" s="4">
        <v>24196.326999999997</v>
      </c>
      <c r="D1672" s="4">
        <v>50944.115000000005</v>
      </c>
      <c r="E1672" s="79">
        <v>10018.73</v>
      </c>
      <c r="F1672" s="79">
        <f>SUM(BASE_DATOS[[#This Row],[Capital($)]:[Interés
Resarcitorio($)]])</f>
        <v>85159.172000000006</v>
      </c>
      <c r="G1672" s="8">
        <v>46809</v>
      </c>
      <c r="H1672" s="80" t="s">
        <v>63</v>
      </c>
      <c r="I1672" s="79" t="s">
        <v>7</v>
      </c>
      <c r="J1672" s="81">
        <v>84</v>
      </c>
      <c r="K1672" t="s">
        <v>48</v>
      </c>
    </row>
    <row r="1673" spans="2:11" x14ac:dyDescent="0.25">
      <c r="B1673" s="2">
        <v>58</v>
      </c>
      <c r="C1673" s="4">
        <v>25195.635000000002</v>
      </c>
      <c r="D1673" s="4">
        <v>49944.807000000001</v>
      </c>
      <c r="E1673" s="79">
        <v>0</v>
      </c>
      <c r="F1673" s="79">
        <f>SUM(BASE_DATOS[[#This Row],[Capital($)]:[Interés
Resarcitorio($)]])</f>
        <v>75140.44200000001</v>
      </c>
      <c r="G1673" s="8">
        <v>46828</v>
      </c>
      <c r="H1673" s="80" t="s">
        <v>63</v>
      </c>
      <c r="I1673" s="79" t="s">
        <v>6</v>
      </c>
      <c r="J1673" s="81">
        <v>84</v>
      </c>
      <c r="K1673" t="s">
        <v>48</v>
      </c>
    </row>
    <row r="1674" spans="2:11" x14ac:dyDescent="0.25">
      <c r="B1674" s="2">
        <v>58</v>
      </c>
      <c r="C1674" s="4">
        <v>25195.635000000002</v>
      </c>
      <c r="D1674" s="4">
        <v>49944.807000000001</v>
      </c>
      <c r="E1674" s="79">
        <v>10018.73</v>
      </c>
      <c r="F1674" s="79">
        <f>SUM(BASE_DATOS[[#This Row],[Capital($)]:[Interés
Resarcitorio($)]])</f>
        <v>85159.172000000006</v>
      </c>
      <c r="G1674" s="8">
        <v>46838</v>
      </c>
      <c r="H1674" s="80" t="s">
        <v>63</v>
      </c>
      <c r="I1674" s="79" t="s">
        <v>7</v>
      </c>
      <c r="J1674" s="81">
        <v>84</v>
      </c>
      <c r="K1674" t="s">
        <v>48</v>
      </c>
    </row>
    <row r="1675" spans="2:11" x14ac:dyDescent="0.25">
      <c r="B1675" s="2">
        <v>59</v>
      </c>
      <c r="C1675" s="4">
        <v>26236.215000000004</v>
      </c>
      <c r="D1675" s="4">
        <v>48904.226999999999</v>
      </c>
      <c r="E1675" s="79">
        <v>0</v>
      </c>
      <c r="F1675" s="79">
        <f>SUM(BASE_DATOS[[#This Row],[Capital($)]:[Interés
Resarcitorio($)]])</f>
        <v>75140.44200000001</v>
      </c>
      <c r="G1675" s="8">
        <v>46859</v>
      </c>
      <c r="H1675" s="80" t="s">
        <v>63</v>
      </c>
      <c r="I1675" s="79" t="s">
        <v>6</v>
      </c>
      <c r="J1675" s="81">
        <v>84</v>
      </c>
      <c r="K1675" t="s">
        <v>48</v>
      </c>
    </row>
    <row r="1676" spans="2:11" x14ac:dyDescent="0.25">
      <c r="B1676" s="2">
        <v>59</v>
      </c>
      <c r="C1676" s="4">
        <v>26236.215000000004</v>
      </c>
      <c r="D1676" s="4">
        <v>48904.226999999999</v>
      </c>
      <c r="E1676" s="79">
        <v>10018.73</v>
      </c>
      <c r="F1676" s="79">
        <f>SUM(BASE_DATOS[[#This Row],[Capital($)]:[Interés
Resarcitorio($)]])</f>
        <v>85159.172000000006</v>
      </c>
      <c r="G1676" s="8">
        <v>46869</v>
      </c>
      <c r="H1676" s="80" t="s">
        <v>63</v>
      </c>
      <c r="I1676" s="79" t="s">
        <v>7</v>
      </c>
      <c r="J1676" s="81">
        <v>84</v>
      </c>
      <c r="K1676" t="s">
        <v>48</v>
      </c>
    </row>
    <row r="1677" spans="2:11" x14ac:dyDescent="0.25">
      <c r="B1677" s="2">
        <v>60</v>
      </c>
      <c r="C1677" s="4">
        <v>27319.771000000001</v>
      </c>
      <c r="D1677" s="4">
        <v>47820.671000000002</v>
      </c>
      <c r="E1677" s="79">
        <v>0</v>
      </c>
      <c r="F1677" s="79">
        <f>SUM(BASE_DATOS[[#This Row],[Capital($)]:[Interés
Resarcitorio($)]])</f>
        <v>75140.44200000001</v>
      </c>
      <c r="G1677" s="8">
        <v>46889</v>
      </c>
      <c r="H1677" s="80" t="s">
        <v>63</v>
      </c>
      <c r="I1677" s="79" t="s">
        <v>6</v>
      </c>
      <c r="J1677" s="81">
        <v>84</v>
      </c>
      <c r="K1677" t="s">
        <v>48</v>
      </c>
    </row>
    <row r="1678" spans="2:11" x14ac:dyDescent="0.25">
      <c r="B1678" s="2">
        <v>60</v>
      </c>
      <c r="C1678" s="4">
        <v>27319.771000000001</v>
      </c>
      <c r="D1678" s="4">
        <v>47820.671000000002</v>
      </c>
      <c r="E1678" s="79">
        <v>10018.73</v>
      </c>
      <c r="F1678" s="79">
        <f>SUM(BASE_DATOS[[#This Row],[Capital($)]:[Interés
Resarcitorio($)]])</f>
        <v>85159.172000000006</v>
      </c>
      <c r="G1678" s="8">
        <v>46899</v>
      </c>
      <c r="H1678" s="80" t="s">
        <v>63</v>
      </c>
      <c r="I1678" s="79" t="s">
        <v>7</v>
      </c>
      <c r="J1678" s="81">
        <v>84</v>
      </c>
      <c r="K1678" t="s">
        <v>48</v>
      </c>
    </row>
    <row r="1679" spans="2:11" x14ac:dyDescent="0.25">
      <c r="B1679" s="2">
        <v>61</v>
      </c>
      <c r="C1679" s="4">
        <v>28448.077000000001</v>
      </c>
      <c r="D1679" s="4">
        <v>46692.365000000005</v>
      </c>
      <c r="E1679" s="79">
        <v>0</v>
      </c>
      <c r="F1679" s="79">
        <f>SUM(BASE_DATOS[[#This Row],[Capital($)]:[Interés
Resarcitorio($)]])</f>
        <v>75140.44200000001</v>
      </c>
      <c r="G1679" s="8">
        <v>46920</v>
      </c>
      <c r="H1679" s="80" t="s">
        <v>63</v>
      </c>
      <c r="I1679" s="79" t="s">
        <v>6</v>
      </c>
      <c r="J1679" s="81">
        <v>84</v>
      </c>
      <c r="K1679" t="s">
        <v>48</v>
      </c>
    </row>
    <row r="1680" spans="2:11" x14ac:dyDescent="0.25">
      <c r="B1680" s="2">
        <v>61</v>
      </c>
      <c r="C1680" s="4">
        <v>28448.077000000001</v>
      </c>
      <c r="D1680" s="4">
        <v>46692.365000000005</v>
      </c>
      <c r="E1680" s="79">
        <v>10018.73</v>
      </c>
      <c r="F1680" s="79">
        <f>SUM(BASE_DATOS[[#This Row],[Capital($)]:[Interés
Resarcitorio($)]])</f>
        <v>85159.172000000006</v>
      </c>
      <c r="G1680" s="8">
        <v>46930</v>
      </c>
      <c r="H1680" s="80" t="s">
        <v>63</v>
      </c>
      <c r="I1680" s="79" t="s">
        <v>7</v>
      </c>
      <c r="J1680" s="81">
        <v>84</v>
      </c>
      <c r="K1680" t="s">
        <v>48</v>
      </c>
    </row>
    <row r="1681" spans="2:11" x14ac:dyDescent="0.25">
      <c r="B1681" s="2">
        <v>62</v>
      </c>
      <c r="C1681" s="4">
        <v>29622.983</v>
      </c>
      <c r="D1681" s="4">
        <v>45517.459000000003</v>
      </c>
      <c r="E1681" s="79">
        <v>0</v>
      </c>
      <c r="F1681" s="79">
        <f>SUM(BASE_DATOS[[#This Row],[Capital($)]:[Interés
Resarcitorio($)]])</f>
        <v>75140.44200000001</v>
      </c>
      <c r="G1681" s="8">
        <v>46950</v>
      </c>
      <c r="H1681" s="80" t="s">
        <v>63</v>
      </c>
      <c r="I1681" s="79" t="s">
        <v>6</v>
      </c>
      <c r="J1681" s="81">
        <v>84</v>
      </c>
      <c r="K1681" t="s">
        <v>48</v>
      </c>
    </row>
    <row r="1682" spans="2:11" x14ac:dyDescent="0.25">
      <c r="B1682" s="2">
        <v>62</v>
      </c>
      <c r="C1682" s="4">
        <v>29622.983</v>
      </c>
      <c r="D1682" s="4">
        <v>45517.459000000003</v>
      </c>
      <c r="E1682" s="79">
        <v>10018.73</v>
      </c>
      <c r="F1682" s="79">
        <f>SUM(BASE_DATOS[[#This Row],[Capital($)]:[Interés
Resarcitorio($)]])</f>
        <v>85159.172000000006</v>
      </c>
      <c r="G1682" s="8">
        <v>46960</v>
      </c>
      <c r="H1682" s="80" t="s">
        <v>63</v>
      </c>
      <c r="I1682" s="79" t="s">
        <v>7</v>
      </c>
      <c r="J1682" s="81">
        <v>84</v>
      </c>
      <c r="K1682" t="s">
        <v>48</v>
      </c>
    </row>
    <row r="1683" spans="2:11" x14ac:dyDescent="0.25">
      <c r="B1683" s="2">
        <v>63</v>
      </c>
      <c r="C1683" s="4">
        <v>30846.412</v>
      </c>
      <c r="D1683" s="4">
        <v>44294.03</v>
      </c>
      <c r="E1683" s="79">
        <v>0</v>
      </c>
      <c r="F1683" s="79">
        <f>SUM(BASE_DATOS[[#This Row],[Capital($)]:[Interés
Resarcitorio($)]])</f>
        <v>75140.441999999995</v>
      </c>
      <c r="G1683" s="8">
        <v>46981</v>
      </c>
      <c r="H1683" s="80" t="s">
        <v>63</v>
      </c>
      <c r="I1683" s="79" t="s">
        <v>6</v>
      </c>
      <c r="J1683" s="81">
        <v>84</v>
      </c>
      <c r="K1683" t="s">
        <v>48</v>
      </c>
    </row>
    <row r="1684" spans="2:11" x14ac:dyDescent="0.25">
      <c r="B1684" s="2">
        <v>63</v>
      </c>
      <c r="C1684" s="4">
        <v>30846.412</v>
      </c>
      <c r="D1684" s="4">
        <v>44294.03</v>
      </c>
      <c r="E1684" s="79">
        <v>10018.73</v>
      </c>
      <c r="F1684" s="79">
        <f>SUM(BASE_DATOS[[#This Row],[Capital($)]:[Interés
Resarcitorio($)]])</f>
        <v>85159.171999999991</v>
      </c>
      <c r="G1684" s="8">
        <v>46991</v>
      </c>
      <c r="H1684" s="80" t="s">
        <v>63</v>
      </c>
      <c r="I1684" s="79" t="s">
        <v>7</v>
      </c>
      <c r="J1684" s="81">
        <v>84</v>
      </c>
      <c r="K1684" t="s">
        <v>48</v>
      </c>
    </row>
    <row r="1685" spans="2:11" x14ac:dyDescent="0.25">
      <c r="B1685" s="2">
        <v>64</v>
      </c>
      <c r="C1685" s="4">
        <v>32120.368999999999</v>
      </c>
      <c r="D1685" s="4">
        <v>43020.072999999997</v>
      </c>
      <c r="E1685" s="79">
        <v>0</v>
      </c>
      <c r="F1685" s="79">
        <f>SUM(BASE_DATOS[[#This Row],[Capital($)]:[Interés
Resarcitorio($)]])</f>
        <v>75140.441999999995</v>
      </c>
      <c r="G1685" s="8">
        <v>47012</v>
      </c>
      <c r="H1685" s="80" t="s">
        <v>63</v>
      </c>
      <c r="I1685" s="79" t="s">
        <v>6</v>
      </c>
      <c r="J1685" s="81">
        <v>84</v>
      </c>
      <c r="K1685" t="s">
        <v>48</v>
      </c>
    </row>
    <row r="1686" spans="2:11" x14ac:dyDescent="0.25">
      <c r="B1686" s="2">
        <v>64</v>
      </c>
      <c r="C1686" s="4">
        <v>32120.368999999999</v>
      </c>
      <c r="D1686" s="4">
        <v>43020.072999999997</v>
      </c>
      <c r="E1686" s="79">
        <v>10018.73</v>
      </c>
      <c r="F1686" s="79">
        <f>SUM(BASE_DATOS[[#This Row],[Capital($)]:[Interés
Resarcitorio($)]])</f>
        <v>85159.171999999991</v>
      </c>
      <c r="G1686" s="8">
        <v>47022</v>
      </c>
      <c r="H1686" s="80" t="s">
        <v>63</v>
      </c>
      <c r="I1686" s="79" t="s">
        <v>7</v>
      </c>
      <c r="J1686" s="81">
        <v>84</v>
      </c>
      <c r="K1686" t="s">
        <v>48</v>
      </c>
    </row>
    <row r="1687" spans="2:11" x14ac:dyDescent="0.25">
      <c r="B1687" s="2">
        <v>65</v>
      </c>
      <c r="C1687" s="4">
        <v>33446.94</v>
      </c>
      <c r="D1687" s="4">
        <v>41693.502</v>
      </c>
      <c r="E1687" s="79">
        <v>0</v>
      </c>
      <c r="F1687" s="79">
        <f>SUM(BASE_DATOS[[#This Row],[Capital($)]:[Interés
Resarcitorio($)]])</f>
        <v>75140.44200000001</v>
      </c>
      <c r="G1687" s="8">
        <v>47042</v>
      </c>
      <c r="H1687" s="80" t="s">
        <v>63</v>
      </c>
      <c r="I1687" s="79" t="s">
        <v>6</v>
      </c>
      <c r="J1687" s="81">
        <v>84</v>
      </c>
      <c r="K1687" t="s">
        <v>48</v>
      </c>
    </row>
    <row r="1688" spans="2:11" x14ac:dyDescent="0.25">
      <c r="B1688" s="2">
        <v>65</v>
      </c>
      <c r="C1688" s="4">
        <v>33446.94</v>
      </c>
      <c r="D1688" s="4">
        <v>41693.502</v>
      </c>
      <c r="E1688" s="79">
        <v>10018.73</v>
      </c>
      <c r="F1688" s="79">
        <f>SUM(BASE_DATOS[[#This Row],[Capital($)]:[Interés
Resarcitorio($)]])</f>
        <v>85159.172000000006</v>
      </c>
      <c r="G1688" s="8">
        <v>47052</v>
      </c>
      <c r="H1688" s="80" t="s">
        <v>63</v>
      </c>
      <c r="I1688" s="79" t="s">
        <v>7</v>
      </c>
      <c r="J1688" s="81">
        <v>84</v>
      </c>
      <c r="K1688" t="s">
        <v>48</v>
      </c>
    </row>
    <row r="1689" spans="2:11" x14ac:dyDescent="0.25">
      <c r="B1689" s="2">
        <v>66</v>
      </c>
      <c r="C1689" s="4">
        <v>34828.298999999999</v>
      </c>
      <c r="D1689" s="4">
        <v>40312.142999999996</v>
      </c>
      <c r="E1689" s="79">
        <v>0</v>
      </c>
      <c r="F1689" s="79">
        <f>SUM(BASE_DATOS[[#This Row],[Capital($)]:[Interés
Resarcitorio($)]])</f>
        <v>75140.441999999995</v>
      </c>
      <c r="G1689" s="8">
        <v>47073</v>
      </c>
      <c r="H1689" s="80" t="s">
        <v>63</v>
      </c>
      <c r="I1689" s="79" t="s">
        <v>6</v>
      </c>
      <c r="J1689" s="81">
        <v>84</v>
      </c>
      <c r="K1689" t="s">
        <v>48</v>
      </c>
    </row>
    <row r="1690" spans="2:11" x14ac:dyDescent="0.25">
      <c r="B1690" s="2">
        <v>66</v>
      </c>
      <c r="C1690" s="4">
        <v>34828.298999999999</v>
      </c>
      <c r="D1690" s="4">
        <v>40312.142999999996</v>
      </c>
      <c r="E1690" s="79">
        <v>10018.73</v>
      </c>
      <c r="F1690" s="79">
        <f>SUM(BASE_DATOS[[#This Row],[Capital($)]:[Interés
Resarcitorio($)]])</f>
        <v>85159.171999999991</v>
      </c>
      <c r="G1690" s="8">
        <v>47083</v>
      </c>
      <c r="H1690" s="80" t="s">
        <v>63</v>
      </c>
      <c r="I1690" s="79" t="s">
        <v>7</v>
      </c>
      <c r="J1690" s="81">
        <v>84</v>
      </c>
      <c r="K1690" t="s">
        <v>48</v>
      </c>
    </row>
    <row r="1691" spans="2:11" x14ac:dyDescent="0.25">
      <c r="B1691" s="2">
        <v>67</v>
      </c>
      <c r="C1691" s="4">
        <v>36266.707999999999</v>
      </c>
      <c r="D1691" s="4">
        <v>38873.734000000004</v>
      </c>
      <c r="E1691" s="79">
        <v>0</v>
      </c>
      <c r="F1691" s="79">
        <f>SUM(BASE_DATOS[[#This Row],[Capital($)]:[Interés
Resarcitorio($)]])</f>
        <v>75140.44200000001</v>
      </c>
      <c r="G1691" s="8">
        <v>47103</v>
      </c>
      <c r="H1691" s="80" t="s">
        <v>63</v>
      </c>
      <c r="I1691" s="79" t="s">
        <v>6</v>
      </c>
      <c r="J1691" s="81">
        <v>84</v>
      </c>
      <c r="K1691" t="s">
        <v>48</v>
      </c>
    </row>
    <row r="1692" spans="2:11" x14ac:dyDescent="0.25">
      <c r="B1692" s="2">
        <v>67</v>
      </c>
      <c r="C1692" s="4">
        <v>36266.707999999999</v>
      </c>
      <c r="D1692" s="4">
        <v>38873.734000000004</v>
      </c>
      <c r="E1692" s="79">
        <v>10018.73</v>
      </c>
      <c r="F1692" s="79">
        <f>SUM(BASE_DATOS[[#This Row],[Capital($)]:[Interés
Resarcitorio($)]])</f>
        <v>85159.172000000006</v>
      </c>
      <c r="G1692" s="8">
        <v>47113</v>
      </c>
      <c r="H1692" s="80" t="s">
        <v>63</v>
      </c>
      <c r="I1692" s="79" t="s">
        <v>7</v>
      </c>
      <c r="J1692" s="81">
        <v>84</v>
      </c>
      <c r="K1692" t="s">
        <v>48</v>
      </c>
    </row>
    <row r="1693" spans="2:11" x14ac:dyDescent="0.25">
      <c r="B1693" s="2">
        <v>68</v>
      </c>
      <c r="C1693" s="4">
        <v>37764.523000000001</v>
      </c>
      <c r="D1693" s="4">
        <v>37375.919000000002</v>
      </c>
      <c r="E1693" s="79">
        <v>0</v>
      </c>
      <c r="F1693" s="79">
        <f>SUM(BASE_DATOS[[#This Row],[Capital($)]:[Interés
Resarcitorio($)]])</f>
        <v>75140.44200000001</v>
      </c>
      <c r="G1693" s="8">
        <v>47134</v>
      </c>
      <c r="H1693" s="80" t="s">
        <v>63</v>
      </c>
      <c r="I1693" s="79" t="s">
        <v>6</v>
      </c>
      <c r="J1693" s="81">
        <v>84</v>
      </c>
      <c r="K1693" t="s">
        <v>48</v>
      </c>
    </row>
    <row r="1694" spans="2:11" x14ac:dyDescent="0.25">
      <c r="B1694" s="2">
        <v>68</v>
      </c>
      <c r="C1694" s="4">
        <v>37764.523000000001</v>
      </c>
      <c r="D1694" s="4">
        <v>37375.919000000002</v>
      </c>
      <c r="E1694" s="79">
        <v>10018.73</v>
      </c>
      <c r="F1694" s="79">
        <f>SUM(BASE_DATOS[[#This Row],[Capital($)]:[Interés
Resarcitorio($)]])</f>
        <v>85159.172000000006</v>
      </c>
      <c r="G1694" s="8">
        <v>47144</v>
      </c>
      <c r="H1694" s="80" t="s">
        <v>63</v>
      </c>
      <c r="I1694" s="79" t="s">
        <v>7</v>
      </c>
      <c r="J1694" s="81">
        <v>84</v>
      </c>
      <c r="K1694" t="s">
        <v>48</v>
      </c>
    </row>
    <row r="1695" spans="2:11" x14ac:dyDescent="0.25">
      <c r="B1695" s="2">
        <v>69</v>
      </c>
      <c r="C1695" s="4">
        <v>39324.197</v>
      </c>
      <c r="D1695" s="4">
        <v>35816.245000000003</v>
      </c>
      <c r="E1695" s="79">
        <v>0</v>
      </c>
      <c r="F1695" s="79">
        <f>SUM(BASE_DATOS[[#This Row],[Capital($)]:[Interés
Resarcitorio($)]])</f>
        <v>75140.44200000001</v>
      </c>
      <c r="G1695" s="8">
        <v>47165</v>
      </c>
      <c r="H1695" s="80" t="s">
        <v>63</v>
      </c>
      <c r="I1695" s="79" t="s">
        <v>6</v>
      </c>
      <c r="J1695" s="81">
        <v>84</v>
      </c>
      <c r="K1695" t="s">
        <v>48</v>
      </c>
    </row>
    <row r="1696" spans="2:11" x14ac:dyDescent="0.25">
      <c r="B1696" s="2">
        <v>69</v>
      </c>
      <c r="C1696" s="4">
        <v>39324.197</v>
      </c>
      <c r="D1696" s="4">
        <v>35816.245000000003</v>
      </c>
      <c r="E1696" s="79">
        <v>10018.73</v>
      </c>
      <c r="F1696" s="79">
        <f>SUM(BASE_DATOS[[#This Row],[Capital($)]:[Interés
Resarcitorio($)]])</f>
        <v>85159.172000000006</v>
      </c>
      <c r="G1696" s="8">
        <v>47175</v>
      </c>
      <c r="H1696" s="80" t="s">
        <v>63</v>
      </c>
      <c r="I1696" s="79" t="s">
        <v>7</v>
      </c>
      <c r="J1696" s="81">
        <v>84</v>
      </c>
      <c r="K1696" t="s">
        <v>48</v>
      </c>
    </row>
    <row r="1697" spans="2:11" x14ac:dyDescent="0.25">
      <c r="B1697" s="2">
        <v>70</v>
      </c>
      <c r="C1697" s="4">
        <v>40948.286999999997</v>
      </c>
      <c r="D1697" s="4">
        <v>34192.154999999999</v>
      </c>
      <c r="E1697" s="79">
        <v>0</v>
      </c>
      <c r="F1697" s="79">
        <f>SUM(BASE_DATOS[[#This Row],[Capital($)]:[Interés
Resarcitorio($)]])</f>
        <v>75140.441999999995</v>
      </c>
      <c r="G1697" s="8">
        <v>47193</v>
      </c>
      <c r="H1697" s="80" t="s">
        <v>63</v>
      </c>
      <c r="I1697" s="79" t="s">
        <v>6</v>
      </c>
      <c r="J1697" s="81">
        <v>84</v>
      </c>
      <c r="K1697" t="s">
        <v>48</v>
      </c>
    </row>
    <row r="1698" spans="2:11" x14ac:dyDescent="0.25">
      <c r="B1698" s="2">
        <v>70</v>
      </c>
      <c r="C1698" s="4">
        <v>40948.286999999997</v>
      </c>
      <c r="D1698" s="4">
        <v>34192.154999999999</v>
      </c>
      <c r="E1698" s="79">
        <v>10018.73</v>
      </c>
      <c r="F1698" s="79">
        <f>SUM(BASE_DATOS[[#This Row],[Capital($)]:[Interés
Resarcitorio($)]])</f>
        <v>85159.171999999991</v>
      </c>
      <c r="G1698" s="8">
        <v>47203</v>
      </c>
      <c r="H1698" s="80" t="s">
        <v>63</v>
      </c>
      <c r="I1698" s="79" t="s">
        <v>7</v>
      </c>
      <c r="J1698" s="81">
        <v>84</v>
      </c>
      <c r="K1698" t="s">
        <v>48</v>
      </c>
    </row>
    <row r="1699" spans="2:11" x14ac:dyDescent="0.25">
      <c r="B1699" s="2">
        <v>71</v>
      </c>
      <c r="C1699" s="4">
        <v>42639.451000000001</v>
      </c>
      <c r="D1699" s="4">
        <v>32500.990999999998</v>
      </c>
      <c r="E1699" s="79">
        <v>0</v>
      </c>
      <c r="F1699" s="79">
        <f>SUM(BASE_DATOS[[#This Row],[Capital($)]:[Interés
Resarcitorio($)]])</f>
        <v>75140.441999999995</v>
      </c>
      <c r="G1699" s="8">
        <v>47224</v>
      </c>
      <c r="H1699" s="80" t="s">
        <v>63</v>
      </c>
      <c r="I1699" s="79" t="s">
        <v>6</v>
      </c>
      <c r="J1699" s="81">
        <v>84</v>
      </c>
      <c r="K1699" t="s">
        <v>48</v>
      </c>
    </row>
    <row r="1700" spans="2:11" x14ac:dyDescent="0.25">
      <c r="B1700" s="2">
        <v>71</v>
      </c>
      <c r="C1700" s="4">
        <v>42639.451000000001</v>
      </c>
      <c r="D1700" s="4">
        <v>32500.990999999998</v>
      </c>
      <c r="E1700" s="79">
        <v>10018.73</v>
      </c>
      <c r="F1700" s="79">
        <f>SUM(BASE_DATOS[[#This Row],[Capital($)]:[Interés
Resarcitorio($)]])</f>
        <v>85159.171999999991</v>
      </c>
      <c r="G1700" s="8">
        <v>47234</v>
      </c>
      <c r="H1700" s="80" t="s">
        <v>63</v>
      </c>
      <c r="I1700" s="79" t="s">
        <v>7</v>
      </c>
      <c r="J1700" s="81">
        <v>84</v>
      </c>
      <c r="K1700" t="s">
        <v>48</v>
      </c>
    </row>
    <row r="1701" spans="2:11" x14ac:dyDescent="0.25">
      <c r="B1701" s="2">
        <v>72</v>
      </c>
      <c r="C1701" s="4">
        <v>44400.46</v>
      </c>
      <c r="D1701" s="4">
        <v>30739.982</v>
      </c>
      <c r="E1701" s="79">
        <v>0</v>
      </c>
      <c r="F1701" s="79">
        <f>SUM(BASE_DATOS[[#This Row],[Capital($)]:[Interés
Resarcitorio($)]])</f>
        <v>75140.441999999995</v>
      </c>
      <c r="G1701" s="8">
        <v>47254</v>
      </c>
      <c r="H1701" s="80" t="s">
        <v>63</v>
      </c>
      <c r="I1701" s="79" t="s">
        <v>6</v>
      </c>
      <c r="J1701" s="81">
        <v>84</v>
      </c>
      <c r="K1701" t="s">
        <v>48</v>
      </c>
    </row>
    <row r="1702" spans="2:11" x14ac:dyDescent="0.25">
      <c r="B1702" s="2">
        <v>72</v>
      </c>
      <c r="C1702" s="4">
        <v>44400.46</v>
      </c>
      <c r="D1702" s="4">
        <v>30739.982</v>
      </c>
      <c r="E1702" s="79">
        <v>10018.73</v>
      </c>
      <c r="F1702" s="79">
        <f>SUM(BASE_DATOS[[#This Row],[Capital($)]:[Interés
Resarcitorio($)]])</f>
        <v>85159.171999999991</v>
      </c>
      <c r="G1702" s="8">
        <v>47264</v>
      </c>
      <c r="H1702" s="80" t="s">
        <v>63</v>
      </c>
      <c r="I1702" s="79" t="s">
        <v>7</v>
      </c>
      <c r="J1702" s="81">
        <v>84</v>
      </c>
      <c r="K1702" t="s">
        <v>48</v>
      </c>
    </row>
    <row r="1703" spans="2:11" x14ac:dyDescent="0.25">
      <c r="B1703" s="2">
        <v>73</v>
      </c>
      <c r="C1703" s="4">
        <v>46234.199000000001</v>
      </c>
      <c r="D1703" s="4">
        <v>28906.242999999999</v>
      </c>
      <c r="E1703" s="79">
        <v>0</v>
      </c>
      <c r="F1703" s="79">
        <f>SUM(BASE_DATOS[[#This Row],[Capital($)]:[Interés
Resarcitorio($)]])</f>
        <v>75140.441999999995</v>
      </c>
      <c r="G1703" s="8">
        <v>47285</v>
      </c>
      <c r="H1703" s="80" t="s">
        <v>63</v>
      </c>
      <c r="I1703" s="79" t="s">
        <v>6</v>
      </c>
      <c r="J1703" s="81">
        <v>84</v>
      </c>
      <c r="K1703" t="s">
        <v>48</v>
      </c>
    </row>
    <row r="1704" spans="2:11" x14ac:dyDescent="0.25">
      <c r="B1704" s="2">
        <v>73</v>
      </c>
      <c r="C1704" s="4">
        <v>46234.199000000001</v>
      </c>
      <c r="D1704" s="4">
        <v>28906.242999999999</v>
      </c>
      <c r="E1704" s="79">
        <v>10018.73</v>
      </c>
      <c r="F1704" s="79">
        <f>SUM(BASE_DATOS[[#This Row],[Capital($)]:[Interés
Resarcitorio($)]])</f>
        <v>85159.171999999991</v>
      </c>
      <c r="G1704" s="8">
        <v>47295</v>
      </c>
      <c r="H1704" s="80" t="s">
        <v>63</v>
      </c>
      <c r="I1704" s="79" t="s">
        <v>7</v>
      </c>
      <c r="J1704" s="81">
        <v>84</v>
      </c>
      <c r="K1704" t="s">
        <v>48</v>
      </c>
    </row>
    <row r="1705" spans="2:11" x14ac:dyDescent="0.25">
      <c r="B1705" s="2">
        <v>74</v>
      </c>
      <c r="C1705" s="4">
        <v>48143.671999999999</v>
      </c>
      <c r="D1705" s="4">
        <v>26996.77</v>
      </c>
      <c r="E1705" s="79">
        <v>0</v>
      </c>
      <c r="F1705" s="79">
        <f>SUM(BASE_DATOS[[#This Row],[Capital($)]:[Interés
Resarcitorio($)]])</f>
        <v>75140.441999999995</v>
      </c>
      <c r="G1705" s="8">
        <v>47315</v>
      </c>
      <c r="H1705" s="80" t="s">
        <v>63</v>
      </c>
      <c r="I1705" s="79" t="s">
        <v>6</v>
      </c>
      <c r="J1705" s="81">
        <v>84</v>
      </c>
      <c r="K1705" t="s">
        <v>48</v>
      </c>
    </row>
    <row r="1706" spans="2:11" x14ac:dyDescent="0.25">
      <c r="B1706" s="2">
        <v>74</v>
      </c>
      <c r="C1706" s="4">
        <v>48143.671999999999</v>
      </c>
      <c r="D1706" s="4">
        <v>26996.77</v>
      </c>
      <c r="E1706" s="79">
        <v>10018.73</v>
      </c>
      <c r="F1706" s="79">
        <f>SUM(BASE_DATOS[[#This Row],[Capital($)]:[Interés
Resarcitorio($)]])</f>
        <v>85159.171999999991</v>
      </c>
      <c r="G1706" s="8">
        <v>47325</v>
      </c>
      <c r="H1706" s="80" t="s">
        <v>63</v>
      </c>
      <c r="I1706" s="79" t="s">
        <v>7</v>
      </c>
      <c r="J1706" s="81">
        <v>84</v>
      </c>
      <c r="K1706" t="s">
        <v>48</v>
      </c>
    </row>
    <row r="1707" spans="2:11" x14ac:dyDescent="0.25">
      <c r="B1707" s="2">
        <v>75</v>
      </c>
      <c r="C1707" s="4">
        <v>50132.006000000001</v>
      </c>
      <c r="D1707" s="4">
        <v>25008.435999999998</v>
      </c>
      <c r="E1707" s="79">
        <v>0</v>
      </c>
      <c r="F1707" s="79">
        <f>SUM(BASE_DATOS[[#This Row],[Capital($)]:[Interés
Resarcitorio($)]])</f>
        <v>75140.441999999995</v>
      </c>
      <c r="G1707" s="8">
        <v>47346</v>
      </c>
      <c r="H1707" s="80" t="s">
        <v>63</v>
      </c>
      <c r="I1707" s="79" t="s">
        <v>6</v>
      </c>
      <c r="J1707" s="81">
        <v>84</v>
      </c>
      <c r="K1707" t="s">
        <v>48</v>
      </c>
    </row>
    <row r="1708" spans="2:11" x14ac:dyDescent="0.25">
      <c r="B1708" s="2">
        <v>75</v>
      </c>
      <c r="C1708" s="4">
        <v>50132.006000000001</v>
      </c>
      <c r="D1708" s="4">
        <v>25008.435999999998</v>
      </c>
      <c r="E1708" s="79">
        <v>10018.73</v>
      </c>
      <c r="F1708" s="79">
        <f>SUM(BASE_DATOS[[#This Row],[Capital($)]:[Interés
Resarcitorio($)]])</f>
        <v>85159.171999999991</v>
      </c>
      <c r="G1708" s="8">
        <v>47356</v>
      </c>
      <c r="H1708" s="80" t="s">
        <v>63</v>
      </c>
      <c r="I1708" s="79" t="s">
        <v>7</v>
      </c>
      <c r="J1708" s="81">
        <v>84</v>
      </c>
      <c r="K1708" t="s">
        <v>48</v>
      </c>
    </row>
    <row r="1709" spans="2:11" x14ac:dyDescent="0.25">
      <c r="B1709" s="2">
        <v>76</v>
      </c>
      <c r="C1709" s="4">
        <v>52202.457000000002</v>
      </c>
      <c r="D1709" s="4">
        <v>22937.985000000001</v>
      </c>
      <c r="E1709" s="79">
        <v>0</v>
      </c>
      <c r="F1709" s="79">
        <f>SUM(BASE_DATOS[[#This Row],[Capital($)]:[Interés
Resarcitorio($)]])</f>
        <v>75140.44200000001</v>
      </c>
      <c r="G1709" s="8">
        <v>47377</v>
      </c>
      <c r="H1709" s="80" t="s">
        <v>63</v>
      </c>
      <c r="I1709" s="79" t="s">
        <v>6</v>
      </c>
      <c r="J1709" s="81">
        <v>84</v>
      </c>
      <c r="K1709" t="s">
        <v>48</v>
      </c>
    </row>
    <row r="1710" spans="2:11" x14ac:dyDescent="0.25">
      <c r="B1710" s="2">
        <v>76</v>
      </c>
      <c r="C1710" s="4">
        <v>52202.457000000002</v>
      </c>
      <c r="D1710" s="4">
        <v>22937.985000000001</v>
      </c>
      <c r="E1710" s="79">
        <v>10018.73</v>
      </c>
      <c r="F1710" s="79">
        <f>SUM(BASE_DATOS[[#This Row],[Capital($)]:[Interés
Resarcitorio($)]])</f>
        <v>85159.172000000006</v>
      </c>
      <c r="G1710" s="8">
        <v>47387</v>
      </c>
      <c r="H1710" s="80" t="s">
        <v>63</v>
      </c>
      <c r="I1710" s="79" t="s">
        <v>7</v>
      </c>
      <c r="J1710" s="81">
        <v>84</v>
      </c>
      <c r="K1710" t="s">
        <v>48</v>
      </c>
    </row>
    <row r="1711" spans="2:11" x14ac:dyDescent="0.25">
      <c r="B1711" s="2">
        <v>77</v>
      </c>
      <c r="C1711" s="4">
        <v>54358.418999999994</v>
      </c>
      <c r="D1711" s="4">
        <v>20782.023000000001</v>
      </c>
      <c r="E1711" s="79">
        <v>0</v>
      </c>
      <c r="F1711" s="79">
        <f>SUM(BASE_DATOS[[#This Row],[Capital($)]:[Interés
Resarcitorio($)]])</f>
        <v>75140.441999999995</v>
      </c>
      <c r="G1711" s="8">
        <v>47407</v>
      </c>
      <c r="H1711" s="80" t="s">
        <v>63</v>
      </c>
      <c r="I1711" s="79" t="s">
        <v>6</v>
      </c>
      <c r="J1711" s="81">
        <v>84</v>
      </c>
      <c r="K1711" t="s">
        <v>48</v>
      </c>
    </row>
    <row r="1712" spans="2:11" x14ac:dyDescent="0.25">
      <c r="B1712" s="2">
        <v>77</v>
      </c>
      <c r="C1712" s="4">
        <v>54358.418999999994</v>
      </c>
      <c r="D1712" s="4">
        <v>20782.023000000001</v>
      </c>
      <c r="E1712" s="79">
        <v>10018.73</v>
      </c>
      <c r="F1712" s="79">
        <f>SUM(BASE_DATOS[[#This Row],[Capital($)]:[Interés
Resarcitorio($)]])</f>
        <v>85159.171999999991</v>
      </c>
      <c r="G1712" s="8">
        <v>47417</v>
      </c>
      <c r="H1712" s="80" t="s">
        <v>63</v>
      </c>
      <c r="I1712" s="79" t="s">
        <v>7</v>
      </c>
      <c r="J1712" s="81">
        <v>84</v>
      </c>
      <c r="K1712" t="s">
        <v>48</v>
      </c>
    </row>
    <row r="1713" spans="2:11" x14ac:dyDescent="0.25">
      <c r="B1713" s="2">
        <v>78</v>
      </c>
      <c r="C1713" s="4">
        <v>56603.421999999999</v>
      </c>
      <c r="D1713" s="4">
        <v>18537.02</v>
      </c>
      <c r="E1713" s="79">
        <v>0</v>
      </c>
      <c r="F1713" s="79">
        <f>SUM(BASE_DATOS[[#This Row],[Capital($)]:[Interés
Resarcitorio($)]])</f>
        <v>75140.441999999995</v>
      </c>
      <c r="G1713" s="8">
        <v>47438</v>
      </c>
      <c r="H1713" s="80" t="s">
        <v>63</v>
      </c>
      <c r="I1713" s="79" t="s">
        <v>6</v>
      </c>
      <c r="J1713" s="81">
        <v>84</v>
      </c>
      <c r="K1713" t="s">
        <v>48</v>
      </c>
    </row>
    <row r="1714" spans="2:11" x14ac:dyDescent="0.25">
      <c r="B1714" s="2">
        <v>78</v>
      </c>
      <c r="C1714" s="4">
        <v>56603.421999999999</v>
      </c>
      <c r="D1714" s="4">
        <v>18537.02</v>
      </c>
      <c r="E1714" s="79">
        <v>10018.73</v>
      </c>
      <c r="F1714" s="79">
        <f>SUM(BASE_DATOS[[#This Row],[Capital($)]:[Interés
Resarcitorio($)]])</f>
        <v>85159.171999999991</v>
      </c>
      <c r="G1714" s="8">
        <v>47448</v>
      </c>
      <c r="H1714" s="80" t="s">
        <v>63</v>
      </c>
      <c r="I1714" s="79" t="s">
        <v>7</v>
      </c>
      <c r="J1714" s="81">
        <v>84</v>
      </c>
      <c r="K1714" t="s">
        <v>48</v>
      </c>
    </row>
    <row r="1715" spans="2:11" x14ac:dyDescent="0.25">
      <c r="B1715" s="2">
        <v>79</v>
      </c>
      <c r="C1715" s="4">
        <v>58941.143000000004</v>
      </c>
      <c r="D1715" s="4">
        <v>16199.298999999999</v>
      </c>
      <c r="E1715" s="79">
        <v>0</v>
      </c>
      <c r="F1715" s="79">
        <f>SUM(BASE_DATOS[[#This Row],[Capital($)]:[Interés
Resarcitorio($)]])</f>
        <v>75140.44200000001</v>
      </c>
      <c r="G1715" s="8">
        <v>47468</v>
      </c>
      <c r="H1715" s="80" t="s">
        <v>63</v>
      </c>
      <c r="I1715" s="79" t="s">
        <v>6</v>
      </c>
      <c r="J1715" s="81">
        <v>84</v>
      </c>
      <c r="K1715" t="s">
        <v>48</v>
      </c>
    </row>
    <row r="1716" spans="2:11" x14ac:dyDescent="0.25">
      <c r="B1716" s="2">
        <v>79</v>
      </c>
      <c r="C1716" s="4">
        <v>58941.143000000004</v>
      </c>
      <c r="D1716" s="4">
        <v>16199.298999999999</v>
      </c>
      <c r="E1716" s="79">
        <v>10018.73</v>
      </c>
      <c r="F1716" s="79">
        <f>SUM(BASE_DATOS[[#This Row],[Capital($)]:[Interés
Resarcitorio($)]])</f>
        <v>85159.172000000006</v>
      </c>
      <c r="G1716" s="8">
        <v>47478</v>
      </c>
      <c r="H1716" s="80" t="s">
        <v>63</v>
      </c>
      <c r="I1716" s="79" t="s">
        <v>7</v>
      </c>
      <c r="J1716" s="81">
        <v>84</v>
      </c>
      <c r="K1716" t="s">
        <v>48</v>
      </c>
    </row>
    <row r="1717" spans="2:11" x14ac:dyDescent="0.25">
      <c r="B1717" s="2">
        <v>80</v>
      </c>
      <c r="C1717" s="4">
        <v>61375.411999999997</v>
      </c>
      <c r="D1717" s="4">
        <v>13765.029999999999</v>
      </c>
      <c r="E1717" s="79">
        <v>0</v>
      </c>
      <c r="F1717" s="79">
        <f>SUM(BASE_DATOS[[#This Row],[Capital($)]:[Interés
Resarcitorio($)]])</f>
        <v>75140.441999999995</v>
      </c>
      <c r="G1717" s="8">
        <v>47499</v>
      </c>
      <c r="H1717" s="80" t="s">
        <v>63</v>
      </c>
      <c r="I1717" s="79" t="s">
        <v>6</v>
      </c>
      <c r="J1717" s="81">
        <v>84</v>
      </c>
      <c r="K1717" t="s">
        <v>48</v>
      </c>
    </row>
    <row r="1718" spans="2:11" x14ac:dyDescent="0.25">
      <c r="B1718" s="2">
        <v>80</v>
      </c>
      <c r="C1718" s="4">
        <v>61375.411999999997</v>
      </c>
      <c r="D1718" s="4">
        <v>13765.029999999999</v>
      </c>
      <c r="E1718" s="79">
        <v>10018.73</v>
      </c>
      <c r="F1718" s="79">
        <f>SUM(BASE_DATOS[[#This Row],[Capital($)]:[Interés
Resarcitorio($)]])</f>
        <v>85159.171999999991</v>
      </c>
      <c r="G1718" s="8">
        <v>47509</v>
      </c>
      <c r="H1718" s="80" t="s">
        <v>63</v>
      </c>
      <c r="I1718" s="79" t="s">
        <v>7</v>
      </c>
      <c r="J1718" s="81">
        <v>84</v>
      </c>
      <c r="K1718" t="s">
        <v>48</v>
      </c>
    </row>
    <row r="1719" spans="2:11" x14ac:dyDescent="0.25">
      <c r="B1719" s="2">
        <v>81</v>
      </c>
      <c r="C1719" s="4">
        <v>63910.217000000004</v>
      </c>
      <c r="D1719" s="4">
        <v>11230.225</v>
      </c>
      <c r="E1719" s="79">
        <v>0</v>
      </c>
      <c r="F1719" s="79">
        <f>SUM(BASE_DATOS[[#This Row],[Capital($)]:[Interés
Resarcitorio($)]])</f>
        <v>75140.44200000001</v>
      </c>
      <c r="G1719" s="8">
        <v>47530</v>
      </c>
      <c r="H1719" s="80" t="s">
        <v>63</v>
      </c>
      <c r="I1719" s="79" t="s">
        <v>6</v>
      </c>
      <c r="J1719" s="81">
        <v>84</v>
      </c>
      <c r="K1719" t="s">
        <v>48</v>
      </c>
    </row>
    <row r="1720" spans="2:11" x14ac:dyDescent="0.25">
      <c r="B1720" s="2">
        <v>81</v>
      </c>
      <c r="C1720" s="4">
        <v>63910.217000000004</v>
      </c>
      <c r="D1720" s="4">
        <v>11230.225</v>
      </c>
      <c r="E1720" s="79">
        <v>10018.73</v>
      </c>
      <c r="F1720" s="79">
        <f>SUM(BASE_DATOS[[#This Row],[Capital($)]:[Interés
Resarcitorio($)]])</f>
        <v>85159.172000000006</v>
      </c>
      <c r="G1720" s="8">
        <v>47540</v>
      </c>
      <c r="H1720" s="80" t="s">
        <v>63</v>
      </c>
      <c r="I1720" s="79" t="s">
        <v>7</v>
      </c>
      <c r="J1720" s="81">
        <v>84</v>
      </c>
      <c r="K1720" t="s">
        <v>48</v>
      </c>
    </row>
    <row r="1721" spans="2:11" x14ac:dyDescent="0.25">
      <c r="B1721" s="2">
        <v>82</v>
      </c>
      <c r="C1721" s="4">
        <v>66549.709000000003</v>
      </c>
      <c r="D1721" s="4">
        <v>8590.7330000000002</v>
      </c>
      <c r="E1721" s="79">
        <v>0</v>
      </c>
      <c r="F1721" s="79">
        <f>SUM(BASE_DATOS[[#This Row],[Capital($)]:[Interés
Resarcitorio($)]])</f>
        <v>75140.44200000001</v>
      </c>
      <c r="G1721" s="8">
        <v>47558</v>
      </c>
      <c r="H1721" s="80" t="s">
        <v>63</v>
      </c>
      <c r="I1721" s="79" t="s">
        <v>6</v>
      </c>
      <c r="J1721" s="81">
        <v>84</v>
      </c>
      <c r="K1721" t="s">
        <v>48</v>
      </c>
    </row>
    <row r="1722" spans="2:11" x14ac:dyDescent="0.25">
      <c r="B1722" s="2">
        <v>82</v>
      </c>
      <c r="C1722" s="4">
        <v>66549.709000000003</v>
      </c>
      <c r="D1722" s="4">
        <v>8590.7330000000002</v>
      </c>
      <c r="E1722" s="79">
        <v>10018.73</v>
      </c>
      <c r="F1722" s="79">
        <f>SUM(BASE_DATOS[[#This Row],[Capital($)]:[Interés
Resarcitorio($)]])</f>
        <v>85159.172000000006</v>
      </c>
      <c r="G1722" s="8">
        <v>47568</v>
      </c>
      <c r="H1722" s="80" t="s">
        <v>63</v>
      </c>
      <c r="I1722" s="79" t="s">
        <v>7</v>
      </c>
      <c r="J1722" s="81">
        <v>84</v>
      </c>
      <c r="K1722" t="s">
        <v>48</v>
      </c>
    </row>
    <row r="1723" spans="2:11" x14ac:dyDescent="0.25">
      <c r="B1723" s="2">
        <v>83</v>
      </c>
      <c r="C1723" s="4">
        <v>69298.210999999996</v>
      </c>
      <c r="D1723" s="4">
        <v>5842.2309999999998</v>
      </c>
      <c r="E1723" s="79">
        <v>0</v>
      </c>
      <c r="F1723" s="79">
        <f>SUM(BASE_DATOS[[#This Row],[Capital($)]:[Interés
Resarcitorio($)]])</f>
        <v>75140.441999999995</v>
      </c>
      <c r="G1723" s="8">
        <v>47589</v>
      </c>
      <c r="H1723" s="80" t="s">
        <v>63</v>
      </c>
      <c r="I1723" s="79" t="s">
        <v>6</v>
      </c>
      <c r="J1723" s="81">
        <v>84</v>
      </c>
      <c r="K1723" t="s">
        <v>48</v>
      </c>
    </row>
    <row r="1724" spans="2:11" x14ac:dyDescent="0.25">
      <c r="B1724" s="2">
        <v>83</v>
      </c>
      <c r="C1724" s="4">
        <v>69298.210999999996</v>
      </c>
      <c r="D1724" s="4">
        <v>5842.2309999999998</v>
      </c>
      <c r="E1724" s="79">
        <v>10018.73</v>
      </c>
      <c r="F1724" s="79">
        <f>SUM(BASE_DATOS[[#This Row],[Capital($)]:[Interés
Resarcitorio($)]])</f>
        <v>85159.171999999991</v>
      </c>
      <c r="G1724" s="8">
        <v>47599</v>
      </c>
      <c r="H1724" s="80" t="s">
        <v>63</v>
      </c>
      <c r="I1724" s="79" t="s">
        <v>7</v>
      </c>
      <c r="J1724" s="81">
        <v>84</v>
      </c>
      <c r="K1724" t="s">
        <v>48</v>
      </c>
    </row>
    <row r="1725" spans="2:11" x14ac:dyDescent="0.25">
      <c r="B1725" s="2">
        <v>84</v>
      </c>
      <c r="C1725" s="4">
        <v>72160.153000000006</v>
      </c>
      <c r="D1725" s="4">
        <v>2980.2889999999998</v>
      </c>
      <c r="E1725" s="79">
        <v>0</v>
      </c>
      <c r="F1725" s="79">
        <f>SUM(BASE_DATOS[[#This Row],[Capital($)]:[Interés
Resarcitorio($)]])</f>
        <v>75140.44200000001</v>
      </c>
      <c r="G1725" s="8">
        <v>47619</v>
      </c>
      <c r="H1725" s="80" t="s">
        <v>63</v>
      </c>
      <c r="I1725" s="79" t="s">
        <v>6</v>
      </c>
      <c r="J1725" s="81">
        <v>84</v>
      </c>
      <c r="K1725" t="s">
        <v>48</v>
      </c>
    </row>
    <row r="1726" spans="2:11" x14ac:dyDescent="0.25">
      <c r="B1726" s="2">
        <v>84</v>
      </c>
      <c r="C1726" s="4">
        <v>72160.153000000006</v>
      </c>
      <c r="D1726" s="4">
        <v>2980.2889999999998</v>
      </c>
      <c r="E1726" s="79">
        <v>10018.73</v>
      </c>
      <c r="F1726" s="79">
        <f>SUM(BASE_DATOS[[#This Row],[Capital($)]:[Interés
Resarcitorio($)]])</f>
        <v>85159.172000000006</v>
      </c>
      <c r="G1726" s="8">
        <v>47629</v>
      </c>
      <c r="H1726" s="80" t="s">
        <v>63</v>
      </c>
      <c r="I1726" s="79" t="s">
        <v>7</v>
      </c>
      <c r="J1726" s="81">
        <v>84</v>
      </c>
      <c r="K1726" t="s">
        <v>48</v>
      </c>
    </row>
    <row r="1727" spans="2:11" x14ac:dyDescent="0.25">
      <c r="B1727" s="2">
        <v>1</v>
      </c>
      <c r="C1727" s="4">
        <v>61009.296999999999</v>
      </c>
      <c r="D1727" s="4">
        <v>33668.590000000004</v>
      </c>
      <c r="E1727" s="79">
        <v>0</v>
      </c>
      <c r="F1727" s="79">
        <f>SUM(BASE_DATOS[[#This Row],[Capital($)]:[Interés
Resarcitorio($)]])</f>
        <v>94677.887000000002</v>
      </c>
      <c r="G1727" s="8">
        <v>45673</v>
      </c>
      <c r="H1727" s="80" t="s">
        <v>71</v>
      </c>
      <c r="I1727" s="79" t="s">
        <v>9</v>
      </c>
      <c r="J1727" s="81">
        <v>12</v>
      </c>
      <c r="K1727" t="s">
        <v>48</v>
      </c>
    </row>
    <row r="1728" spans="2:11" x14ac:dyDescent="0.25">
      <c r="B1728" s="2">
        <v>1</v>
      </c>
      <c r="C1728" s="4">
        <v>61009.296999999999</v>
      </c>
      <c r="D1728" s="4">
        <v>33668.590000000004</v>
      </c>
      <c r="E1728" s="79">
        <v>23574.79</v>
      </c>
      <c r="F1728" s="79">
        <f>SUM(BASE_DATOS[[#This Row],[Capital($)]:[Interés
Resarcitorio($)]])</f>
        <v>118252.677</v>
      </c>
      <c r="G1728" s="8">
        <v>45683</v>
      </c>
      <c r="H1728" s="80" t="s">
        <v>71</v>
      </c>
      <c r="I1728" s="79" t="s">
        <v>7</v>
      </c>
      <c r="J1728" s="81">
        <v>12</v>
      </c>
      <c r="K1728" t="s">
        <v>48</v>
      </c>
    </row>
    <row r="1729" spans="2:12" x14ac:dyDescent="0.25">
      <c r="B1729" s="2">
        <v>2</v>
      </c>
      <c r="C1729" s="4">
        <v>63284.943999999996</v>
      </c>
      <c r="D1729" s="4">
        <v>31392.942999999999</v>
      </c>
      <c r="E1729" s="79">
        <v>0</v>
      </c>
      <c r="F1729" s="79">
        <f>SUM(BASE_DATOS[[#This Row],[Capital($)]:[Interés
Resarcitorio($)]])</f>
        <v>94677.886999999988</v>
      </c>
      <c r="G1729" s="8">
        <v>45704</v>
      </c>
      <c r="H1729" s="80" t="s">
        <v>71</v>
      </c>
      <c r="I1729" s="79" t="s">
        <v>9</v>
      </c>
      <c r="J1729" s="81">
        <v>12</v>
      </c>
      <c r="K1729" t="s">
        <v>48</v>
      </c>
    </row>
    <row r="1730" spans="2:12" x14ac:dyDescent="0.25">
      <c r="B1730" s="2">
        <v>2</v>
      </c>
      <c r="C1730" s="4">
        <v>63284.943999999996</v>
      </c>
      <c r="D1730" s="4">
        <v>31392.942999999999</v>
      </c>
      <c r="E1730" s="79">
        <v>22912.05</v>
      </c>
      <c r="F1730" s="79">
        <f>SUM(BASE_DATOS[[#This Row],[Capital($)]:[Interés
Resarcitorio($)]])</f>
        <v>117589.93699999999</v>
      </c>
      <c r="G1730" s="8">
        <v>45714</v>
      </c>
      <c r="H1730" s="80" t="s">
        <v>71</v>
      </c>
      <c r="I1730" s="79" t="s">
        <v>7</v>
      </c>
      <c r="J1730" s="81">
        <v>12</v>
      </c>
      <c r="K1730" t="s">
        <v>48</v>
      </c>
      <c r="L1730">
        <f>336-168</f>
        <v>168</v>
      </c>
    </row>
    <row r="1731" spans="2:12" x14ac:dyDescent="0.25">
      <c r="B1731" s="2">
        <v>3</v>
      </c>
      <c r="C1731" s="4">
        <v>65645.471999999994</v>
      </c>
      <c r="D1731" s="4">
        <v>29032.415000000001</v>
      </c>
      <c r="E1731" s="79">
        <v>0</v>
      </c>
      <c r="F1731" s="79">
        <f>SUM(BASE_DATOS[[#This Row],[Capital($)]:[Interés
Resarcitorio($)]])</f>
        <v>94677.886999999988</v>
      </c>
      <c r="G1731" s="8">
        <v>45732</v>
      </c>
      <c r="H1731" s="80" t="s">
        <v>71</v>
      </c>
      <c r="I1731" s="79" t="s">
        <v>9</v>
      </c>
      <c r="J1731" s="81">
        <v>12</v>
      </c>
      <c r="K1731" t="s">
        <v>48</v>
      </c>
    </row>
    <row r="1732" spans="2:12" x14ac:dyDescent="0.25">
      <c r="B1732" s="2">
        <v>3</v>
      </c>
      <c r="C1732" s="4">
        <v>65645.471999999994</v>
      </c>
      <c r="D1732" s="4">
        <v>29032.415000000001</v>
      </c>
      <c r="E1732" s="79">
        <v>12623.72</v>
      </c>
      <c r="F1732" s="79">
        <f>SUM(BASE_DATOS[[#This Row],[Capital($)]:[Interés
Resarcitorio($)]])</f>
        <v>107301.60699999999</v>
      </c>
      <c r="G1732" s="8">
        <v>45742</v>
      </c>
      <c r="H1732" s="80" t="s">
        <v>71</v>
      </c>
      <c r="I1732" s="79" t="s">
        <v>7</v>
      </c>
      <c r="J1732" s="81">
        <v>12</v>
      </c>
      <c r="K1732" t="s">
        <v>48</v>
      </c>
    </row>
    <row r="1733" spans="2:12" x14ac:dyDescent="0.25">
      <c r="B1733" s="2">
        <v>4</v>
      </c>
      <c r="C1733" s="4">
        <v>68094.047999999995</v>
      </c>
      <c r="D1733" s="4">
        <v>26583.839</v>
      </c>
      <c r="E1733" s="79">
        <v>0</v>
      </c>
      <c r="F1733" s="79">
        <f>SUM(BASE_DATOS[[#This Row],[Capital($)]:[Interés
Resarcitorio($)]])</f>
        <v>94677.886999999988</v>
      </c>
      <c r="G1733" s="8">
        <v>45763</v>
      </c>
      <c r="H1733" s="80" t="s">
        <v>71</v>
      </c>
      <c r="I1733" s="79" t="s">
        <v>6</v>
      </c>
      <c r="J1733" s="81">
        <v>12</v>
      </c>
      <c r="K1733" t="s">
        <v>48</v>
      </c>
    </row>
    <row r="1734" spans="2:12" x14ac:dyDescent="0.25">
      <c r="B1734" s="2">
        <v>4</v>
      </c>
      <c r="C1734" s="4">
        <v>68094.047999999995</v>
      </c>
      <c r="D1734" s="4">
        <v>26583.839</v>
      </c>
      <c r="E1734" s="79">
        <v>12623.72</v>
      </c>
      <c r="F1734" s="79">
        <f>SUM(BASE_DATOS[[#This Row],[Capital($)]:[Interés
Resarcitorio($)]])</f>
        <v>107301.60699999999</v>
      </c>
      <c r="G1734" s="8">
        <v>45773</v>
      </c>
      <c r="H1734" s="80" t="s">
        <v>71</v>
      </c>
      <c r="I1734" s="79" t="s">
        <v>7</v>
      </c>
      <c r="J1734" s="81">
        <v>12</v>
      </c>
      <c r="K1734" t="s">
        <v>48</v>
      </c>
    </row>
    <row r="1735" spans="2:12" x14ac:dyDescent="0.25">
      <c r="B1735" s="2">
        <v>5</v>
      </c>
      <c r="C1735" s="4">
        <v>70633.956000000006</v>
      </c>
      <c r="D1735" s="4">
        <v>24043.931</v>
      </c>
      <c r="E1735" s="79">
        <v>0</v>
      </c>
      <c r="F1735" s="79">
        <f>SUM(BASE_DATOS[[#This Row],[Capital($)]:[Interés
Resarcitorio($)]])</f>
        <v>94677.887000000002</v>
      </c>
      <c r="G1735" s="8">
        <v>45793</v>
      </c>
      <c r="H1735" s="80" t="s">
        <v>71</v>
      </c>
      <c r="I1735" s="79" t="s">
        <v>9</v>
      </c>
      <c r="J1735" s="81">
        <v>12</v>
      </c>
      <c r="K1735" t="s">
        <v>48</v>
      </c>
    </row>
    <row r="1736" spans="2:12" x14ac:dyDescent="0.25">
      <c r="B1736" s="2">
        <v>5</v>
      </c>
      <c r="C1736" s="4">
        <v>70633.956000000006</v>
      </c>
      <c r="D1736" s="4">
        <v>24043.931</v>
      </c>
      <c r="E1736" s="79">
        <v>12623.72</v>
      </c>
      <c r="F1736" s="79">
        <f>SUM(BASE_DATOS[[#This Row],[Capital($)]:[Interés
Resarcitorio($)]])</f>
        <v>107301.607</v>
      </c>
      <c r="G1736" s="8">
        <v>45803</v>
      </c>
      <c r="H1736" s="80" t="s">
        <v>71</v>
      </c>
      <c r="I1736" s="79" t="s">
        <v>7</v>
      </c>
      <c r="J1736" s="81">
        <v>12</v>
      </c>
      <c r="K1736" t="s">
        <v>48</v>
      </c>
    </row>
    <row r="1737" spans="2:12" x14ac:dyDescent="0.25">
      <c r="B1737" s="2">
        <v>6</v>
      </c>
      <c r="C1737" s="4">
        <v>73268.603000000003</v>
      </c>
      <c r="D1737" s="4">
        <v>21409.284</v>
      </c>
      <c r="E1737" s="79">
        <v>0</v>
      </c>
      <c r="F1737" s="79">
        <f>SUM(BASE_DATOS[[#This Row],[Capital($)]:[Interés
Resarcitorio($)]])</f>
        <v>94677.887000000002</v>
      </c>
      <c r="G1737" s="8">
        <v>45824</v>
      </c>
      <c r="H1737" s="80" t="s">
        <v>71</v>
      </c>
      <c r="I1737" s="79" t="s">
        <v>9</v>
      </c>
      <c r="J1737" s="81">
        <v>12</v>
      </c>
      <c r="K1737" t="s">
        <v>48</v>
      </c>
    </row>
    <row r="1738" spans="2:12" x14ac:dyDescent="0.25">
      <c r="B1738" s="2">
        <v>6</v>
      </c>
      <c r="C1738" s="4">
        <v>73268.603000000003</v>
      </c>
      <c r="D1738" s="4">
        <v>21409.284</v>
      </c>
      <c r="E1738" s="79">
        <v>12623.72</v>
      </c>
      <c r="F1738" s="79">
        <f>SUM(BASE_DATOS[[#This Row],[Capital($)]:[Interés
Resarcitorio($)]])</f>
        <v>107301.607</v>
      </c>
      <c r="G1738" s="8">
        <v>45834</v>
      </c>
      <c r="H1738" s="80" t="s">
        <v>71</v>
      </c>
      <c r="I1738" s="79" t="s">
        <v>7</v>
      </c>
      <c r="J1738" s="81">
        <v>12</v>
      </c>
      <c r="K1738" t="s">
        <v>48</v>
      </c>
    </row>
    <row r="1739" spans="2:12" x14ac:dyDescent="0.25">
      <c r="B1739" s="2">
        <v>7</v>
      </c>
      <c r="C1739" s="4">
        <v>76001.521999999997</v>
      </c>
      <c r="D1739" s="4">
        <v>18676.364999999998</v>
      </c>
      <c r="E1739" s="79">
        <v>0</v>
      </c>
      <c r="F1739" s="79">
        <f>SUM(BASE_DATOS[[#This Row],[Capital($)]:[Interés
Resarcitorio($)]])</f>
        <v>94677.886999999988</v>
      </c>
      <c r="G1739" s="8">
        <v>45854</v>
      </c>
      <c r="H1739" s="80" t="s">
        <v>71</v>
      </c>
      <c r="I1739" s="79" t="s">
        <v>6</v>
      </c>
      <c r="J1739" s="81">
        <v>12</v>
      </c>
      <c r="K1739" t="s">
        <v>48</v>
      </c>
    </row>
    <row r="1740" spans="2:12" x14ac:dyDescent="0.25">
      <c r="B1740" s="2">
        <v>7</v>
      </c>
      <c r="C1740" s="4">
        <v>76001.521999999997</v>
      </c>
      <c r="D1740" s="4">
        <v>18676.364999999998</v>
      </c>
      <c r="E1740" s="79">
        <v>12623.72</v>
      </c>
      <c r="F1740" s="79">
        <f>SUM(BASE_DATOS[[#This Row],[Capital($)]:[Interés
Resarcitorio($)]])</f>
        <v>107301.60699999999</v>
      </c>
      <c r="G1740" s="8">
        <v>45864</v>
      </c>
      <c r="H1740" s="80" t="s">
        <v>71</v>
      </c>
      <c r="I1740" s="79" t="s">
        <v>7</v>
      </c>
      <c r="J1740" s="81">
        <v>12</v>
      </c>
      <c r="K1740" t="s">
        <v>48</v>
      </c>
    </row>
    <row r="1741" spans="2:12" x14ac:dyDescent="0.25">
      <c r="B1741" s="2">
        <v>8</v>
      </c>
      <c r="C1741" s="4">
        <v>78836.379000000001</v>
      </c>
      <c r="D1741" s="4">
        <v>15841.507999999998</v>
      </c>
      <c r="E1741" s="79">
        <v>0</v>
      </c>
      <c r="F1741" s="79">
        <f>SUM(BASE_DATOS[[#This Row],[Capital($)]:[Interés
Resarcitorio($)]])</f>
        <v>94677.887000000002</v>
      </c>
      <c r="G1741" s="8">
        <v>45885</v>
      </c>
      <c r="H1741" s="80" t="s">
        <v>71</v>
      </c>
      <c r="I1741" s="79" t="s">
        <v>6</v>
      </c>
      <c r="J1741" s="81">
        <v>12</v>
      </c>
      <c r="K1741" t="s">
        <v>48</v>
      </c>
    </row>
    <row r="1742" spans="2:12" x14ac:dyDescent="0.25">
      <c r="B1742" s="2">
        <v>8</v>
      </c>
      <c r="C1742" s="4">
        <v>78836.379000000001</v>
      </c>
      <c r="D1742" s="4">
        <v>15841.507999999998</v>
      </c>
      <c r="E1742" s="79">
        <v>12623.72</v>
      </c>
      <c r="F1742" s="79">
        <f>SUM(BASE_DATOS[[#This Row],[Capital($)]:[Interés
Resarcitorio($)]])</f>
        <v>107301.607</v>
      </c>
      <c r="G1742" s="8">
        <v>45895</v>
      </c>
      <c r="H1742" s="80" t="s">
        <v>71</v>
      </c>
      <c r="I1742" s="79" t="s">
        <v>7</v>
      </c>
      <c r="J1742" s="81">
        <v>12</v>
      </c>
      <c r="K1742" t="s">
        <v>48</v>
      </c>
    </row>
    <row r="1743" spans="2:12" x14ac:dyDescent="0.25">
      <c r="B1743" s="2">
        <v>9</v>
      </c>
      <c r="C1743" s="4">
        <v>81776.975999999995</v>
      </c>
      <c r="D1743" s="4">
        <v>12900.911</v>
      </c>
      <c r="E1743" s="79">
        <v>0</v>
      </c>
      <c r="F1743" s="79">
        <f>SUM(BASE_DATOS[[#This Row],[Capital($)]:[Interés
Resarcitorio($)]])</f>
        <v>94677.886999999988</v>
      </c>
      <c r="G1743" s="8">
        <v>45916</v>
      </c>
      <c r="H1743" s="80" t="s">
        <v>71</v>
      </c>
      <c r="I1743" s="79" t="s">
        <v>6</v>
      </c>
      <c r="J1743" s="81">
        <v>12</v>
      </c>
      <c r="K1743" t="s">
        <v>48</v>
      </c>
    </row>
    <row r="1744" spans="2:12" x14ac:dyDescent="0.25">
      <c r="B1744" s="2">
        <v>9</v>
      </c>
      <c r="C1744" s="4">
        <v>81776.975999999995</v>
      </c>
      <c r="D1744" s="4">
        <v>12900.911</v>
      </c>
      <c r="E1744" s="79">
        <v>12623.72</v>
      </c>
      <c r="F1744" s="79">
        <f>SUM(BASE_DATOS[[#This Row],[Capital($)]:[Interés
Resarcitorio($)]])</f>
        <v>107301.60699999999</v>
      </c>
      <c r="G1744" s="8">
        <v>45926</v>
      </c>
      <c r="H1744" s="80" t="s">
        <v>71</v>
      </c>
      <c r="I1744" s="79" t="s">
        <v>7</v>
      </c>
      <c r="J1744" s="81">
        <v>12</v>
      </c>
      <c r="K1744" t="s">
        <v>48</v>
      </c>
    </row>
    <row r="1745" spans="2:11" x14ac:dyDescent="0.25">
      <c r="B1745" s="2">
        <v>10</v>
      </c>
      <c r="C1745" s="4">
        <v>84827.256999999998</v>
      </c>
      <c r="D1745" s="4">
        <v>9850.630000000001</v>
      </c>
      <c r="E1745" s="79">
        <v>0</v>
      </c>
      <c r="F1745" s="79">
        <f>SUM(BASE_DATOS[[#This Row],[Capital($)]:[Interés
Resarcitorio($)]])</f>
        <v>94677.887000000002</v>
      </c>
      <c r="G1745" s="8">
        <v>45946</v>
      </c>
      <c r="H1745" s="80" t="s">
        <v>71</v>
      </c>
      <c r="I1745" s="79" t="s">
        <v>6</v>
      </c>
      <c r="J1745" s="81">
        <v>12</v>
      </c>
      <c r="K1745" t="s">
        <v>48</v>
      </c>
    </row>
    <row r="1746" spans="2:11" x14ac:dyDescent="0.25">
      <c r="B1746" s="2">
        <v>10</v>
      </c>
      <c r="C1746" s="4">
        <v>84827.256999999998</v>
      </c>
      <c r="D1746" s="4">
        <v>9850.630000000001</v>
      </c>
      <c r="E1746" s="79">
        <v>12623.72</v>
      </c>
      <c r="F1746" s="79">
        <f>SUM(BASE_DATOS[[#This Row],[Capital($)]:[Interés
Resarcitorio($)]])</f>
        <v>107301.607</v>
      </c>
      <c r="G1746" s="8">
        <v>45956</v>
      </c>
      <c r="H1746" s="80" t="s">
        <v>71</v>
      </c>
      <c r="I1746" s="79" t="s">
        <v>7</v>
      </c>
      <c r="J1746" s="81">
        <v>12</v>
      </c>
      <c r="K1746" t="s">
        <v>48</v>
      </c>
    </row>
    <row r="1747" spans="2:11" x14ac:dyDescent="0.25">
      <c r="B1747" s="2">
        <v>11</v>
      </c>
      <c r="C1747" s="4">
        <v>87991.312999999995</v>
      </c>
      <c r="D1747" s="4">
        <v>6686.5740000000005</v>
      </c>
      <c r="E1747" s="79">
        <v>0</v>
      </c>
      <c r="F1747" s="79">
        <f>SUM(BASE_DATOS[[#This Row],[Capital($)]:[Interés
Resarcitorio($)]])</f>
        <v>94677.886999999988</v>
      </c>
      <c r="G1747" s="8">
        <v>45977</v>
      </c>
      <c r="H1747" s="80" t="s">
        <v>71</v>
      </c>
      <c r="I1747" s="79" t="s">
        <v>6</v>
      </c>
      <c r="J1747" s="81">
        <v>12</v>
      </c>
      <c r="K1747" t="s">
        <v>48</v>
      </c>
    </row>
    <row r="1748" spans="2:11" x14ac:dyDescent="0.25">
      <c r="B1748" s="2">
        <v>11</v>
      </c>
      <c r="C1748" s="4">
        <v>87991.312999999995</v>
      </c>
      <c r="D1748" s="4">
        <v>6686.5740000000005</v>
      </c>
      <c r="E1748" s="79">
        <v>12623.72</v>
      </c>
      <c r="F1748" s="79">
        <f>SUM(BASE_DATOS[[#This Row],[Capital($)]:[Interés
Resarcitorio($)]])</f>
        <v>107301.60699999999</v>
      </c>
      <c r="G1748" s="8">
        <v>45987</v>
      </c>
      <c r="H1748" s="80" t="s">
        <v>71</v>
      </c>
      <c r="I1748" s="79" t="s">
        <v>7</v>
      </c>
      <c r="J1748" s="81">
        <v>12</v>
      </c>
      <c r="K1748" t="s">
        <v>48</v>
      </c>
    </row>
    <row r="1749" spans="2:11" x14ac:dyDescent="0.25">
      <c r="B1749" s="2">
        <v>12</v>
      </c>
      <c r="C1749" s="4">
        <v>91273.39499999999</v>
      </c>
      <c r="D1749" s="4">
        <v>3404.4919999999997</v>
      </c>
      <c r="E1749" s="79">
        <v>0</v>
      </c>
      <c r="F1749" s="79">
        <f>SUM(BASE_DATOS[[#This Row],[Capital($)]:[Interés
Resarcitorio($)]])</f>
        <v>94677.886999999988</v>
      </c>
      <c r="G1749" s="8">
        <v>46007</v>
      </c>
      <c r="H1749" s="80" t="s">
        <v>71</v>
      </c>
      <c r="I1749" s="79" t="s">
        <v>6</v>
      </c>
      <c r="J1749" s="81">
        <v>12</v>
      </c>
      <c r="K1749" t="s">
        <v>48</v>
      </c>
    </row>
    <row r="1750" spans="2:11" x14ac:dyDescent="0.25">
      <c r="B1750" s="2">
        <v>12</v>
      </c>
      <c r="C1750" s="4">
        <v>91273.39499999999</v>
      </c>
      <c r="D1750" s="4">
        <v>3404.4919999999997</v>
      </c>
      <c r="E1750" s="79">
        <v>12623.72</v>
      </c>
      <c r="F1750" s="79">
        <f>SUM(BASE_DATOS[[#This Row],[Capital($)]:[Interés
Resarcitorio($)]])</f>
        <v>107301.60699999999</v>
      </c>
      <c r="G1750" s="8">
        <v>46017</v>
      </c>
      <c r="H1750" s="80" t="s">
        <v>71</v>
      </c>
      <c r="I1750" s="79" t="s">
        <v>7</v>
      </c>
      <c r="J1750" s="81">
        <v>12</v>
      </c>
      <c r="K1750" t="s">
        <v>48</v>
      </c>
    </row>
    <row r="1751" spans="2:11" x14ac:dyDescent="0.25">
      <c r="B1751" s="2">
        <v>1</v>
      </c>
      <c r="C1751" s="79">
        <v>1617.21</v>
      </c>
      <c r="D1751" s="79">
        <v>32.344000000000001</v>
      </c>
      <c r="E1751" s="79">
        <v>0</v>
      </c>
      <c r="F1751" s="79">
        <f>SUM(BASE_DATOS[[#This Row],[Capital($)]:[Interés
Resarcitorio($)]])</f>
        <v>1649.5540000000001</v>
      </c>
      <c r="G1751" s="8">
        <v>43998</v>
      </c>
      <c r="H1751" s="80" t="s">
        <v>50</v>
      </c>
      <c r="I1751" s="79" t="s">
        <v>9</v>
      </c>
      <c r="J1751" s="81">
        <v>120</v>
      </c>
      <c r="K1751" t="s">
        <v>47</v>
      </c>
    </row>
    <row r="1752" spans="2:11" x14ac:dyDescent="0.25">
      <c r="B1752" s="2">
        <v>1</v>
      </c>
      <c r="C1752" s="79">
        <v>1617.21</v>
      </c>
      <c r="D1752" s="79">
        <v>32.344000000000001</v>
      </c>
      <c r="E1752" s="79">
        <v>137.46</v>
      </c>
      <c r="F1752" s="79">
        <f>SUM(BASE_DATOS[[#This Row],[Capital($)]:[Interés
Resarcitorio($)]])</f>
        <v>1787.0140000000001</v>
      </c>
      <c r="G1752" s="8">
        <v>44008</v>
      </c>
      <c r="H1752" s="80" t="s">
        <v>50</v>
      </c>
      <c r="I1752" s="79" t="s">
        <v>7</v>
      </c>
      <c r="J1752" s="81">
        <v>120</v>
      </c>
      <c r="K1752" t="s">
        <v>47</v>
      </c>
    </row>
    <row r="1753" spans="2:11" x14ac:dyDescent="0.25">
      <c r="B1753" s="2">
        <v>2</v>
      </c>
      <c r="C1753" s="79">
        <v>1617.21</v>
      </c>
      <c r="D1753" s="79">
        <v>79.242999999999995</v>
      </c>
      <c r="E1753" s="79">
        <v>0</v>
      </c>
      <c r="F1753" s="79">
        <f>SUM(BASE_DATOS[[#This Row],[Capital($)]:[Interés
Resarcitorio($)]])</f>
        <v>1696.453</v>
      </c>
      <c r="G1753" s="8">
        <v>44028</v>
      </c>
      <c r="H1753" s="80" t="s">
        <v>50</v>
      </c>
      <c r="I1753" s="79" t="s">
        <v>9</v>
      </c>
      <c r="J1753" s="81">
        <v>120</v>
      </c>
      <c r="K1753" t="s">
        <v>47</v>
      </c>
    </row>
    <row r="1754" spans="2:11" x14ac:dyDescent="0.25">
      <c r="B1754" s="2">
        <v>2</v>
      </c>
      <c r="C1754" s="79">
        <v>1617.21</v>
      </c>
      <c r="D1754" s="79">
        <v>79.242999999999995</v>
      </c>
      <c r="E1754" s="79">
        <v>156.07</v>
      </c>
      <c r="F1754" s="79">
        <f>SUM(BASE_DATOS[[#This Row],[Capital($)]:[Interés
Resarcitorio($)]])</f>
        <v>1852.5229999999999</v>
      </c>
      <c r="G1754" s="8">
        <v>44038</v>
      </c>
      <c r="H1754" s="80" t="s">
        <v>50</v>
      </c>
      <c r="I1754" s="79" t="s">
        <v>7</v>
      </c>
      <c r="J1754" s="81">
        <v>120</v>
      </c>
      <c r="K1754" t="s">
        <v>47</v>
      </c>
    </row>
    <row r="1755" spans="2:11" x14ac:dyDescent="0.25">
      <c r="B1755" s="2">
        <v>3</v>
      </c>
      <c r="C1755" s="79">
        <v>1617.21</v>
      </c>
      <c r="D1755" s="79">
        <v>129.37700000000001</v>
      </c>
      <c r="E1755" s="79">
        <v>0</v>
      </c>
      <c r="F1755" s="79">
        <f>SUM(BASE_DATOS[[#This Row],[Capital($)]:[Interés
Resarcitorio($)]])</f>
        <v>1746.587</v>
      </c>
      <c r="G1755" s="8">
        <v>44059</v>
      </c>
      <c r="H1755" s="80" t="s">
        <v>50</v>
      </c>
      <c r="I1755" s="79" t="s">
        <v>9</v>
      </c>
      <c r="J1755" s="81">
        <v>120</v>
      </c>
      <c r="K1755" t="s">
        <v>47</v>
      </c>
    </row>
    <row r="1756" spans="2:11" x14ac:dyDescent="0.25">
      <c r="B1756" s="2">
        <v>3</v>
      </c>
      <c r="C1756" s="79">
        <v>1617.21</v>
      </c>
      <c r="D1756" s="79">
        <v>129.37700000000001</v>
      </c>
      <c r="E1756" s="79">
        <v>160.69</v>
      </c>
      <c r="F1756" s="79">
        <f>SUM(BASE_DATOS[[#This Row],[Capital($)]:[Interés
Resarcitorio($)]])</f>
        <v>1907.277</v>
      </c>
      <c r="G1756" s="8">
        <v>44069</v>
      </c>
      <c r="H1756" s="80" t="s">
        <v>50</v>
      </c>
      <c r="I1756" s="79" t="s">
        <v>7</v>
      </c>
      <c r="J1756" s="81">
        <v>120</v>
      </c>
      <c r="K1756" t="s">
        <v>47</v>
      </c>
    </row>
    <row r="1757" spans="2:11" x14ac:dyDescent="0.25">
      <c r="B1757" s="2">
        <v>4</v>
      </c>
      <c r="C1757" s="79">
        <v>1617.21</v>
      </c>
      <c r="D1757" s="79">
        <v>177.893</v>
      </c>
      <c r="E1757" s="79">
        <v>0</v>
      </c>
      <c r="F1757" s="79">
        <f>SUM(BASE_DATOS[[#This Row],[Capital($)]:[Interés
Resarcitorio($)]])</f>
        <v>1795.1030000000001</v>
      </c>
      <c r="G1757" s="8">
        <v>44090</v>
      </c>
      <c r="H1757" s="80" t="s">
        <v>50</v>
      </c>
      <c r="I1757" s="79" t="s">
        <v>9</v>
      </c>
      <c r="J1757" s="81">
        <v>120</v>
      </c>
      <c r="K1757" t="s">
        <v>47</v>
      </c>
    </row>
    <row r="1758" spans="2:11" x14ac:dyDescent="0.25">
      <c r="B1758" s="2">
        <v>4</v>
      </c>
      <c r="C1758" s="79">
        <v>1617.21</v>
      </c>
      <c r="D1758" s="79">
        <v>177.893</v>
      </c>
      <c r="E1758" s="79">
        <v>165.15</v>
      </c>
      <c r="F1758" s="79">
        <f>SUM(BASE_DATOS[[#This Row],[Capital($)]:[Interés
Resarcitorio($)]])</f>
        <v>1960.2530000000002</v>
      </c>
      <c r="G1758" s="8">
        <v>44100</v>
      </c>
      <c r="H1758" s="80" t="s">
        <v>50</v>
      </c>
      <c r="I1758" s="79" t="s">
        <v>7</v>
      </c>
      <c r="J1758" s="81">
        <v>120</v>
      </c>
      <c r="K1758" t="s">
        <v>47</v>
      </c>
    </row>
    <row r="1759" spans="2:11" x14ac:dyDescent="0.25">
      <c r="B1759" s="2">
        <v>5</v>
      </c>
      <c r="C1759" s="79">
        <v>1617.21</v>
      </c>
      <c r="D1759" s="79">
        <v>224.792</v>
      </c>
      <c r="E1759" s="79">
        <v>0</v>
      </c>
      <c r="F1759" s="79">
        <f>SUM(BASE_DATOS[[#This Row],[Capital($)]:[Interés
Resarcitorio($)]])</f>
        <v>1842.002</v>
      </c>
      <c r="G1759" s="8">
        <v>44120</v>
      </c>
      <c r="H1759" s="80" t="s">
        <v>50</v>
      </c>
      <c r="I1759" s="79" t="s">
        <v>9</v>
      </c>
      <c r="J1759" s="81">
        <v>120</v>
      </c>
      <c r="K1759" t="s">
        <v>47</v>
      </c>
    </row>
    <row r="1760" spans="2:11" x14ac:dyDescent="0.25">
      <c r="B1760" s="2">
        <v>5</v>
      </c>
      <c r="C1760" s="79">
        <v>1617.21</v>
      </c>
      <c r="D1760" s="79">
        <v>224.792</v>
      </c>
      <c r="E1760" s="79">
        <v>185.43</v>
      </c>
      <c r="F1760" s="79">
        <f>SUM(BASE_DATOS[[#This Row],[Capital($)]:[Interés
Resarcitorio($)]])</f>
        <v>2027.432</v>
      </c>
      <c r="G1760" s="8">
        <v>44130</v>
      </c>
      <c r="H1760" s="80" t="s">
        <v>50</v>
      </c>
      <c r="I1760" s="79" t="s">
        <v>7</v>
      </c>
      <c r="J1760" s="81">
        <v>120</v>
      </c>
      <c r="K1760" t="s">
        <v>47</v>
      </c>
    </row>
    <row r="1761" spans="2:11" x14ac:dyDescent="0.25">
      <c r="B1761" s="2">
        <v>6</v>
      </c>
      <c r="C1761" s="79">
        <v>1617.21</v>
      </c>
      <c r="D1761" s="79">
        <v>274.92600000000004</v>
      </c>
      <c r="E1761" s="79">
        <v>0</v>
      </c>
      <c r="F1761" s="79">
        <f>SUM(BASE_DATOS[[#This Row],[Capital($)]:[Interés
Resarcitorio($)]])</f>
        <v>1892.136</v>
      </c>
      <c r="G1761" s="8">
        <v>44151</v>
      </c>
      <c r="H1761" s="80" t="s">
        <v>50</v>
      </c>
      <c r="I1761" s="79" t="s">
        <v>9</v>
      </c>
      <c r="J1761" s="81">
        <v>120</v>
      </c>
      <c r="K1761" t="s">
        <v>47</v>
      </c>
    </row>
    <row r="1762" spans="2:11" x14ac:dyDescent="0.25">
      <c r="B1762" s="2">
        <v>6</v>
      </c>
      <c r="C1762" s="79">
        <v>1617.21</v>
      </c>
      <c r="D1762" s="79">
        <v>274.92600000000004</v>
      </c>
      <c r="E1762" s="79">
        <v>190.48</v>
      </c>
      <c r="F1762" s="79">
        <f>SUM(BASE_DATOS[[#This Row],[Capital($)]:[Interés
Resarcitorio($)]])</f>
        <v>2082.616</v>
      </c>
      <c r="G1762" s="8">
        <v>44161</v>
      </c>
      <c r="H1762" s="80" t="s">
        <v>50</v>
      </c>
      <c r="I1762" s="79" t="s">
        <v>7</v>
      </c>
      <c r="J1762" s="81">
        <v>120</v>
      </c>
      <c r="K1762" t="s">
        <v>47</v>
      </c>
    </row>
    <row r="1763" spans="2:11" x14ac:dyDescent="0.25">
      <c r="B1763" s="2">
        <v>7</v>
      </c>
      <c r="C1763" s="79">
        <v>1617.21</v>
      </c>
      <c r="D1763" s="79">
        <v>321.82499999999999</v>
      </c>
      <c r="E1763" s="79">
        <v>0</v>
      </c>
      <c r="F1763" s="79">
        <f>SUM(BASE_DATOS[[#This Row],[Capital($)]:[Interés
Resarcitorio($)]])</f>
        <v>1939.0350000000001</v>
      </c>
      <c r="G1763" s="8">
        <v>44181</v>
      </c>
      <c r="H1763" s="80" t="s">
        <v>50</v>
      </c>
      <c r="I1763" s="79" t="s">
        <v>9</v>
      </c>
      <c r="J1763" s="81">
        <v>120</v>
      </c>
      <c r="K1763" t="s">
        <v>47</v>
      </c>
    </row>
    <row r="1764" spans="2:11" x14ac:dyDescent="0.25">
      <c r="B1764" s="2">
        <v>7</v>
      </c>
      <c r="C1764" s="79">
        <v>1617.21</v>
      </c>
      <c r="D1764" s="79">
        <v>321.82499999999999</v>
      </c>
      <c r="E1764" s="79">
        <v>195.2</v>
      </c>
      <c r="F1764" s="79">
        <f>SUM(BASE_DATOS[[#This Row],[Capital($)]:[Interés
Resarcitorio($)]])</f>
        <v>2134.2350000000001</v>
      </c>
      <c r="G1764" s="8">
        <v>44191</v>
      </c>
      <c r="H1764" s="80" t="s">
        <v>50</v>
      </c>
      <c r="I1764" s="79" t="s">
        <v>7</v>
      </c>
      <c r="J1764" s="81">
        <v>120</v>
      </c>
      <c r="K1764" t="s">
        <v>47</v>
      </c>
    </row>
    <row r="1765" spans="2:11" x14ac:dyDescent="0.25">
      <c r="B1765" s="2">
        <v>8</v>
      </c>
      <c r="C1765" s="79">
        <v>1617.21</v>
      </c>
      <c r="D1765" s="79">
        <v>371.95799999999997</v>
      </c>
      <c r="E1765" s="79">
        <v>0</v>
      </c>
      <c r="F1765" s="79">
        <f>SUM(BASE_DATOS[[#This Row],[Capital($)]:[Interés
Resarcitorio($)]])</f>
        <v>1989.1680000000001</v>
      </c>
      <c r="G1765" s="8">
        <v>44212</v>
      </c>
      <c r="H1765" s="80" t="s">
        <v>50</v>
      </c>
      <c r="I1765" s="79" t="s">
        <v>9</v>
      </c>
      <c r="J1765" s="81">
        <v>120</v>
      </c>
      <c r="K1765" t="s">
        <v>47</v>
      </c>
    </row>
    <row r="1766" spans="2:11" x14ac:dyDescent="0.25">
      <c r="B1766" s="2">
        <v>8</v>
      </c>
      <c r="C1766" s="79">
        <v>1617.21</v>
      </c>
      <c r="D1766" s="79">
        <v>371.95799999999997</v>
      </c>
      <c r="E1766" s="79">
        <v>222.12</v>
      </c>
      <c r="F1766" s="79">
        <f>SUM(BASE_DATOS[[#This Row],[Capital($)]:[Interés
Resarcitorio($)]])</f>
        <v>2211.288</v>
      </c>
      <c r="G1766" s="8">
        <v>44222</v>
      </c>
      <c r="H1766" s="80" t="s">
        <v>50</v>
      </c>
      <c r="I1766" s="79" t="s">
        <v>7</v>
      </c>
      <c r="J1766" s="81">
        <v>120</v>
      </c>
      <c r="K1766" t="s">
        <v>47</v>
      </c>
    </row>
    <row r="1767" spans="2:11" x14ac:dyDescent="0.25">
      <c r="B1767" s="2">
        <v>9</v>
      </c>
      <c r="C1767" s="79">
        <v>1617.21</v>
      </c>
      <c r="D1767" s="79">
        <v>418.04899999999998</v>
      </c>
      <c r="E1767" s="79">
        <v>0</v>
      </c>
      <c r="F1767" s="79">
        <f>SUM(BASE_DATOS[[#This Row],[Capital($)]:[Interés
Resarcitorio($)]])</f>
        <v>2035.259</v>
      </c>
      <c r="G1767" s="8">
        <v>44243</v>
      </c>
      <c r="H1767" s="80" t="s">
        <v>50</v>
      </c>
      <c r="I1767" s="79" t="s">
        <v>9</v>
      </c>
      <c r="J1767" s="81">
        <v>120</v>
      </c>
      <c r="K1767" t="s">
        <v>47</v>
      </c>
    </row>
    <row r="1768" spans="2:11" x14ac:dyDescent="0.25">
      <c r="B1768" s="2">
        <v>9</v>
      </c>
      <c r="C1768" s="79">
        <v>1617.21</v>
      </c>
      <c r="D1768" s="79">
        <v>418.04899999999998</v>
      </c>
      <c r="E1768" s="79">
        <v>227.27</v>
      </c>
      <c r="F1768" s="79">
        <f>SUM(BASE_DATOS[[#This Row],[Capital($)]:[Interés
Resarcitorio($)]])</f>
        <v>2262.529</v>
      </c>
      <c r="G1768" s="8">
        <v>44253</v>
      </c>
      <c r="H1768" s="80" t="s">
        <v>50</v>
      </c>
      <c r="I1768" s="79" t="s">
        <v>7</v>
      </c>
      <c r="J1768" s="81">
        <v>120</v>
      </c>
      <c r="K1768" t="s">
        <v>47</v>
      </c>
    </row>
    <row r="1769" spans="2:11" x14ac:dyDescent="0.25">
      <c r="B1769" s="2">
        <v>10</v>
      </c>
      <c r="C1769" s="79">
        <v>1617.21</v>
      </c>
      <c r="D1769" s="79">
        <v>464.13900000000001</v>
      </c>
      <c r="E1769" s="79">
        <v>0</v>
      </c>
      <c r="F1769" s="79">
        <f>SUM(BASE_DATOS[[#This Row],[Capital($)]:[Interés
Resarcitorio($)]])</f>
        <v>2081.3490000000002</v>
      </c>
      <c r="G1769" s="8">
        <v>44271</v>
      </c>
      <c r="H1769" s="80" t="s">
        <v>50</v>
      </c>
      <c r="I1769" s="79" t="s">
        <v>9</v>
      </c>
      <c r="J1769" s="81">
        <v>120</v>
      </c>
      <c r="K1769" t="s">
        <v>47</v>
      </c>
    </row>
    <row r="1770" spans="2:11" x14ac:dyDescent="0.25">
      <c r="B1770" s="2">
        <v>10</v>
      </c>
      <c r="C1770" s="79">
        <v>1617.21</v>
      </c>
      <c r="D1770" s="79">
        <v>464.13900000000001</v>
      </c>
      <c r="E1770" s="79">
        <v>232.42</v>
      </c>
      <c r="F1770" s="79">
        <f>SUM(BASE_DATOS[[#This Row],[Capital($)]:[Interés
Resarcitorio($)]])</f>
        <v>2313.7690000000002</v>
      </c>
      <c r="G1770" s="8">
        <v>44281</v>
      </c>
      <c r="H1770" s="80" t="s">
        <v>50</v>
      </c>
      <c r="I1770" s="79" t="s">
        <v>7</v>
      </c>
      <c r="J1770" s="81">
        <v>120</v>
      </c>
      <c r="K1770" t="s">
        <v>47</v>
      </c>
    </row>
    <row r="1771" spans="2:11" x14ac:dyDescent="0.25">
      <c r="B1771" s="2">
        <v>11</v>
      </c>
      <c r="C1771" s="79">
        <v>1617.21</v>
      </c>
      <c r="D1771" s="79">
        <v>510.23</v>
      </c>
      <c r="E1771" s="79">
        <v>0</v>
      </c>
      <c r="F1771" s="79">
        <f>SUM(BASE_DATOS[[#This Row],[Capital($)]:[Interés
Resarcitorio($)]])</f>
        <v>2127.44</v>
      </c>
      <c r="G1771" s="8">
        <v>44302</v>
      </c>
      <c r="H1771" s="80" t="s">
        <v>50</v>
      </c>
      <c r="I1771" s="79" t="s">
        <v>9</v>
      </c>
      <c r="J1771" s="81">
        <v>120</v>
      </c>
      <c r="K1771" t="s">
        <v>47</v>
      </c>
    </row>
    <row r="1772" spans="2:11" x14ac:dyDescent="0.25">
      <c r="B1772" s="2">
        <v>11</v>
      </c>
      <c r="C1772" s="79">
        <v>1617.21</v>
      </c>
      <c r="D1772" s="79">
        <v>510.23</v>
      </c>
      <c r="E1772" s="79">
        <v>237.56</v>
      </c>
      <c r="F1772" s="79">
        <f>SUM(BASE_DATOS[[#This Row],[Capital($)]:[Interés
Resarcitorio($)]])</f>
        <v>2365</v>
      </c>
      <c r="G1772" s="8">
        <v>44312</v>
      </c>
      <c r="H1772" s="80" t="s">
        <v>50</v>
      </c>
      <c r="I1772" s="79" t="s">
        <v>7</v>
      </c>
      <c r="J1772" s="81">
        <v>120</v>
      </c>
      <c r="K1772" t="s">
        <v>47</v>
      </c>
    </row>
    <row r="1773" spans="2:11" x14ac:dyDescent="0.25">
      <c r="B1773" s="2">
        <v>12</v>
      </c>
      <c r="C1773" s="79">
        <v>1617.21</v>
      </c>
      <c r="D1773" s="79">
        <v>556.31999999999994</v>
      </c>
      <c r="E1773" s="79">
        <v>0</v>
      </c>
      <c r="F1773" s="79">
        <f>SUM(BASE_DATOS[[#This Row],[Capital($)]:[Interés
Resarcitorio($)]])</f>
        <v>2173.5299999999997</v>
      </c>
      <c r="G1773" s="8">
        <v>44332</v>
      </c>
      <c r="H1773" s="80" t="s">
        <v>50</v>
      </c>
      <c r="I1773" s="79" t="s">
        <v>9</v>
      </c>
      <c r="J1773" s="81">
        <v>120</v>
      </c>
      <c r="K1773" t="s">
        <v>47</v>
      </c>
    </row>
    <row r="1774" spans="2:11" x14ac:dyDescent="0.25">
      <c r="B1774" s="2">
        <v>12</v>
      </c>
      <c r="C1774" s="79">
        <v>1617.21</v>
      </c>
      <c r="D1774" s="79">
        <v>556.31999999999994</v>
      </c>
      <c r="E1774" s="79">
        <v>242.71</v>
      </c>
      <c r="F1774" s="79">
        <f>SUM(BASE_DATOS[[#This Row],[Capital($)]:[Interés
Resarcitorio($)]])</f>
        <v>2416.2399999999998</v>
      </c>
      <c r="G1774" s="8">
        <v>44342</v>
      </c>
      <c r="H1774" s="80" t="s">
        <v>50</v>
      </c>
      <c r="I1774" s="79" t="s">
        <v>7</v>
      </c>
      <c r="J1774" s="81">
        <v>120</v>
      </c>
      <c r="K1774" t="s">
        <v>47</v>
      </c>
    </row>
    <row r="1775" spans="2:11" x14ac:dyDescent="0.25">
      <c r="B1775" s="2">
        <v>13</v>
      </c>
      <c r="C1775" s="79">
        <v>1617.21</v>
      </c>
      <c r="D1775" s="79">
        <v>602.41099999999994</v>
      </c>
      <c r="E1775" s="79">
        <v>0</v>
      </c>
      <c r="F1775" s="79">
        <f>SUM(BASE_DATOS[[#This Row],[Capital($)]:[Interés
Resarcitorio($)]])</f>
        <v>2219.6210000000001</v>
      </c>
      <c r="G1775" s="8">
        <v>44363</v>
      </c>
      <c r="H1775" s="80" t="s">
        <v>50</v>
      </c>
      <c r="I1775" s="79" t="s">
        <v>9</v>
      </c>
      <c r="J1775" s="81">
        <v>120</v>
      </c>
      <c r="K1775" t="s">
        <v>47</v>
      </c>
    </row>
    <row r="1776" spans="2:11" x14ac:dyDescent="0.25">
      <c r="B1776" s="2">
        <v>13</v>
      </c>
      <c r="C1776" s="79">
        <v>1617.21</v>
      </c>
      <c r="D1776" s="79">
        <v>602.41099999999994</v>
      </c>
      <c r="E1776" s="79">
        <v>247.86</v>
      </c>
      <c r="F1776" s="79">
        <f>SUM(BASE_DATOS[[#This Row],[Capital($)]:[Interés
Resarcitorio($)]])</f>
        <v>2467.4810000000002</v>
      </c>
      <c r="G1776" s="8">
        <v>44373</v>
      </c>
      <c r="H1776" s="80" t="s">
        <v>50</v>
      </c>
      <c r="I1776" s="79" t="s">
        <v>7</v>
      </c>
      <c r="J1776" s="81">
        <v>120</v>
      </c>
      <c r="K1776" t="s">
        <v>47</v>
      </c>
    </row>
    <row r="1777" spans="2:11" x14ac:dyDescent="0.25">
      <c r="B1777" s="2">
        <v>14</v>
      </c>
      <c r="C1777" s="79">
        <v>1617.21</v>
      </c>
      <c r="D1777" s="79">
        <v>648.50099999999998</v>
      </c>
      <c r="E1777" s="79">
        <v>0</v>
      </c>
      <c r="F1777" s="79">
        <f>SUM(BASE_DATOS[[#This Row],[Capital($)]:[Interés
Resarcitorio($)]])</f>
        <v>2265.7110000000002</v>
      </c>
      <c r="G1777" s="8">
        <v>44393</v>
      </c>
      <c r="H1777" s="80" t="s">
        <v>50</v>
      </c>
      <c r="I1777" s="79" t="s">
        <v>9</v>
      </c>
      <c r="J1777" s="81">
        <v>120</v>
      </c>
      <c r="K1777" t="s">
        <v>47</v>
      </c>
    </row>
    <row r="1778" spans="2:11" x14ac:dyDescent="0.25">
      <c r="B1778" s="2">
        <v>14</v>
      </c>
      <c r="C1778" s="79">
        <v>1617.21</v>
      </c>
      <c r="D1778" s="79">
        <v>648.50099999999998</v>
      </c>
      <c r="E1778" s="79">
        <v>253</v>
      </c>
      <c r="F1778" s="79">
        <f>SUM(BASE_DATOS[[#This Row],[Capital($)]:[Interés
Resarcitorio($)]])</f>
        <v>2518.7110000000002</v>
      </c>
      <c r="G1778" s="8">
        <v>44403</v>
      </c>
      <c r="H1778" s="80" t="s">
        <v>50</v>
      </c>
      <c r="I1778" s="79" t="s">
        <v>7</v>
      </c>
      <c r="J1778" s="81">
        <v>120</v>
      </c>
      <c r="K1778" t="s">
        <v>47</v>
      </c>
    </row>
    <row r="1779" spans="2:11" x14ac:dyDescent="0.25">
      <c r="B1779" s="2">
        <v>15</v>
      </c>
      <c r="C1779" s="79">
        <v>1617.21</v>
      </c>
      <c r="D1779" s="79">
        <v>694.43000000000006</v>
      </c>
      <c r="E1779" s="79">
        <v>0</v>
      </c>
      <c r="F1779" s="79">
        <f>SUM(BASE_DATOS[[#This Row],[Capital($)]:[Interés
Resarcitorio($)]])</f>
        <v>2311.6400000000003</v>
      </c>
      <c r="G1779" s="8">
        <v>44424</v>
      </c>
      <c r="H1779" s="80" t="s">
        <v>50</v>
      </c>
      <c r="I1779" s="79" t="s">
        <v>9</v>
      </c>
      <c r="J1779" s="81">
        <v>120</v>
      </c>
      <c r="K1779" t="s">
        <v>47</v>
      </c>
    </row>
    <row r="1780" spans="2:11" x14ac:dyDescent="0.25">
      <c r="B1780" s="2">
        <v>15</v>
      </c>
      <c r="C1780" s="79">
        <v>1617.21</v>
      </c>
      <c r="D1780" s="79">
        <v>694.43000000000006</v>
      </c>
      <c r="E1780" s="79">
        <v>258.13</v>
      </c>
      <c r="F1780" s="79">
        <f>SUM(BASE_DATOS[[#This Row],[Capital($)]:[Interés
Resarcitorio($)]])</f>
        <v>2569.7700000000004</v>
      </c>
      <c r="G1780" s="8">
        <v>44434</v>
      </c>
      <c r="H1780" s="80" t="s">
        <v>50</v>
      </c>
      <c r="I1780" s="79" t="s">
        <v>7</v>
      </c>
      <c r="J1780" s="81">
        <v>120</v>
      </c>
      <c r="K1780" t="s">
        <v>47</v>
      </c>
    </row>
    <row r="1781" spans="2:11" x14ac:dyDescent="0.25">
      <c r="B1781" s="2">
        <v>16</v>
      </c>
      <c r="C1781" s="79">
        <v>1617.21</v>
      </c>
      <c r="D1781" s="79">
        <v>740.35900000000004</v>
      </c>
      <c r="E1781" s="79">
        <v>0</v>
      </c>
      <c r="F1781" s="79">
        <f>SUM(BASE_DATOS[[#This Row],[Capital($)]:[Interés
Resarcitorio($)]])</f>
        <v>2357.569</v>
      </c>
      <c r="G1781" s="8">
        <v>44455</v>
      </c>
      <c r="H1781" s="80" t="s">
        <v>50</v>
      </c>
      <c r="I1781" s="79" t="s">
        <v>9</v>
      </c>
      <c r="J1781" s="81">
        <v>120</v>
      </c>
      <c r="K1781" t="s">
        <v>47</v>
      </c>
    </row>
    <row r="1782" spans="2:11" x14ac:dyDescent="0.25">
      <c r="B1782" s="2">
        <v>16</v>
      </c>
      <c r="C1782" s="79">
        <v>1617.21</v>
      </c>
      <c r="D1782" s="79">
        <v>740.35900000000004</v>
      </c>
      <c r="E1782" s="79">
        <v>263.26</v>
      </c>
      <c r="F1782" s="79">
        <f>SUM(BASE_DATOS[[#This Row],[Capital($)]:[Interés
Resarcitorio($)]])</f>
        <v>2620.8289999999997</v>
      </c>
      <c r="G1782" s="8">
        <v>44465</v>
      </c>
      <c r="H1782" s="80" t="s">
        <v>50</v>
      </c>
      <c r="I1782" s="79" t="s">
        <v>7</v>
      </c>
      <c r="J1782" s="81">
        <v>120</v>
      </c>
      <c r="K1782" t="s">
        <v>47</v>
      </c>
    </row>
    <row r="1783" spans="2:11" x14ac:dyDescent="0.25">
      <c r="B1783" s="2">
        <v>17</v>
      </c>
      <c r="C1783" s="79">
        <v>1617.21</v>
      </c>
      <c r="D1783" s="79">
        <v>786.28800000000001</v>
      </c>
      <c r="E1783" s="79">
        <v>0</v>
      </c>
      <c r="F1783" s="79">
        <f>SUM(BASE_DATOS[[#This Row],[Capital($)]:[Interés
Resarcitorio($)]])</f>
        <v>2403.498</v>
      </c>
      <c r="G1783" s="8">
        <v>44485</v>
      </c>
      <c r="H1783" s="80" t="s">
        <v>50</v>
      </c>
      <c r="I1783" s="79" t="s">
        <v>9</v>
      </c>
      <c r="J1783" s="81">
        <v>120</v>
      </c>
      <c r="K1783" t="s">
        <v>47</v>
      </c>
    </row>
    <row r="1784" spans="2:11" x14ac:dyDescent="0.25">
      <c r="B1784" s="2">
        <v>17</v>
      </c>
      <c r="C1784" s="79">
        <v>1617.21</v>
      </c>
      <c r="D1784" s="79">
        <v>786.28800000000001</v>
      </c>
      <c r="E1784" s="79">
        <v>268.39</v>
      </c>
      <c r="F1784" s="79">
        <f>SUM(BASE_DATOS[[#This Row],[Capital($)]:[Interés
Resarcitorio($)]])</f>
        <v>2671.8879999999999</v>
      </c>
      <c r="G1784" s="8">
        <v>44495</v>
      </c>
      <c r="H1784" s="80" t="s">
        <v>50</v>
      </c>
      <c r="I1784" s="79" t="s">
        <v>7</v>
      </c>
      <c r="J1784" s="81">
        <v>120</v>
      </c>
      <c r="K1784" t="s">
        <v>47</v>
      </c>
    </row>
    <row r="1785" spans="2:11" x14ac:dyDescent="0.25">
      <c r="B1785" s="2">
        <v>18</v>
      </c>
      <c r="C1785" s="79">
        <v>1617.21</v>
      </c>
      <c r="D1785" s="79">
        <v>832.21600000000001</v>
      </c>
      <c r="E1785" s="79">
        <v>0</v>
      </c>
      <c r="F1785" s="79">
        <f>SUM(BASE_DATOS[[#This Row],[Capital($)]:[Interés
Resarcitorio($)]])</f>
        <v>2449.4259999999999</v>
      </c>
      <c r="G1785" s="8">
        <v>44516</v>
      </c>
      <c r="H1785" s="80" t="s">
        <v>50</v>
      </c>
      <c r="I1785" s="79" t="s">
        <v>9</v>
      </c>
      <c r="J1785" s="81">
        <v>120</v>
      </c>
      <c r="K1785" t="s">
        <v>47</v>
      </c>
    </row>
    <row r="1786" spans="2:11" x14ac:dyDescent="0.25">
      <c r="B1786" s="2">
        <v>18</v>
      </c>
      <c r="C1786" s="79">
        <v>1617.21</v>
      </c>
      <c r="D1786" s="79">
        <v>832.21600000000001</v>
      </c>
      <c r="E1786" s="79">
        <v>273.52</v>
      </c>
      <c r="F1786" s="79">
        <f>SUM(BASE_DATOS[[#This Row],[Capital($)]:[Interés
Resarcitorio($)]])</f>
        <v>2722.9459999999999</v>
      </c>
      <c r="G1786" s="8">
        <v>44526</v>
      </c>
      <c r="H1786" s="80" t="s">
        <v>50</v>
      </c>
      <c r="I1786" s="79" t="s">
        <v>7</v>
      </c>
      <c r="J1786" s="81">
        <v>120</v>
      </c>
      <c r="K1786" t="s">
        <v>47</v>
      </c>
    </row>
    <row r="1787" spans="2:11" x14ac:dyDescent="0.25">
      <c r="B1787" s="2">
        <v>19</v>
      </c>
      <c r="C1787" s="79">
        <v>1617.21</v>
      </c>
      <c r="D1787" s="79">
        <v>878.1450000000001</v>
      </c>
      <c r="E1787" s="79">
        <v>0</v>
      </c>
      <c r="F1787" s="79">
        <f>SUM(BASE_DATOS[[#This Row],[Capital($)]:[Interés
Resarcitorio($)]])</f>
        <v>2495.355</v>
      </c>
      <c r="G1787" s="8">
        <v>44546</v>
      </c>
      <c r="H1787" s="80" t="s">
        <v>50</v>
      </c>
      <c r="I1787" s="79" t="s">
        <v>9</v>
      </c>
      <c r="J1787" s="81">
        <v>120</v>
      </c>
      <c r="K1787" t="s">
        <v>47</v>
      </c>
    </row>
    <row r="1788" spans="2:11" x14ac:dyDescent="0.25">
      <c r="B1788" s="2">
        <v>19</v>
      </c>
      <c r="C1788" s="79">
        <v>1617.21</v>
      </c>
      <c r="D1788" s="79">
        <v>878.1450000000001</v>
      </c>
      <c r="E1788" s="79">
        <v>278.64999999999998</v>
      </c>
      <c r="F1788" s="79">
        <f>SUM(BASE_DATOS[[#This Row],[Capital($)]:[Interés
Resarcitorio($)]])</f>
        <v>2774.0050000000001</v>
      </c>
      <c r="G1788" s="8">
        <v>44556</v>
      </c>
      <c r="H1788" s="80" t="s">
        <v>50</v>
      </c>
      <c r="I1788" s="79" t="s">
        <v>7</v>
      </c>
      <c r="J1788" s="81">
        <v>120</v>
      </c>
      <c r="K1788" t="s">
        <v>47</v>
      </c>
    </row>
    <row r="1789" spans="2:11" x14ac:dyDescent="0.25">
      <c r="B1789" s="2">
        <v>20</v>
      </c>
      <c r="C1789" s="79">
        <v>1617.21</v>
      </c>
      <c r="D1789" s="79">
        <v>924.07399999999996</v>
      </c>
      <c r="E1789" s="79">
        <v>0</v>
      </c>
      <c r="F1789" s="79">
        <f>SUM(BASE_DATOS[[#This Row],[Capital($)]:[Interés
Resarcitorio($)]])</f>
        <v>2541.2840000000001</v>
      </c>
      <c r="G1789" s="8">
        <v>44577</v>
      </c>
      <c r="H1789" s="80" t="s">
        <v>50</v>
      </c>
      <c r="I1789" s="79" t="s">
        <v>9</v>
      </c>
      <c r="J1789" s="81">
        <v>120</v>
      </c>
      <c r="K1789" t="s">
        <v>47</v>
      </c>
    </row>
    <row r="1790" spans="2:11" x14ac:dyDescent="0.25">
      <c r="B1790" s="2">
        <v>20</v>
      </c>
      <c r="C1790" s="79">
        <v>1617.21</v>
      </c>
      <c r="D1790" s="79">
        <v>924.07399999999996</v>
      </c>
      <c r="E1790" s="79">
        <v>283.77999999999997</v>
      </c>
      <c r="F1790" s="79">
        <f>SUM(BASE_DATOS[[#This Row],[Capital($)]:[Interés
Resarcitorio($)]])</f>
        <v>2825.0640000000003</v>
      </c>
      <c r="G1790" s="8">
        <v>44587</v>
      </c>
      <c r="H1790" s="80" t="s">
        <v>50</v>
      </c>
      <c r="I1790" s="79" t="s">
        <v>7</v>
      </c>
      <c r="J1790" s="81">
        <v>120</v>
      </c>
      <c r="K1790" t="s">
        <v>47</v>
      </c>
    </row>
    <row r="1791" spans="2:11" x14ac:dyDescent="0.25">
      <c r="B1791" s="2">
        <v>21</v>
      </c>
      <c r="C1791" s="79">
        <v>1617.21</v>
      </c>
      <c r="D1791" s="79">
        <v>974.69200000000001</v>
      </c>
      <c r="E1791" s="79">
        <v>0</v>
      </c>
      <c r="F1791" s="79">
        <f>SUM(BASE_DATOS[[#This Row],[Capital($)]:[Interés
Resarcitorio($)]])</f>
        <v>2591.902</v>
      </c>
      <c r="G1791" s="8">
        <v>44608</v>
      </c>
      <c r="H1791" s="80" t="s">
        <v>50</v>
      </c>
      <c r="I1791" s="79" t="s">
        <v>9</v>
      </c>
      <c r="J1791" s="81">
        <v>120</v>
      </c>
      <c r="K1791" t="s">
        <v>47</v>
      </c>
    </row>
    <row r="1792" spans="2:11" x14ac:dyDescent="0.25">
      <c r="B1792" s="2">
        <v>21</v>
      </c>
      <c r="C1792" s="79">
        <v>1617.21</v>
      </c>
      <c r="D1792" s="79">
        <v>974.69200000000001</v>
      </c>
      <c r="E1792" s="79">
        <v>289.43</v>
      </c>
      <c r="F1792" s="79">
        <f>SUM(BASE_DATOS[[#This Row],[Capital($)]:[Interés
Resarcitorio($)]])</f>
        <v>2881.3319999999999</v>
      </c>
      <c r="G1792" s="8">
        <v>44618</v>
      </c>
      <c r="H1792" s="80" t="s">
        <v>50</v>
      </c>
      <c r="I1792" s="79" t="s">
        <v>7</v>
      </c>
      <c r="J1792" s="81">
        <v>120</v>
      </c>
      <c r="K1792" t="s">
        <v>47</v>
      </c>
    </row>
    <row r="1793" spans="2:11" x14ac:dyDescent="0.25">
      <c r="B1793" s="2">
        <v>22</v>
      </c>
      <c r="C1793" s="79">
        <v>1617.21</v>
      </c>
      <c r="D1793" s="79">
        <v>1025.3110000000001</v>
      </c>
      <c r="E1793" s="79">
        <v>0</v>
      </c>
      <c r="F1793" s="79">
        <f>SUM(BASE_DATOS[[#This Row],[Capital($)]:[Interés
Resarcitorio($)]])</f>
        <v>2642.5210000000002</v>
      </c>
      <c r="G1793" s="8">
        <v>44636</v>
      </c>
      <c r="H1793" s="80" t="s">
        <v>50</v>
      </c>
      <c r="I1793" s="79" t="s">
        <v>9</v>
      </c>
      <c r="J1793" s="81">
        <v>120</v>
      </c>
      <c r="K1793" t="s">
        <v>47</v>
      </c>
    </row>
    <row r="1794" spans="2:11" x14ac:dyDescent="0.25">
      <c r="B1794" s="2">
        <v>22</v>
      </c>
      <c r="C1794" s="79">
        <v>1617.21</v>
      </c>
      <c r="D1794" s="79">
        <v>1025.3110000000001</v>
      </c>
      <c r="E1794" s="79">
        <v>295.08</v>
      </c>
      <c r="F1794" s="79">
        <f>SUM(BASE_DATOS[[#This Row],[Capital($)]:[Interés
Resarcitorio($)]])</f>
        <v>2937.6010000000001</v>
      </c>
      <c r="G1794" s="8">
        <v>44646</v>
      </c>
      <c r="H1794" s="80" t="s">
        <v>50</v>
      </c>
      <c r="I1794" s="79" t="s">
        <v>7</v>
      </c>
      <c r="J1794" s="81">
        <v>120</v>
      </c>
      <c r="K1794" t="s">
        <v>47</v>
      </c>
    </row>
    <row r="1795" spans="2:11" x14ac:dyDescent="0.25">
      <c r="B1795" s="2">
        <v>23</v>
      </c>
      <c r="C1795" s="79">
        <v>1617.21</v>
      </c>
      <c r="D1795" s="79">
        <v>1075.9299999999998</v>
      </c>
      <c r="E1795" s="79">
        <v>0</v>
      </c>
      <c r="F1795" s="79">
        <f>SUM(BASE_DATOS[[#This Row],[Capital($)]:[Interés
Resarcitorio($)]])</f>
        <v>2693.14</v>
      </c>
      <c r="G1795" s="8">
        <v>44667</v>
      </c>
      <c r="H1795" s="80" t="s">
        <v>50</v>
      </c>
      <c r="I1795" s="79" t="s">
        <v>9</v>
      </c>
      <c r="J1795" s="81">
        <v>120</v>
      </c>
      <c r="K1795" t="s">
        <v>47</v>
      </c>
    </row>
    <row r="1796" spans="2:11" x14ac:dyDescent="0.25">
      <c r="B1796" s="2">
        <v>23</v>
      </c>
      <c r="C1796" s="79">
        <v>1617.21</v>
      </c>
      <c r="D1796" s="79">
        <v>1075.9299999999998</v>
      </c>
      <c r="E1796" s="79">
        <v>333.95</v>
      </c>
      <c r="F1796" s="79">
        <f>SUM(BASE_DATOS[[#This Row],[Capital($)]:[Interés
Resarcitorio($)]])</f>
        <v>3027.0899999999997</v>
      </c>
      <c r="G1796" s="8">
        <v>44677</v>
      </c>
      <c r="H1796" s="80" t="s">
        <v>50</v>
      </c>
      <c r="I1796" s="79" t="s">
        <v>7</v>
      </c>
      <c r="J1796" s="81">
        <v>120</v>
      </c>
      <c r="K1796" t="s">
        <v>47</v>
      </c>
    </row>
    <row r="1797" spans="2:11" x14ac:dyDescent="0.25">
      <c r="B1797" s="2">
        <v>24</v>
      </c>
      <c r="C1797" s="79">
        <v>1617.21</v>
      </c>
      <c r="D1797" s="79">
        <v>1126.548</v>
      </c>
      <c r="E1797" s="79">
        <v>0</v>
      </c>
      <c r="F1797" s="79">
        <f>SUM(BASE_DATOS[[#This Row],[Capital($)]:[Interés
Resarcitorio($)]])</f>
        <v>2743.7579999999998</v>
      </c>
      <c r="G1797" s="8">
        <v>44697</v>
      </c>
      <c r="H1797" s="80" t="s">
        <v>50</v>
      </c>
      <c r="I1797" s="79" t="s">
        <v>9</v>
      </c>
      <c r="J1797" s="81">
        <v>120</v>
      </c>
      <c r="K1797" t="s">
        <v>47</v>
      </c>
    </row>
    <row r="1798" spans="2:11" x14ac:dyDescent="0.25">
      <c r="B1798" s="2">
        <v>24</v>
      </c>
      <c r="C1798" s="79">
        <v>1617.21</v>
      </c>
      <c r="D1798" s="79">
        <v>1126.548</v>
      </c>
      <c r="E1798" s="79">
        <v>340.23</v>
      </c>
      <c r="F1798" s="79">
        <f>SUM(BASE_DATOS[[#This Row],[Capital($)]:[Interés
Resarcitorio($)]])</f>
        <v>3083.9879999999998</v>
      </c>
      <c r="G1798" s="8">
        <v>44707</v>
      </c>
      <c r="H1798" s="80" t="s">
        <v>50</v>
      </c>
      <c r="I1798" s="79" t="s">
        <v>7</v>
      </c>
      <c r="J1798" s="81">
        <v>120</v>
      </c>
      <c r="K1798" t="s">
        <v>47</v>
      </c>
    </row>
    <row r="1799" spans="2:11" x14ac:dyDescent="0.25">
      <c r="B1799" s="2">
        <v>25</v>
      </c>
      <c r="C1799" s="79">
        <v>1617.21</v>
      </c>
      <c r="D1799" s="79">
        <v>1177.1669999999999</v>
      </c>
      <c r="E1799" s="79">
        <v>0</v>
      </c>
      <c r="F1799" s="79">
        <f>SUM(BASE_DATOS[[#This Row],[Capital($)]:[Interés
Resarcitorio($)]])</f>
        <v>2794.377</v>
      </c>
      <c r="G1799" s="8">
        <v>44728</v>
      </c>
      <c r="H1799" s="80" t="s">
        <v>50</v>
      </c>
      <c r="I1799" s="79" t="s">
        <v>9</v>
      </c>
      <c r="J1799" s="81">
        <v>120</v>
      </c>
      <c r="K1799" t="s">
        <v>47</v>
      </c>
    </row>
    <row r="1800" spans="2:11" x14ac:dyDescent="0.25">
      <c r="B1800" s="2">
        <v>25</v>
      </c>
      <c r="C1800" s="79">
        <v>1617.21</v>
      </c>
      <c r="D1800" s="79">
        <v>1177.1669999999999</v>
      </c>
      <c r="E1800" s="79">
        <v>346.5</v>
      </c>
      <c r="F1800" s="79">
        <f>SUM(BASE_DATOS[[#This Row],[Capital($)]:[Interés
Resarcitorio($)]])</f>
        <v>3140.877</v>
      </c>
      <c r="G1800" s="8">
        <v>44738</v>
      </c>
      <c r="H1800" s="80" t="s">
        <v>50</v>
      </c>
      <c r="I1800" s="79" t="s">
        <v>7</v>
      </c>
      <c r="J1800" s="81">
        <v>120</v>
      </c>
      <c r="K1800" t="s">
        <v>47</v>
      </c>
    </row>
    <row r="1801" spans="2:11" x14ac:dyDescent="0.25">
      <c r="B1801" s="2">
        <v>26</v>
      </c>
      <c r="C1801" s="79">
        <v>1617.21</v>
      </c>
      <c r="D1801" s="79">
        <v>1227.7860000000001</v>
      </c>
      <c r="E1801" s="79">
        <v>0</v>
      </c>
      <c r="F1801" s="79">
        <f>SUM(BASE_DATOS[[#This Row],[Capital($)]:[Interés
Resarcitorio($)]])</f>
        <v>2844.9960000000001</v>
      </c>
      <c r="G1801" s="8">
        <v>44758</v>
      </c>
      <c r="H1801" s="80" t="s">
        <v>50</v>
      </c>
      <c r="I1801" s="79" t="s">
        <v>9</v>
      </c>
      <c r="J1801" s="81">
        <v>120</v>
      </c>
      <c r="K1801" t="s">
        <v>47</v>
      </c>
    </row>
    <row r="1802" spans="2:11" x14ac:dyDescent="0.25">
      <c r="B1802" s="2">
        <v>26</v>
      </c>
      <c r="C1802" s="79">
        <v>1617.21</v>
      </c>
      <c r="D1802" s="79">
        <v>1227.7860000000001</v>
      </c>
      <c r="E1802" s="79">
        <v>403.04</v>
      </c>
      <c r="F1802" s="79">
        <f>SUM(BASE_DATOS[[#This Row],[Capital($)]:[Interés
Resarcitorio($)]])</f>
        <v>3248.0360000000001</v>
      </c>
      <c r="G1802" s="8">
        <v>44768</v>
      </c>
      <c r="H1802" s="80" t="s">
        <v>50</v>
      </c>
      <c r="I1802" s="79" t="s">
        <v>7</v>
      </c>
      <c r="J1802" s="81">
        <v>120</v>
      </c>
      <c r="K1802" t="s">
        <v>47</v>
      </c>
    </row>
    <row r="1803" spans="2:11" x14ac:dyDescent="0.25">
      <c r="B1803" s="2">
        <v>27</v>
      </c>
      <c r="C1803" s="79">
        <v>1617.21</v>
      </c>
      <c r="D1803" s="79">
        <v>1295.8700000000001</v>
      </c>
      <c r="E1803" s="79">
        <v>0</v>
      </c>
      <c r="F1803" s="79">
        <f>SUM(BASE_DATOS[[#This Row],[Capital($)]:[Interés
Resarcitorio($)]])</f>
        <v>2913.08</v>
      </c>
      <c r="G1803" s="8">
        <v>44789</v>
      </c>
      <c r="H1803" s="80" t="s">
        <v>50</v>
      </c>
      <c r="I1803" s="79" t="s">
        <v>9</v>
      </c>
      <c r="J1803" s="81">
        <v>120</v>
      </c>
      <c r="K1803" t="s">
        <v>47</v>
      </c>
    </row>
    <row r="1804" spans="2:11" x14ac:dyDescent="0.25">
      <c r="B1804" s="2">
        <v>27</v>
      </c>
      <c r="C1804" s="79">
        <v>1617.21</v>
      </c>
      <c r="D1804" s="79">
        <v>1295.8700000000001</v>
      </c>
      <c r="E1804" s="79">
        <v>412.69</v>
      </c>
      <c r="F1804" s="79">
        <f>SUM(BASE_DATOS[[#This Row],[Capital($)]:[Interés
Resarcitorio($)]])</f>
        <v>3325.77</v>
      </c>
      <c r="G1804" s="8">
        <v>44799</v>
      </c>
      <c r="H1804" s="80" t="s">
        <v>50</v>
      </c>
      <c r="I1804" s="79" t="s">
        <v>7</v>
      </c>
      <c r="J1804" s="81">
        <v>120</v>
      </c>
      <c r="K1804" t="s">
        <v>47</v>
      </c>
    </row>
    <row r="1805" spans="2:11" x14ac:dyDescent="0.25">
      <c r="B1805" s="2">
        <v>28</v>
      </c>
      <c r="C1805" s="79">
        <v>1617.21</v>
      </c>
      <c r="D1805" s="79">
        <v>1363.9549999999999</v>
      </c>
      <c r="E1805" s="79">
        <v>0</v>
      </c>
      <c r="F1805" s="79">
        <f>SUM(BASE_DATOS[[#This Row],[Capital($)]:[Interés
Resarcitorio($)]])</f>
        <v>2981.165</v>
      </c>
      <c r="G1805" s="8">
        <v>44820</v>
      </c>
      <c r="H1805" s="80" t="s">
        <v>50</v>
      </c>
      <c r="I1805" s="79" t="s">
        <v>9</v>
      </c>
      <c r="J1805" s="81">
        <v>120</v>
      </c>
      <c r="K1805" t="s">
        <v>47</v>
      </c>
    </row>
    <row r="1806" spans="2:11" x14ac:dyDescent="0.25">
      <c r="B1806" s="2">
        <v>28</v>
      </c>
      <c r="C1806" s="79">
        <v>1617.21</v>
      </c>
      <c r="D1806" s="79">
        <v>1363.9549999999999</v>
      </c>
      <c r="E1806" s="79">
        <v>587.29</v>
      </c>
      <c r="F1806" s="79">
        <f>SUM(BASE_DATOS[[#This Row],[Capital($)]:[Interés
Resarcitorio($)]])</f>
        <v>3568.4549999999999</v>
      </c>
      <c r="G1806" s="8">
        <v>44830</v>
      </c>
      <c r="H1806" s="80" t="s">
        <v>50</v>
      </c>
      <c r="I1806" s="79" t="s">
        <v>7</v>
      </c>
      <c r="J1806" s="81">
        <v>120</v>
      </c>
      <c r="K1806" t="s">
        <v>47</v>
      </c>
    </row>
    <row r="1807" spans="2:11" x14ac:dyDescent="0.25">
      <c r="B1807" s="2">
        <v>29</v>
      </c>
      <c r="C1807" s="79">
        <v>1617.21</v>
      </c>
      <c r="D1807" s="79">
        <v>1432.039</v>
      </c>
      <c r="E1807" s="79">
        <v>0</v>
      </c>
      <c r="F1807" s="79">
        <f>SUM(BASE_DATOS[[#This Row],[Capital($)]:[Interés
Resarcitorio($)]])</f>
        <v>3049.2489999999998</v>
      </c>
      <c r="G1807" s="8">
        <v>44850</v>
      </c>
      <c r="H1807" s="80" t="s">
        <v>50</v>
      </c>
      <c r="I1807" s="79" t="s">
        <v>9</v>
      </c>
      <c r="J1807" s="81">
        <v>120</v>
      </c>
      <c r="K1807" t="s">
        <v>47</v>
      </c>
    </row>
    <row r="1808" spans="2:11" x14ac:dyDescent="0.25">
      <c r="B1808" s="2">
        <v>29</v>
      </c>
      <c r="C1808" s="79">
        <v>1617.21</v>
      </c>
      <c r="D1808" s="79">
        <v>1432.039</v>
      </c>
      <c r="E1808" s="79">
        <v>600.70000000000005</v>
      </c>
      <c r="F1808" s="79">
        <f>SUM(BASE_DATOS[[#This Row],[Capital($)]:[Interés
Resarcitorio($)]])</f>
        <v>3649.9489999999996</v>
      </c>
      <c r="G1808" s="8">
        <v>44860</v>
      </c>
      <c r="H1808" s="80" t="s">
        <v>50</v>
      </c>
      <c r="I1808" s="79" t="s">
        <v>7</v>
      </c>
      <c r="J1808" s="81">
        <v>120</v>
      </c>
      <c r="K1808" t="s">
        <v>47</v>
      </c>
    </row>
    <row r="1809" spans="2:11" x14ac:dyDescent="0.25">
      <c r="B1809" s="2">
        <v>30</v>
      </c>
      <c r="C1809" s="79">
        <v>1617.21</v>
      </c>
      <c r="D1809" s="79">
        <v>1500.124</v>
      </c>
      <c r="E1809" s="79">
        <v>0</v>
      </c>
      <c r="F1809" s="79">
        <f>SUM(BASE_DATOS[[#This Row],[Capital($)]:[Interés
Resarcitorio($)]])</f>
        <v>3117.3339999999998</v>
      </c>
      <c r="G1809" s="8">
        <v>44881</v>
      </c>
      <c r="H1809" s="80" t="s">
        <v>50</v>
      </c>
      <c r="I1809" s="79" t="s">
        <v>9</v>
      </c>
      <c r="J1809" s="81">
        <v>120</v>
      </c>
      <c r="K1809" t="s">
        <v>47</v>
      </c>
    </row>
    <row r="1810" spans="2:11" x14ac:dyDescent="0.25">
      <c r="B1810" s="2">
        <v>30</v>
      </c>
      <c r="C1810" s="79">
        <v>1617.21</v>
      </c>
      <c r="D1810" s="79">
        <v>1500.124</v>
      </c>
      <c r="E1810" s="79">
        <v>614.11</v>
      </c>
      <c r="F1810" s="79">
        <f>SUM(BASE_DATOS[[#This Row],[Capital($)]:[Interés
Resarcitorio($)]])</f>
        <v>3731.444</v>
      </c>
      <c r="G1810" s="8">
        <v>44891</v>
      </c>
      <c r="H1810" s="80" t="s">
        <v>50</v>
      </c>
      <c r="I1810" s="79" t="s">
        <v>7</v>
      </c>
      <c r="J1810" s="81">
        <v>120</v>
      </c>
      <c r="K1810" t="s">
        <v>47</v>
      </c>
    </row>
    <row r="1811" spans="2:11" x14ac:dyDescent="0.25">
      <c r="B1811" s="2">
        <v>31</v>
      </c>
      <c r="C1811" s="79">
        <v>1617.21</v>
      </c>
      <c r="D1811" s="79">
        <v>1568.2090000000001</v>
      </c>
      <c r="E1811" s="79">
        <v>0</v>
      </c>
      <c r="F1811" s="79">
        <f>SUM(BASE_DATOS[[#This Row],[Capital($)]:[Interés
Resarcitorio($)]])</f>
        <v>3185.4189999999999</v>
      </c>
      <c r="G1811" s="8">
        <v>44911</v>
      </c>
      <c r="H1811" s="80" t="s">
        <v>50</v>
      </c>
      <c r="I1811" s="79" t="s">
        <v>9</v>
      </c>
      <c r="J1811" s="81">
        <v>120</v>
      </c>
      <c r="K1811" t="s">
        <v>47</v>
      </c>
    </row>
    <row r="1812" spans="2:11" x14ac:dyDescent="0.25">
      <c r="B1812" s="2">
        <v>31</v>
      </c>
      <c r="C1812" s="79">
        <v>1617.21</v>
      </c>
      <c r="D1812" s="79">
        <v>1568.2090000000001</v>
      </c>
      <c r="E1812" s="79">
        <v>627.53</v>
      </c>
      <c r="F1812" s="79">
        <f>SUM(BASE_DATOS[[#This Row],[Capital($)]:[Interés
Resarcitorio($)]])</f>
        <v>3812.9489999999996</v>
      </c>
      <c r="G1812" s="8">
        <v>44921</v>
      </c>
      <c r="H1812" s="80" t="s">
        <v>50</v>
      </c>
      <c r="I1812" s="79" t="s">
        <v>7</v>
      </c>
      <c r="J1812" s="81">
        <v>120</v>
      </c>
      <c r="K1812" t="s">
        <v>47</v>
      </c>
    </row>
    <row r="1813" spans="2:11" x14ac:dyDescent="0.25">
      <c r="B1813" s="2">
        <v>32</v>
      </c>
      <c r="C1813" s="79">
        <v>1617.21</v>
      </c>
      <c r="D1813" s="79">
        <v>1636.2930000000001</v>
      </c>
      <c r="E1813" s="79">
        <v>0</v>
      </c>
      <c r="F1813" s="79">
        <f>SUM(BASE_DATOS[[#This Row],[Capital($)]:[Interés
Resarcitorio($)]])</f>
        <v>3253.5030000000002</v>
      </c>
      <c r="G1813" s="8">
        <v>44942</v>
      </c>
      <c r="H1813" s="80" t="s">
        <v>50</v>
      </c>
      <c r="I1813" s="79" t="s">
        <v>9</v>
      </c>
      <c r="J1813" s="81">
        <v>120</v>
      </c>
      <c r="K1813" t="s">
        <v>47</v>
      </c>
    </row>
    <row r="1814" spans="2:11" x14ac:dyDescent="0.25">
      <c r="B1814" s="2">
        <v>32</v>
      </c>
      <c r="C1814" s="79">
        <v>1617.21</v>
      </c>
      <c r="D1814" s="79">
        <v>1636.2930000000001</v>
      </c>
      <c r="E1814" s="79">
        <v>640.94000000000005</v>
      </c>
      <c r="F1814" s="79">
        <f>SUM(BASE_DATOS[[#This Row],[Capital($)]:[Interés
Resarcitorio($)]])</f>
        <v>3894.4430000000002</v>
      </c>
      <c r="G1814" s="8">
        <v>44952</v>
      </c>
      <c r="H1814" s="80" t="s">
        <v>50</v>
      </c>
      <c r="I1814" s="79" t="s">
        <v>7</v>
      </c>
      <c r="J1814" s="81">
        <v>120</v>
      </c>
      <c r="K1814" t="s">
        <v>47</v>
      </c>
    </row>
    <row r="1815" spans="2:11" x14ac:dyDescent="0.25">
      <c r="B1815" s="2">
        <v>33</v>
      </c>
      <c r="C1815" s="79">
        <v>1617.21</v>
      </c>
      <c r="D1815" s="79">
        <v>1729.2830000000001</v>
      </c>
      <c r="E1815" s="79">
        <v>0</v>
      </c>
      <c r="F1815" s="79">
        <f>SUM(BASE_DATOS[[#This Row],[Capital($)]:[Interés
Resarcitorio($)]])</f>
        <v>3346.4930000000004</v>
      </c>
      <c r="G1815" s="8">
        <v>44973</v>
      </c>
      <c r="H1815" s="80" t="s">
        <v>50</v>
      </c>
      <c r="I1815" s="79" t="s">
        <v>9</v>
      </c>
      <c r="J1815" s="81">
        <v>120</v>
      </c>
      <c r="K1815" t="s">
        <v>47</v>
      </c>
    </row>
    <row r="1816" spans="2:11" x14ac:dyDescent="0.25">
      <c r="B1816" s="2">
        <v>33</v>
      </c>
      <c r="C1816" s="79">
        <v>1617.21</v>
      </c>
      <c r="D1816" s="79">
        <v>1729.2830000000001</v>
      </c>
      <c r="E1816" s="79">
        <v>659.26</v>
      </c>
      <c r="F1816" s="79">
        <f>SUM(BASE_DATOS[[#This Row],[Capital($)]:[Interés
Resarcitorio($)]])</f>
        <v>4005.7530000000006</v>
      </c>
      <c r="G1816" s="8">
        <v>44983</v>
      </c>
      <c r="H1816" s="80" t="s">
        <v>50</v>
      </c>
      <c r="I1816" s="79" t="s">
        <v>7</v>
      </c>
      <c r="J1816" s="81">
        <v>120</v>
      </c>
      <c r="K1816" t="s">
        <v>47</v>
      </c>
    </row>
    <row r="1817" spans="2:11" x14ac:dyDescent="0.25">
      <c r="B1817" s="2">
        <v>34</v>
      </c>
      <c r="C1817" s="79">
        <v>1617.21</v>
      </c>
      <c r="D1817" s="79">
        <v>1822.2720000000002</v>
      </c>
      <c r="E1817" s="79">
        <v>0</v>
      </c>
      <c r="F1817" s="79">
        <f>SUM(BASE_DATOS[[#This Row],[Capital($)]:[Interés
Resarcitorio($)]])</f>
        <v>3439.482</v>
      </c>
      <c r="G1817" s="8">
        <v>45001</v>
      </c>
      <c r="H1817" s="80" t="s">
        <v>50</v>
      </c>
      <c r="I1817" s="79" t="s">
        <v>9</v>
      </c>
      <c r="J1817" s="81">
        <v>120</v>
      </c>
      <c r="K1817" t="s">
        <v>47</v>
      </c>
    </row>
    <row r="1818" spans="2:11" x14ac:dyDescent="0.25">
      <c r="B1818" s="2">
        <v>34</v>
      </c>
      <c r="C1818" s="79">
        <v>1617.21</v>
      </c>
      <c r="D1818" s="79">
        <v>1822.2720000000002</v>
      </c>
      <c r="E1818" s="79">
        <v>677.58</v>
      </c>
      <c r="F1818" s="79">
        <f>SUM(BASE_DATOS[[#This Row],[Capital($)]:[Interés
Resarcitorio($)]])</f>
        <v>4117.0619999999999</v>
      </c>
      <c r="G1818" s="8">
        <v>45011</v>
      </c>
      <c r="H1818" s="80" t="s">
        <v>50</v>
      </c>
      <c r="I1818" s="79" t="s">
        <v>7</v>
      </c>
      <c r="J1818" s="81">
        <v>120</v>
      </c>
      <c r="K1818" t="s">
        <v>47</v>
      </c>
    </row>
    <row r="1819" spans="2:11" x14ac:dyDescent="0.25">
      <c r="B1819" s="2">
        <v>35</v>
      </c>
      <c r="C1819" s="79">
        <v>1617.21</v>
      </c>
      <c r="D1819" s="79">
        <v>1915.2619999999999</v>
      </c>
      <c r="E1819" s="79">
        <v>0</v>
      </c>
      <c r="F1819" s="79">
        <f>SUM(BASE_DATOS[[#This Row],[Capital($)]:[Interés
Resarcitorio($)]])</f>
        <v>3532.4719999999998</v>
      </c>
      <c r="G1819" s="8">
        <v>45032</v>
      </c>
      <c r="H1819" s="80" t="s">
        <v>50</v>
      </c>
      <c r="I1819" s="79" t="s">
        <v>9</v>
      </c>
      <c r="J1819" s="81">
        <v>120</v>
      </c>
      <c r="K1819" t="s">
        <v>47</v>
      </c>
    </row>
    <row r="1820" spans="2:11" x14ac:dyDescent="0.25">
      <c r="B1820" s="2">
        <v>35</v>
      </c>
      <c r="C1820" s="79">
        <v>1617.21</v>
      </c>
      <c r="D1820" s="79">
        <v>1915.2619999999999</v>
      </c>
      <c r="E1820" s="79">
        <v>695.9</v>
      </c>
      <c r="F1820" s="79">
        <f>SUM(BASE_DATOS[[#This Row],[Capital($)]:[Interés
Resarcitorio($)]])</f>
        <v>4228.3719999999994</v>
      </c>
      <c r="G1820" s="8">
        <v>45042</v>
      </c>
      <c r="H1820" s="80" t="s">
        <v>50</v>
      </c>
      <c r="I1820" s="79" t="s">
        <v>7</v>
      </c>
      <c r="J1820" s="81">
        <v>120</v>
      </c>
      <c r="K1820" t="s">
        <v>47</v>
      </c>
    </row>
    <row r="1821" spans="2:11" x14ac:dyDescent="0.25">
      <c r="B1821" s="2">
        <v>36</v>
      </c>
      <c r="C1821" s="79">
        <v>1617.21</v>
      </c>
      <c r="D1821" s="79">
        <v>2008.2509999999997</v>
      </c>
      <c r="E1821" s="79">
        <v>0</v>
      </c>
      <c r="F1821" s="79">
        <f>SUM(BASE_DATOS[[#This Row],[Capital($)]:[Interés
Resarcitorio($)]])</f>
        <v>3625.4609999999998</v>
      </c>
      <c r="G1821" s="8">
        <v>45062</v>
      </c>
      <c r="H1821" s="80" t="s">
        <v>50</v>
      </c>
      <c r="I1821" s="79" t="s">
        <v>9</v>
      </c>
      <c r="J1821" s="81">
        <v>120</v>
      </c>
      <c r="K1821" t="s">
        <v>47</v>
      </c>
    </row>
    <row r="1822" spans="2:11" x14ac:dyDescent="0.25">
      <c r="B1822" s="2">
        <v>36</v>
      </c>
      <c r="C1822" s="79">
        <v>1617.21</v>
      </c>
      <c r="D1822" s="79">
        <v>2008.2509999999997</v>
      </c>
      <c r="E1822" s="79">
        <v>714.22</v>
      </c>
      <c r="F1822" s="79">
        <f>SUM(BASE_DATOS[[#This Row],[Capital($)]:[Interés
Resarcitorio($)]])</f>
        <v>4339.6809999999996</v>
      </c>
      <c r="G1822" s="8">
        <v>45072</v>
      </c>
      <c r="H1822" s="80" t="s">
        <v>50</v>
      </c>
      <c r="I1822" s="79" t="s">
        <v>7</v>
      </c>
      <c r="J1822" s="81">
        <v>120</v>
      </c>
      <c r="K1822" t="s">
        <v>47</v>
      </c>
    </row>
    <row r="1823" spans="2:11" x14ac:dyDescent="0.25">
      <c r="B1823" s="2">
        <v>37</v>
      </c>
      <c r="C1823" s="79">
        <v>1617.21</v>
      </c>
      <c r="D1823" s="79">
        <v>2101.241</v>
      </c>
      <c r="E1823" s="79">
        <v>0</v>
      </c>
      <c r="F1823" s="79">
        <f>SUM(BASE_DATOS[[#This Row],[Capital($)]:[Interés
Resarcitorio($)]])</f>
        <v>3718.451</v>
      </c>
      <c r="G1823" s="8">
        <v>45093</v>
      </c>
      <c r="H1823" s="80" t="s">
        <v>50</v>
      </c>
      <c r="I1823" s="79" t="s">
        <v>9</v>
      </c>
      <c r="J1823" s="81">
        <v>120</v>
      </c>
      <c r="K1823" t="s">
        <v>47</v>
      </c>
    </row>
    <row r="1824" spans="2:11" x14ac:dyDescent="0.25">
      <c r="B1824" s="2">
        <v>37</v>
      </c>
      <c r="C1824" s="79">
        <v>1617.21</v>
      </c>
      <c r="D1824" s="79">
        <v>2101.241</v>
      </c>
      <c r="E1824" s="79">
        <v>732.53</v>
      </c>
      <c r="F1824" s="79">
        <f>SUM(BASE_DATOS[[#This Row],[Capital($)]:[Interés
Resarcitorio($)]])</f>
        <v>4450.9809999999998</v>
      </c>
      <c r="G1824" s="8">
        <v>45103</v>
      </c>
      <c r="H1824" s="80" t="s">
        <v>50</v>
      </c>
      <c r="I1824" s="79" t="s">
        <v>7</v>
      </c>
      <c r="J1824" s="81">
        <v>120</v>
      </c>
      <c r="K1824" t="s">
        <v>47</v>
      </c>
    </row>
    <row r="1825" spans="2:11" x14ac:dyDescent="0.25">
      <c r="B1825" s="2">
        <v>38</v>
      </c>
      <c r="C1825" s="79">
        <v>1617.21</v>
      </c>
      <c r="D1825" s="79">
        <v>2194.2310000000002</v>
      </c>
      <c r="E1825" s="79">
        <v>0</v>
      </c>
      <c r="F1825" s="79">
        <f>SUM(BASE_DATOS[[#This Row],[Capital($)]:[Interés
Resarcitorio($)]])</f>
        <v>3811.4410000000003</v>
      </c>
      <c r="G1825" s="8">
        <v>45123</v>
      </c>
      <c r="H1825" s="80" t="s">
        <v>50</v>
      </c>
      <c r="I1825" s="79" t="s">
        <v>9</v>
      </c>
      <c r="J1825" s="81">
        <v>120</v>
      </c>
      <c r="K1825" t="s">
        <v>47</v>
      </c>
    </row>
    <row r="1826" spans="2:11" x14ac:dyDescent="0.25">
      <c r="B1826" s="2">
        <v>38</v>
      </c>
      <c r="C1826" s="79">
        <v>1617.21</v>
      </c>
      <c r="D1826" s="79">
        <v>2194.2310000000002</v>
      </c>
      <c r="E1826" s="79">
        <v>750.85</v>
      </c>
      <c r="F1826" s="79">
        <f>SUM(BASE_DATOS[[#This Row],[Capital($)]:[Interés
Resarcitorio($)]])</f>
        <v>4562.2910000000002</v>
      </c>
      <c r="G1826" s="8">
        <v>45133</v>
      </c>
      <c r="H1826" s="80" t="s">
        <v>50</v>
      </c>
      <c r="I1826" s="79" t="s">
        <v>7</v>
      </c>
      <c r="J1826" s="81">
        <v>120</v>
      </c>
      <c r="K1826" t="s">
        <v>47</v>
      </c>
    </row>
    <row r="1827" spans="2:11" x14ac:dyDescent="0.25">
      <c r="B1827" s="2">
        <v>39</v>
      </c>
      <c r="C1827" s="79">
        <v>1617.21</v>
      </c>
      <c r="D1827" s="79">
        <v>2317.1379999999999</v>
      </c>
      <c r="E1827" s="79">
        <v>0</v>
      </c>
      <c r="F1827" s="79">
        <f>SUM(BASE_DATOS[[#This Row],[Capital($)]:[Interés
Resarcitorio($)]])</f>
        <v>3934.348</v>
      </c>
      <c r="G1827" s="8">
        <v>45154</v>
      </c>
      <c r="H1827" s="80" t="s">
        <v>50</v>
      </c>
      <c r="I1827" s="79" t="s">
        <v>9</v>
      </c>
      <c r="J1827" s="81">
        <v>120</v>
      </c>
      <c r="K1827" t="s">
        <v>47</v>
      </c>
    </row>
    <row r="1828" spans="2:11" x14ac:dyDescent="0.25">
      <c r="B1828" s="2">
        <v>39</v>
      </c>
      <c r="C1828" s="79">
        <v>1617.21</v>
      </c>
      <c r="D1828" s="79">
        <v>2317.1379999999999</v>
      </c>
      <c r="E1828" s="79">
        <v>775.07</v>
      </c>
      <c r="F1828" s="79">
        <f>SUM(BASE_DATOS[[#This Row],[Capital($)]:[Interés
Resarcitorio($)]])</f>
        <v>4709.4179999999997</v>
      </c>
      <c r="G1828" s="8">
        <v>45164</v>
      </c>
      <c r="H1828" s="80" t="s">
        <v>50</v>
      </c>
      <c r="I1828" s="79" t="s">
        <v>7</v>
      </c>
      <c r="J1828" s="81">
        <v>120</v>
      </c>
      <c r="K1828" t="s">
        <v>47</v>
      </c>
    </row>
    <row r="1829" spans="2:11" x14ac:dyDescent="0.25">
      <c r="B1829" s="2">
        <v>40</v>
      </c>
      <c r="C1829" s="79">
        <v>1617.21</v>
      </c>
      <c r="D1829" s="79">
        <v>2440.0459999999998</v>
      </c>
      <c r="E1829" s="79">
        <v>0</v>
      </c>
      <c r="F1829" s="79">
        <f>SUM(BASE_DATOS[[#This Row],[Capital($)]:[Interés
Resarcitorio($)]])</f>
        <v>4057.2559999999999</v>
      </c>
      <c r="G1829" s="8">
        <v>45185</v>
      </c>
      <c r="H1829" s="80" t="s">
        <v>50</v>
      </c>
      <c r="I1829" s="79" t="s">
        <v>9</v>
      </c>
      <c r="J1829" s="81">
        <v>120</v>
      </c>
      <c r="K1829" t="s">
        <v>47</v>
      </c>
    </row>
    <row r="1830" spans="2:11" x14ac:dyDescent="0.25">
      <c r="B1830" s="2">
        <v>40</v>
      </c>
      <c r="C1830" s="79">
        <v>1617.21</v>
      </c>
      <c r="D1830" s="79">
        <v>2440.0459999999998</v>
      </c>
      <c r="E1830" s="79">
        <v>799.28</v>
      </c>
      <c r="F1830" s="79">
        <f>SUM(BASE_DATOS[[#This Row],[Capital($)]:[Interés
Resarcitorio($)]])</f>
        <v>4856.5360000000001</v>
      </c>
      <c r="G1830" s="8">
        <v>45195</v>
      </c>
      <c r="H1830" s="80" t="s">
        <v>50</v>
      </c>
      <c r="I1830" s="79" t="s">
        <v>7</v>
      </c>
      <c r="J1830" s="81">
        <v>120</v>
      </c>
      <c r="K1830" t="s">
        <v>47</v>
      </c>
    </row>
    <row r="1831" spans="2:11" x14ac:dyDescent="0.25">
      <c r="B1831" s="2">
        <v>41</v>
      </c>
      <c r="C1831" s="79">
        <v>1617.21</v>
      </c>
      <c r="D1831" s="79">
        <v>2562.9540000000002</v>
      </c>
      <c r="E1831" s="79">
        <v>0</v>
      </c>
      <c r="F1831" s="79">
        <f>SUM(BASE_DATOS[[#This Row],[Capital($)]:[Interés
Resarcitorio($)]])</f>
        <v>4180.1640000000007</v>
      </c>
      <c r="G1831" s="8">
        <v>45215</v>
      </c>
      <c r="H1831" s="80" t="s">
        <v>50</v>
      </c>
      <c r="I1831" s="79" t="s">
        <v>9</v>
      </c>
      <c r="J1831" s="81">
        <v>120</v>
      </c>
      <c r="K1831" t="s">
        <v>47</v>
      </c>
    </row>
    <row r="1832" spans="2:11" x14ac:dyDescent="0.25">
      <c r="B1832" s="2">
        <v>41</v>
      </c>
      <c r="C1832" s="79">
        <v>1617.21</v>
      </c>
      <c r="D1832" s="79">
        <v>2562.9540000000002</v>
      </c>
      <c r="E1832" s="79">
        <v>823.49</v>
      </c>
      <c r="F1832" s="79">
        <f>SUM(BASE_DATOS[[#This Row],[Capital($)]:[Interés
Resarcitorio($)]])</f>
        <v>5003.6540000000005</v>
      </c>
      <c r="G1832" s="8">
        <v>45225</v>
      </c>
      <c r="H1832" s="80" t="s">
        <v>50</v>
      </c>
      <c r="I1832" s="79" t="s">
        <v>7</v>
      </c>
      <c r="J1832" s="81">
        <v>120</v>
      </c>
      <c r="K1832" t="s">
        <v>47</v>
      </c>
    </row>
    <row r="1833" spans="2:11" x14ac:dyDescent="0.25">
      <c r="B1833" s="2">
        <v>42</v>
      </c>
      <c r="C1833" s="79">
        <v>1617.21</v>
      </c>
      <c r="D1833" s="79">
        <v>2685.8620000000001</v>
      </c>
      <c r="E1833" s="79">
        <v>0</v>
      </c>
      <c r="F1833" s="79">
        <f>SUM(BASE_DATOS[[#This Row],[Capital($)]:[Interés
Resarcitorio($)]])</f>
        <v>4303.0720000000001</v>
      </c>
      <c r="G1833" s="8">
        <v>45246</v>
      </c>
      <c r="H1833" s="80" t="s">
        <v>50</v>
      </c>
      <c r="I1833" s="79" t="s">
        <v>9</v>
      </c>
      <c r="J1833" s="81">
        <v>120</v>
      </c>
      <c r="K1833" t="s">
        <v>47</v>
      </c>
    </row>
    <row r="1834" spans="2:11" x14ac:dyDescent="0.25">
      <c r="B1834" s="2">
        <v>42</v>
      </c>
      <c r="C1834" s="79">
        <v>1617.21</v>
      </c>
      <c r="D1834" s="79">
        <v>2685.8620000000001</v>
      </c>
      <c r="E1834" s="79">
        <v>847.71</v>
      </c>
      <c r="F1834" s="79">
        <f>SUM(BASE_DATOS[[#This Row],[Capital($)]:[Interés
Resarcitorio($)]])</f>
        <v>5150.7820000000002</v>
      </c>
      <c r="G1834" s="8">
        <v>45256</v>
      </c>
      <c r="H1834" s="80" t="s">
        <v>50</v>
      </c>
      <c r="I1834" s="79" t="s">
        <v>7</v>
      </c>
      <c r="J1834" s="81">
        <v>120</v>
      </c>
      <c r="K1834" t="s">
        <v>47</v>
      </c>
    </row>
    <row r="1835" spans="2:11" x14ac:dyDescent="0.25">
      <c r="B1835" s="2">
        <v>43</v>
      </c>
      <c r="C1835" s="79">
        <v>1617.21</v>
      </c>
      <c r="D1835" s="79">
        <v>2808.77</v>
      </c>
      <c r="E1835" s="79">
        <v>0</v>
      </c>
      <c r="F1835" s="79">
        <f>SUM(BASE_DATOS[[#This Row],[Capital($)]:[Interés
Resarcitorio($)]])</f>
        <v>4425.9799999999996</v>
      </c>
      <c r="G1835" s="8">
        <v>45276</v>
      </c>
      <c r="H1835" s="80" t="s">
        <v>50</v>
      </c>
      <c r="I1835" s="79" t="s">
        <v>9</v>
      </c>
      <c r="J1835" s="81">
        <v>120</v>
      </c>
      <c r="K1835" t="s">
        <v>47</v>
      </c>
    </row>
    <row r="1836" spans="2:11" x14ac:dyDescent="0.25">
      <c r="B1836" s="2">
        <v>43</v>
      </c>
      <c r="C1836" s="79">
        <v>1617.21</v>
      </c>
      <c r="D1836" s="79">
        <v>2808.77</v>
      </c>
      <c r="E1836" s="79">
        <v>871.92</v>
      </c>
      <c r="F1836" s="79">
        <f>SUM(BASE_DATOS[[#This Row],[Capital($)]:[Interés
Resarcitorio($)]])</f>
        <v>5297.9</v>
      </c>
      <c r="G1836" s="8">
        <v>45286</v>
      </c>
      <c r="H1836" s="80" t="s">
        <v>50</v>
      </c>
      <c r="I1836" s="79" t="s">
        <v>7</v>
      </c>
      <c r="J1836" s="81">
        <v>120</v>
      </c>
      <c r="K1836" t="s">
        <v>47</v>
      </c>
    </row>
    <row r="1837" spans="2:11" x14ac:dyDescent="0.25">
      <c r="B1837" s="2">
        <v>44</v>
      </c>
      <c r="C1837" s="79">
        <v>1617.21</v>
      </c>
      <c r="D1837" s="79">
        <v>2931.6779999999999</v>
      </c>
      <c r="E1837" s="79">
        <v>0</v>
      </c>
      <c r="F1837" s="79">
        <f>SUM(BASE_DATOS[[#This Row],[Capital($)]:[Interés
Resarcitorio($)]])</f>
        <v>4548.8879999999999</v>
      </c>
      <c r="G1837" s="8">
        <v>45307</v>
      </c>
      <c r="H1837" s="80" t="s">
        <v>50</v>
      </c>
      <c r="I1837" s="79" t="s">
        <v>9</v>
      </c>
      <c r="J1837" s="81">
        <v>120</v>
      </c>
      <c r="K1837" t="s">
        <v>47</v>
      </c>
    </row>
    <row r="1838" spans="2:11" x14ac:dyDescent="0.25">
      <c r="B1838" s="2">
        <v>44</v>
      </c>
      <c r="C1838" s="79">
        <v>1617.21</v>
      </c>
      <c r="D1838" s="79">
        <v>2931.6779999999999</v>
      </c>
      <c r="E1838" s="79">
        <v>896.13</v>
      </c>
      <c r="F1838" s="79">
        <f>SUM(BASE_DATOS[[#This Row],[Capital($)]:[Interés
Resarcitorio($)]])</f>
        <v>5445.018</v>
      </c>
      <c r="G1838" s="8">
        <v>45317</v>
      </c>
      <c r="H1838" s="80" t="s">
        <v>50</v>
      </c>
      <c r="I1838" s="79" t="s">
        <v>7</v>
      </c>
      <c r="J1838" s="81">
        <v>120</v>
      </c>
      <c r="K1838" t="s">
        <v>47</v>
      </c>
    </row>
    <row r="1839" spans="2:11" x14ac:dyDescent="0.25">
      <c r="B1839" s="2">
        <v>45</v>
      </c>
      <c r="C1839" s="79">
        <v>1617.21</v>
      </c>
      <c r="D1839" s="79">
        <v>3079.491</v>
      </c>
      <c r="E1839" s="79">
        <v>0</v>
      </c>
      <c r="F1839" s="79">
        <f>SUM(BASE_DATOS[[#This Row],[Capital($)]:[Interés
Resarcitorio($)]])</f>
        <v>4696.701</v>
      </c>
      <c r="G1839" s="8">
        <v>45338</v>
      </c>
      <c r="H1839" s="80" t="s">
        <v>50</v>
      </c>
      <c r="I1839" s="79" t="s">
        <v>9</v>
      </c>
      <c r="J1839" s="81">
        <v>120</v>
      </c>
      <c r="K1839" t="s">
        <v>47</v>
      </c>
    </row>
    <row r="1840" spans="2:11" x14ac:dyDescent="0.25">
      <c r="B1840" s="2">
        <v>45</v>
      </c>
      <c r="C1840" s="79">
        <v>1617.21</v>
      </c>
      <c r="D1840" s="79">
        <v>3079.491</v>
      </c>
      <c r="E1840" s="79">
        <v>2390.62</v>
      </c>
      <c r="F1840" s="79">
        <f>SUM(BASE_DATOS[[#This Row],[Capital($)]:[Interés
Resarcitorio($)]])</f>
        <v>7087.3209999999999</v>
      </c>
      <c r="G1840" s="8">
        <v>45348</v>
      </c>
      <c r="H1840" s="80" t="s">
        <v>50</v>
      </c>
      <c r="I1840" s="79" t="s">
        <v>7</v>
      </c>
      <c r="J1840" s="81">
        <v>120</v>
      </c>
      <c r="K1840" t="s">
        <v>47</v>
      </c>
    </row>
    <row r="1841" spans="2:11" x14ac:dyDescent="0.25">
      <c r="B1841" s="2">
        <v>46</v>
      </c>
      <c r="C1841" s="79">
        <v>1617.21</v>
      </c>
      <c r="D1841" s="79">
        <v>3227.3040000000001</v>
      </c>
      <c r="E1841" s="79">
        <v>0</v>
      </c>
      <c r="F1841" s="79">
        <f>SUM(BASE_DATOS[[#This Row],[Capital($)]:[Interés
Resarcitorio($)]])</f>
        <v>4844.5140000000001</v>
      </c>
      <c r="G1841" s="8">
        <v>45367</v>
      </c>
      <c r="H1841" s="80" t="s">
        <v>50</v>
      </c>
      <c r="I1841" s="79" t="s">
        <v>9</v>
      </c>
      <c r="J1841" s="81">
        <v>120</v>
      </c>
      <c r="K1841" t="s">
        <v>47</v>
      </c>
    </row>
    <row r="1842" spans="2:11" x14ac:dyDescent="0.25">
      <c r="B1842" s="2">
        <v>46</v>
      </c>
      <c r="C1842" s="79">
        <v>1617.21</v>
      </c>
      <c r="D1842" s="79">
        <v>3227.3040000000001</v>
      </c>
      <c r="E1842" s="79">
        <v>2465.86</v>
      </c>
      <c r="F1842" s="79">
        <f>SUM(BASE_DATOS[[#This Row],[Capital($)]:[Interés
Resarcitorio($)]])</f>
        <v>7310.3739999999998</v>
      </c>
      <c r="G1842" s="8">
        <v>45377</v>
      </c>
      <c r="H1842" s="80" t="s">
        <v>50</v>
      </c>
      <c r="I1842" s="79" t="s">
        <v>7</v>
      </c>
      <c r="J1842" s="81">
        <v>120</v>
      </c>
      <c r="K1842" t="s">
        <v>47</v>
      </c>
    </row>
    <row r="1843" spans="2:11" x14ac:dyDescent="0.25">
      <c r="B1843" s="2">
        <v>47</v>
      </c>
      <c r="C1843" s="79">
        <v>1617.21</v>
      </c>
      <c r="D1843" s="79">
        <v>3375.1169999999997</v>
      </c>
      <c r="E1843" s="79">
        <v>0</v>
      </c>
      <c r="F1843" s="79">
        <f>SUM(BASE_DATOS[[#This Row],[Capital($)]:[Interés
Resarcitorio($)]])</f>
        <v>4992.3269999999993</v>
      </c>
      <c r="G1843" s="8">
        <v>45398</v>
      </c>
      <c r="H1843" s="80" t="s">
        <v>50</v>
      </c>
      <c r="I1843" s="79" t="s">
        <v>9</v>
      </c>
      <c r="J1843" s="81">
        <v>120</v>
      </c>
      <c r="K1843" t="s">
        <v>47</v>
      </c>
    </row>
    <row r="1844" spans="2:11" x14ac:dyDescent="0.25">
      <c r="B1844" s="2">
        <v>47</v>
      </c>
      <c r="C1844" s="79">
        <v>1617.21</v>
      </c>
      <c r="D1844" s="79">
        <v>3375.1169999999997</v>
      </c>
      <c r="E1844" s="79">
        <v>2008.58</v>
      </c>
      <c r="F1844" s="79">
        <f>SUM(BASE_DATOS[[#This Row],[Capital($)]:[Interés
Resarcitorio($)]])</f>
        <v>7000.9069999999992</v>
      </c>
      <c r="G1844" s="8">
        <v>45408</v>
      </c>
      <c r="H1844" s="80" t="s">
        <v>50</v>
      </c>
      <c r="I1844" s="79" t="s">
        <v>7</v>
      </c>
      <c r="J1844" s="81">
        <v>120</v>
      </c>
      <c r="K1844" t="s">
        <v>47</v>
      </c>
    </row>
    <row r="1845" spans="2:11" x14ac:dyDescent="0.25">
      <c r="B1845" s="2">
        <v>48</v>
      </c>
      <c r="C1845" s="79">
        <v>1617.21</v>
      </c>
      <c r="D1845" s="79">
        <v>3522.9300000000003</v>
      </c>
      <c r="E1845" s="79">
        <v>0</v>
      </c>
      <c r="F1845" s="79">
        <f>SUM(BASE_DATOS[[#This Row],[Capital($)]:[Interés
Resarcitorio($)]])</f>
        <v>5140.1400000000003</v>
      </c>
      <c r="G1845" s="8">
        <v>45428</v>
      </c>
      <c r="H1845" s="80" t="s">
        <v>50</v>
      </c>
      <c r="I1845" s="79" t="s">
        <v>9</v>
      </c>
      <c r="J1845" s="81">
        <v>120</v>
      </c>
      <c r="K1845" t="s">
        <v>47</v>
      </c>
    </row>
    <row r="1846" spans="2:11" x14ac:dyDescent="0.25">
      <c r="B1846" s="2">
        <v>48</v>
      </c>
      <c r="C1846" s="79">
        <v>1617.21</v>
      </c>
      <c r="D1846" s="79">
        <v>3522.9300000000003</v>
      </c>
      <c r="E1846" s="79">
        <v>2068.0500000000002</v>
      </c>
      <c r="F1846" s="79">
        <f>SUM(BASE_DATOS[[#This Row],[Capital($)]:[Interés
Resarcitorio($)]])</f>
        <v>7208.1900000000005</v>
      </c>
      <c r="G1846" s="8">
        <v>45438</v>
      </c>
      <c r="H1846" s="80" t="s">
        <v>50</v>
      </c>
      <c r="I1846" s="79" t="s">
        <v>7</v>
      </c>
      <c r="J1846" s="81">
        <v>120</v>
      </c>
      <c r="K1846" t="s">
        <v>47</v>
      </c>
    </row>
    <row r="1847" spans="2:11" x14ac:dyDescent="0.25">
      <c r="B1847" s="2">
        <v>49</v>
      </c>
      <c r="C1847" s="79">
        <v>1617.21</v>
      </c>
      <c r="D1847" s="79">
        <v>3670.7429999999999</v>
      </c>
      <c r="E1847" s="79">
        <v>0</v>
      </c>
      <c r="F1847" s="79">
        <f>SUM(BASE_DATOS[[#This Row],[Capital($)]:[Interés
Resarcitorio($)]])</f>
        <v>5287.9529999999995</v>
      </c>
      <c r="G1847" s="8">
        <v>45459</v>
      </c>
      <c r="H1847" s="80" t="s">
        <v>50</v>
      </c>
      <c r="I1847" s="79" t="s">
        <v>9</v>
      </c>
      <c r="J1847" s="81">
        <v>120</v>
      </c>
      <c r="K1847" t="s">
        <v>47</v>
      </c>
    </row>
    <row r="1848" spans="2:11" x14ac:dyDescent="0.25">
      <c r="B1848" s="2">
        <v>49</v>
      </c>
      <c r="C1848" s="79">
        <v>1617.21</v>
      </c>
      <c r="D1848" s="79">
        <v>3670.7429999999999</v>
      </c>
      <c r="E1848" s="79">
        <v>1129.8599999999999</v>
      </c>
      <c r="F1848" s="79">
        <f>SUM(BASE_DATOS[[#This Row],[Capital($)]:[Interés
Resarcitorio($)]])</f>
        <v>6417.8129999999992</v>
      </c>
      <c r="G1848" s="8">
        <v>45469</v>
      </c>
      <c r="H1848" s="80" t="s">
        <v>50</v>
      </c>
      <c r="I1848" s="79" t="s">
        <v>7</v>
      </c>
      <c r="J1848" s="81">
        <v>120</v>
      </c>
      <c r="K1848" t="s">
        <v>47</v>
      </c>
    </row>
    <row r="1849" spans="2:11" x14ac:dyDescent="0.25">
      <c r="B1849" s="2">
        <v>50</v>
      </c>
      <c r="C1849" s="79">
        <v>1617.21</v>
      </c>
      <c r="D1849" s="79">
        <v>3818.5559999999996</v>
      </c>
      <c r="E1849" s="79">
        <v>0</v>
      </c>
      <c r="F1849" s="79">
        <f>SUM(BASE_DATOS[[#This Row],[Capital($)]:[Interés
Resarcitorio($)]])</f>
        <v>5435.7659999999996</v>
      </c>
      <c r="G1849" s="8">
        <v>45489</v>
      </c>
      <c r="H1849" s="80" t="s">
        <v>50</v>
      </c>
      <c r="I1849" s="79" t="s">
        <v>9</v>
      </c>
      <c r="J1849" s="81">
        <v>120</v>
      </c>
      <c r="K1849" t="s">
        <v>47</v>
      </c>
    </row>
    <row r="1850" spans="2:11" x14ac:dyDescent="0.25">
      <c r="B1850" s="2">
        <v>50</v>
      </c>
      <c r="C1850" s="79">
        <v>1617.21</v>
      </c>
      <c r="D1850" s="79">
        <v>3818.5559999999996</v>
      </c>
      <c r="E1850" s="79">
        <v>1161.44</v>
      </c>
      <c r="F1850" s="79">
        <f>SUM(BASE_DATOS[[#This Row],[Capital($)]:[Interés
Resarcitorio($)]])</f>
        <v>6597.2060000000001</v>
      </c>
      <c r="G1850" s="8">
        <v>45499</v>
      </c>
      <c r="H1850" s="80" t="s">
        <v>50</v>
      </c>
      <c r="I1850" s="79" t="s">
        <v>7</v>
      </c>
      <c r="J1850" s="81">
        <v>120</v>
      </c>
      <c r="K1850" t="s">
        <v>47</v>
      </c>
    </row>
    <row r="1851" spans="2:11" x14ac:dyDescent="0.25">
      <c r="B1851" s="2">
        <v>51</v>
      </c>
      <c r="C1851" s="79">
        <v>1617.21</v>
      </c>
      <c r="D1851" s="79">
        <v>2707.0479999999998</v>
      </c>
      <c r="E1851" s="79">
        <v>0</v>
      </c>
      <c r="F1851" s="79">
        <f>SUM(BASE_DATOS[[#This Row],[Capital($)]:[Interés
Resarcitorio($)]])</f>
        <v>4324.2579999999998</v>
      </c>
      <c r="G1851" s="8">
        <v>45520</v>
      </c>
      <c r="H1851" s="80" t="s">
        <v>50</v>
      </c>
      <c r="I1851" s="79" t="s">
        <v>9</v>
      </c>
      <c r="J1851" s="81">
        <v>120</v>
      </c>
      <c r="K1851" t="s">
        <v>47</v>
      </c>
    </row>
    <row r="1852" spans="2:11" x14ac:dyDescent="0.25">
      <c r="B1852" s="2">
        <v>51</v>
      </c>
      <c r="C1852" s="79">
        <v>1617.21</v>
      </c>
      <c r="D1852" s="79">
        <v>2707.0479999999998</v>
      </c>
      <c r="E1852" s="79">
        <v>923.95</v>
      </c>
      <c r="F1852" s="79">
        <f>SUM(BASE_DATOS[[#This Row],[Capital($)]:[Interés
Resarcitorio($)]])</f>
        <v>5248.2079999999996</v>
      </c>
      <c r="G1852" s="8">
        <v>45530</v>
      </c>
      <c r="H1852" s="80" t="s">
        <v>50</v>
      </c>
      <c r="I1852" s="79" t="s">
        <v>7</v>
      </c>
      <c r="J1852" s="81">
        <v>120</v>
      </c>
      <c r="K1852" t="s">
        <v>47</v>
      </c>
    </row>
    <row r="1853" spans="2:11" x14ac:dyDescent="0.25">
      <c r="B1853" s="2">
        <v>52</v>
      </c>
      <c r="C1853" s="79">
        <v>1617.21</v>
      </c>
      <c r="D1853" s="79">
        <v>2757.9900000000002</v>
      </c>
      <c r="E1853" s="79">
        <v>0</v>
      </c>
      <c r="F1853" s="79">
        <f>SUM(BASE_DATOS[[#This Row],[Capital($)]:[Interés
Resarcitorio($)]])</f>
        <v>4375.2000000000007</v>
      </c>
      <c r="G1853" s="8">
        <v>45551</v>
      </c>
      <c r="H1853" s="80" t="s">
        <v>50</v>
      </c>
      <c r="I1853" s="79" t="s">
        <v>9</v>
      </c>
      <c r="J1853" s="81">
        <v>120</v>
      </c>
      <c r="K1853" t="s">
        <v>47</v>
      </c>
    </row>
    <row r="1854" spans="2:11" x14ac:dyDescent="0.25">
      <c r="B1854" s="2">
        <v>52</v>
      </c>
      <c r="C1854" s="79">
        <v>1617.21</v>
      </c>
      <c r="D1854" s="79">
        <v>2757.9900000000002</v>
      </c>
      <c r="E1854" s="79">
        <v>934.83</v>
      </c>
      <c r="F1854" s="79">
        <f>SUM(BASE_DATOS[[#This Row],[Capital($)]:[Interés
Resarcitorio($)]])</f>
        <v>5310.0300000000007</v>
      </c>
      <c r="G1854" s="8">
        <v>45561</v>
      </c>
      <c r="H1854" s="80" t="s">
        <v>50</v>
      </c>
      <c r="I1854" s="79" t="s">
        <v>7</v>
      </c>
      <c r="J1854" s="81">
        <v>120</v>
      </c>
      <c r="K1854" t="s">
        <v>47</v>
      </c>
    </row>
    <row r="1855" spans="2:11" x14ac:dyDescent="0.25">
      <c r="B1855" s="2">
        <v>53</v>
      </c>
      <c r="C1855" s="79">
        <v>1617.21</v>
      </c>
      <c r="D1855" s="79">
        <v>2808.9319999999998</v>
      </c>
      <c r="E1855" s="79">
        <v>0</v>
      </c>
      <c r="F1855" s="79">
        <f>SUM(BASE_DATOS[[#This Row],[Capital($)]:[Interés
Resarcitorio($)]])</f>
        <v>4426.1419999999998</v>
      </c>
      <c r="G1855" s="8">
        <v>45581</v>
      </c>
      <c r="H1855" s="80" t="s">
        <v>50</v>
      </c>
      <c r="I1855" s="79" t="s">
        <v>9</v>
      </c>
      <c r="J1855" s="81">
        <v>120</v>
      </c>
      <c r="K1855" t="s">
        <v>47</v>
      </c>
    </row>
    <row r="1856" spans="2:11" x14ac:dyDescent="0.25">
      <c r="B1856" s="2">
        <v>53</v>
      </c>
      <c r="C1856" s="79">
        <v>1617.21</v>
      </c>
      <c r="D1856" s="79">
        <v>2808.9319999999998</v>
      </c>
      <c r="E1856" s="79">
        <v>945.72</v>
      </c>
      <c r="F1856" s="79">
        <f>SUM(BASE_DATOS[[#This Row],[Capital($)]:[Interés
Resarcitorio($)]])</f>
        <v>5371.8620000000001</v>
      </c>
      <c r="G1856" s="8">
        <v>45591</v>
      </c>
      <c r="H1856" s="80" t="s">
        <v>50</v>
      </c>
      <c r="I1856" s="79" t="s">
        <v>7</v>
      </c>
      <c r="J1856" s="81">
        <v>120</v>
      </c>
      <c r="K1856" t="s">
        <v>47</v>
      </c>
    </row>
    <row r="1857" spans="2:11" x14ac:dyDescent="0.25">
      <c r="B1857" s="2">
        <v>54</v>
      </c>
      <c r="C1857" s="79">
        <v>1617.21</v>
      </c>
      <c r="D1857" s="79">
        <v>2859.8740000000003</v>
      </c>
      <c r="E1857" s="79">
        <v>0</v>
      </c>
      <c r="F1857" s="79">
        <f>SUM(BASE_DATOS[[#This Row],[Capital($)]:[Interés
Resarcitorio($)]])</f>
        <v>4477.0840000000007</v>
      </c>
      <c r="G1857" s="8">
        <v>45612</v>
      </c>
      <c r="H1857" s="80" t="s">
        <v>50</v>
      </c>
      <c r="I1857" s="79" t="s">
        <v>9</v>
      </c>
      <c r="J1857" s="81">
        <v>120</v>
      </c>
      <c r="K1857" t="s">
        <v>47</v>
      </c>
    </row>
    <row r="1858" spans="2:11" x14ac:dyDescent="0.25">
      <c r="B1858" s="2">
        <v>54</v>
      </c>
      <c r="C1858" s="79">
        <v>1617.21</v>
      </c>
      <c r="D1858" s="79">
        <v>2859.8740000000003</v>
      </c>
      <c r="E1858" s="79">
        <v>956.6</v>
      </c>
      <c r="F1858" s="79">
        <f>SUM(BASE_DATOS[[#This Row],[Capital($)]:[Interés
Resarcitorio($)]])</f>
        <v>5433.6840000000011</v>
      </c>
      <c r="G1858" s="8">
        <v>45622</v>
      </c>
      <c r="H1858" s="80" t="s">
        <v>50</v>
      </c>
      <c r="I1858" s="79" t="s">
        <v>7</v>
      </c>
      <c r="J1858" s="81">
        <v>120</v>
      </c>
      <c r="K1858" t="s">
        <v>47</v>
      </c>
    </row>
    <row r="1859" spans="2:11" x14ac:dyDescent="0.25">
      <c r="B1859" s="2">
        <v>55</v>
      </c>
      <c r="C1859" s="79">
        <v>1617.21</v>
      </c>
      <c r="D1859" s="79">
        <v>2910.8159999999998</v>
      </c>
      <c r="E1859" s="79">
        <v>0</v>
      </c>
      <c r="F1859" s="79">
        <f>SUM(BASE_DATOS[[#This Row],[Capital($)]:[Interés
Resarcitorio($)]])</f>
        <v>4528.0259999999998</v>
      </c>
      <c r="G1859" s="8">
        <v>45642</v>
      </c>
      <c r="H1859" s="80" t="s">
        <v>50</v>
      </c>
      <c r="I1859" s="79" t="s">
        <v>9</v>
      </c>
      <c r="J1859" s="81">
        <v>120</v>
      </c>
      <c r="K1859" t="s">
        <v>47</v>
      </c>
    </row>
    <row r="1860" spans="2:11" x14ac:dyDescent="0.25">
      <c r="B1860" s="2">
        <v>55</v>
      </c>
      <c r="C1860" s="79">
        <v>1617.21</v>
      </c>
      <c r="D1860" s="79">
        <v>2910.8159999999998</v>
      </c>
      <c r="E1860" s="79">
        <v>1127.48</v>
      </c>
      <c r="F1860" s="79">
        <f>SUM(BASE_DATOS[[#This Row],[Capital($)]:[Interés
Resarcitorio($)]])</f>
        <v>5655.5059999999994</v>
      </c>
      <c r="G1860" s="8">
        <v>45652</v>
      </c>
      <c r="H1860" s="80" t="s">
        <v>50</v>
      </c>
      <c r="I1860" s="79" t="s">
        <v>7</v>
      </c>
      <c r="J1860" s="81">
        <v>120</v>
      </c>
      <c r="K1860" t="s">
        <v>47</v>
      </c>
    </row>
    <row r="1861" spans="2:11" x14ac:dyDescent="0.25">
      <c r="B1861" s="2">
        <v>56</v>
      </c>
      <c r="C1861" s="79">
        <v>1617.21</v>
      </c>
      <c r="D1861" s="79">
        <v>2961.7580000000003</v>
      </c>
      <c r="E1861" s="79">
        <v>0</v>
      </c>
      <c r="F1861" s="79">
        <f>SUM(BASE_DATOS[[#This Row],[Capital($)]:[Interés
Resarcitorio($)]])</f>
        <v>4578.9680000000008</v>
      </c>
      <c r="G1861" s="8">
        <v>45673</v>
      </c>
      <c r="H1861" s="80" t="s">
        <v>50</v>
      </c>
      <c r="I1861" s="79" t="s">
        <v>9</v>
      </c>
      <c r="J1861" s="81">
        <v>120</v>
      </c>
      <c r="K1861" t="s">
        <v>47</v>
      </c>
    </row>
    <row r="1862" spans="2:11" x14ac:dyDescent="0.25">
      <c r="B1862" s="2">
        <v>56</v>
      </c>
      <c r="C1862" s="79">
        <v>1617.21</v>
      </c>
      <c r="D1862" s="79">
        <v>2961.7580000000003</v>
      </c>
      <c r="E1862" s="79">
        <v>1140.1600000000001</v>
      </c>
      <c r="F1862" s="79">
        <f>SUM(BASE_DATOS[[#This Row],[Capital($)]:[Interés
Resarcitorio($)]])</f>
        <v>5719.1280000000006</v>
      </c>
      <c r="G1862" s="8">
        <v>45683</v>
      </c>
      <c r="H1862" s="80" t="s">
        <v>50</v>
      </c>
      <c r="I1862" s="79" t="s">
        <v>7</v>
      </c>
      <c r="J1862" s="81">
        <v>120</v>
      </c>
      <c r="K1862" t="s">
        <v>47</v>
      </c>
    </row>
    <row r="1863" spans="2:11" x14ac:dyDescent="0.25">
      <c r="B1863" s="2">
        <v>57</v>
      </c>
      <c r="C1863" s="79">
        <v>1617.21</v>
      </c>
      <c r="D1863" s="79">
        <v>3003.3209999999999</v>
      </c>
      <c r="E1863" s="79">
        <v>0</v>
      </c>
      <c r="F1863" s="79">
        <f>SUM(BASE_DATOS[[#This Row],[Capital($)]:[Interés
Resarcitorio($)]])</f>
        <v>4620.5309999999999</v>
      </c>
      <c r="G1863" s="8">
        <v>45704</v>
      </c>
      <c r="H1863" s="80" t="s">
        <v>50</v>
      </c>
      <c r="I1863" s="79" t="s">
        <v>9</v>
      </c>
      <c r="J1863" s="81">
        <v>120</v>
      </c>
      <c r="K1863" t="s">
        <v>47</v>
      </c>
    </row>
    <row r="1864" spans="2:11" x14ac:dyDescent="0.25">
      <c r="B1864" s="2">
        <v>57</v>
      </c>
      <c r="C1864" s="79">
        <v>1617.21</v>
      </c>
      <c r="D1864" s="79">
        <v>3003.3209999999999</v>
      </c>
      <c r="E1864" s="79">
        <v>1118.17</v>
      </c>
      <c r="F1864" s="79">
        <f>SUM(BASE_DATOS[[#This Row],[Capital($)]:[Interés
Resarcitorio($)]])</f>
        <v>5738.701</v>
      </c>
      <c r="G1864" s="8">
        <v>45714</v>
      </c>
      <c r="H1864" s="80" t="s">
        <v>50</v>
      </c>
      <c r="I1864" s="79" t="s">
        <v>7</v>
      </c>
      <c r="J1864" s="81">
        <v>120</v>
      </c>
      <c r="K1864" t="s">
        <v>47</v>
      </c>
    </row>
    <row r="1865" spans="2:11" x14ac:dyDescent="0.25">
      <c r="B1865" s="2">
        <v>58</v>
      </c>
      <c r="C1865" s="79">
        <v>1617.21</v>
      </c>
      <c r="D1865" s="79">
        <v>3044.8830000000003</v>
      </c>
      <c r="E1865" s="79">
        <v>0</v>
      </c>
      <c r="F1865" s="79">
        <f>SUM(BASE_DATOS[[#This Row],[Capital($)]:[Interés
Resarcitorio($)]])</f>
        <v>4662.0930000000008</v>
      </c>
      <c r="G1865" s="8">
        <v>45732</v>
      </c>
      <c r="H1865" s="80" t="s">
        <v>50</v>
      </c>
      <c r="I1865" s="79" t="s">
        <v>9</v>
      </c>
      <c r="J1865" s="81">
        <v>120</v>
      </c>
      <c r="K1865" t="s">
        <v>47</v>
      </c>
    </row>
    <row r="1866" spans="2:11" x14ac:dyDescent="0.25">
      <c r="B1866" s="2">
        <v>58</v>
      </c>
      <c r="C1866" s="79">
        <v>1617.21</v>
      </c>
      <c r="D1866" s="79">
        <v>3044.8830000000003</v>
      </c>
      <c r="E1866" s="79">
        <v>621.61</v>
      </c>
      <c r="F1866" s="79">
        <f>SUM(BASE_DATOS[[#This Row],[Capital($)]:[Interés
Resarcitorio($)]])</f>
        <v>5283.7030000000004</v>
      </c>
      <c r="G1866" s="8">
        <v>45742</v>
      </c>
      <c r="H1866" s="80" t="s">
        <v>50</v>
      </c>
      <c r="I1866" s="79" t="s">
        <v>7</v>
      </c>
      <c r="J1866" s="81">
        <v>120</v>
      </c>
      <c r="K1866" t="s">
        <v>47</v>
      </c>
    </row>
    <row r="1867" spans="2:11" x14ac:dyDescent="0.25">
      <c r="B1867" s="2">
        <v>59</v>
      </c>
      <c r="C1867" s="79">
        <v>1617.21</v>
      </c>
      <c r="D1867" s="79">
        <v>3086.4450000000002</v>
      </c>
      <c r="E1867" s="79">
        <v>0</v>
      </c>
      <c r="F1867" s="79">
        <f>SUM(BASE_DATOS[[#This Row],[Capital($)]:[Interés
Resarcitorio($)]])</f>
        <v>4703.6550000000007</v>
      </c>
      <c r="G1867" s="8">
        <v>45763</v>
      </c>
      <c r="H1867" s="80" t="s">
        <v>50</v>
      </c>
      <c r="I1867" s="79" t="s">
        <v>9</v>
      </c>
      <c r="J1867" s="81">
        <v>120</v>
      </c>
      <c r="K1867" t="s">
        <v>47</v>
      </c>
    </row>
    <row r="1868" spans="2:11" x14ac:dyDescent="0.25">
      <c r="B1868" s="2">
        <v>59</v>
      </c>
      <c r="C1868" s="79">
        <v>1617.21</v>
      </c>
      <c r="D1868" s="79">
        <v>3086.4450000000002</v>
      </c>
      <c r="E1868" s="79">
        <v>627.15</v>
      </c>
      <c r="F1868" s="79">
        <f>SUM(BASE_DATOS[[#This Row],[Capital($)]:[Interés
Resarcitorio($)]])</f>
        <v>5330.8050000000003</v>
      </c>
      <c r="G1868" s="8">
        <v>45773</v>
      </c>
      <c r="H1868" s="80" t="s">
        <v>50</v>
      </c>
      <c r="I1868" s="79" t="s">
        <v>7</v>
      </c>
      <c r="J1868" s="81">
        <v>120</v>
      </c>
      <c r="K1868" t="s">
        <v>47</v>
      </c>
    </row>
    <row r="1869" spans="2:11" x14ac:dyDescent="0.25">
      <c r="B1869" s="2">
        <v>60</v>
      </c>
      <c r="C1869" s="79">
        <v>1617.21</v>
      </c>
      <c r="D1869" s="79">
        <v>3128.0080000000003</v>
      </c>
      <c r="E1869" s="79">
        <v>0</v>
      </c>
      <c r="F1869" s="79">
        <f>SUM(BASE_DATOS[[#This Row],[Capital($)]:[Interés
Resarcitorio($)]])</f>
        <v>4745.2180000000008</v>
      </c>
      <c r="G1869" s="8">
        <v>45793</v>
      </c>
      <c r="H1869" s="80" t="s">
        <v>50</v>
      </c>
      <c r="I1869" s="79" t="s">
        <v>9</v>
      </c>
      <c r="J1869" s="81">
        <v>120</v>
      </c>
      <c r="K1869" t="s">
        <v>47</v>
      </c>
    </row>
    <row r="1870" spans="2:11" x14ac:dyDescent="0.25">
      <c r="B1870" s="2">
        <v>60</v>
      </c>
      <c r="C1870" s="79">
        <v>1617.21</v>
      </c>
      <c r="D1870" s="79">
        <v>3128.0080000000003</v>
      </c>
      <c r="E1870" s="79">
        <v>632.70000000000005</v>
      </c>
      <c r="F1870" s="79">
        <f>SUM(BASE_DATOS[[#This Row],[Capital($)]:[Interés
Resarcitorio($)]])</f>
        <v>5377.9180000000006</v>
      </c>
      <c r="G1870" s="8">
        <v>45803</v>
      </c>
      <c r="H1870" s="80" t="s">
        <v>50</v>
      </c>
      <c r="I1870" s="79" t="s">
        <v>7</v>
      </c>
      <c r="J1870" s="81">
        <v>120</v>
      </c>
      <c r="K1870" t="s">
        <v>47</v>
      </c>
    </row>
    <row r="1871" spans="2:11" x14ac:dyDescent="0.25">
      <c r="B1871" s="2">
        <v>61</v>
      </c>
      <c r="C1871" s="79">
        <v>1617.21</v>
      </c>
      <c r="D1871" s="79">
        <v>3128.0080000000003</v>
      </c>
      <c r="E1871" s="79">
        <v>0</v>
      </c>
      <c r="F1871" s="79">
        <f>SUM(BASE_DATOS[[#This Row],[Capital($)]:[Interés
Resarcitorio($)]])</f>
        <v>4745.2180000000008</v>
      </c>
      <c r="G1871" s="8">
        <v>45824</v>
      </c>
      <c r="H1871" s="80" t="s">
        <v>50</v>
      </c>
      <c r="I1871" s="79" t="s">
        <v>9</v>
      </c>
      <c r="J1871" s="81">
        <v>120</v>
      </c>
      <c r="K1871" t="s">
        <v>47</v>
      </c>
    </row>
    <row r="1872" spans="2:11" x14ac:dyDescent="0.25">
      <c r="B1872" s="2">
        <v>61</v>
      </c>
      <c r="C1872" s="79">
        <v>1617.21</v>
      </c>
      <c r="D1872" s="79">
        <v>3169.57</v>
      </c>
      <c r="E1872" s="79">
        <v>638.24</v>
      </c>
      <c r="F1872" s="79">
        <f>SUM(BASE_DATOS[[#This Row],[Capital($)]:[Interés
Resarcitorio($)]])</f>
        <v>5425.02</v>
      </c>
      <c r="G1872" s="8">
        <v>45834</v>
      </c>
      <c r="H1872" s="80" t="s">
        <v>50</v>
      </c>
      <c r="I1872" s="79" t="s">
        <v>7</v>
      </c>
      <c r="J1872" s="81">
        <v>120</v>
      </c>
      <c r="K1872" t="s">
        <v>47</v>
      </c>
    </row>
    <row r="1873" spans="2:12" x14ac:dyDescent="0.25">
      <c r="B1873" s="2">
        <v>62</v>
      </c>
      <c r="C1873" s="79">
        <v>1617.21</v>
      </c>
      <c r="D1873" s="79">
        <v>3211.1320000000001</v>
      </c>
      <c r="E1873" s="79">
        <v>0</v>
      </c>
      <c r="F1873" s="79">
        <f>SUM(BASE_DATOS[[#This Row],[Capital($)]:[Interés
Resarcitorio($)]])</f>
        <v>4828.3420000000006</v>
      </c>
      <c r="G1873" s="8">
        <v>45854</v>
      </c>
      <c r="H1873" s="80" t="s">
        <v>50</v>
      </c>
      <c r="I1873" s="79" t="s">
        <v>6</v>
      </c>
      <c r="J1873" s="81">
        <v>120</v>
      </c>
      <c r="K1873" t="s">
        <v>47</v>
      </c>
    </row>
    <row r="1874" spans="2:12" x14ac:dyDescent="0.25">
      <c r="B1874" s="2">
        <v>62</v>
      </c>
      <c r="C1874" s="79">
        <v>1617.21</v>
      </c>
      <c r="D1874" s="79">
        <v>3211.1320000000001</v>
      </c>
      <c r="E1874" s="79">
        <v>643.78</v>
      </c>
      <c r="F1874" s="79">
        <f>SUM(BASE_DATOS[[#This Row],[Capital($)]:[Interés
Resarcitorio($)]])</f>
        <v>5472.1220000000003</v>
      </c>
      <c r="G1874" s="8">
        <v>45864</v>
      </c>
      <c r="H1874" s="80" t="s">
        <v>50</v>
      </c>
      <c r="I1874" s="79" t="s">
        <v>7</v>
      </c>
      <c r="J1874" s="81">
        <v>120</v>
      </c>
      <c r="K1874" t="s">
        <v>47</v>
      </c>
    </row>
    <row r="1875" spans="2:12" x14ac:dyDescent="0.25">
      <c r="B1875" s="2">
        <v>63</v>
      </c>
      <c r="C1875" s="79">
        <v>1617.21</v>
      </c>
      <c r="D1875" s="79">
        <v>3252.694</v>
      </c>
      <c r="E1875" s="79">
        <v>0</v>
      </c>
      <c r="F1875" s="79">
        <f>SUM(BASE_DATOS[[#This Row],[Capital($)]:[Interés
Resarcitorio($)]])</f>
        <v>4869.9040000000005</v>
      </c>
      <c r="G1875" s="8">
        <v>45885</v>
      </c>
      <c r="H1875" s="80" t="s">
        <v>50</v>
      </c>
      <c r="I1875" s="79" t="s">
        <v>6</v>
      </c>
      <c r="J1875" s="81">
        <v>120</v>
      </c>
      <c r="K1875" t="s">
        <v>47</v>
      </c>
    </row>
    <row r="1876" spans="2:12" x14ac:dyDescent="0.25">
      <c r="B1876" s="2">
        <v>63</v>
      </c>
      <c r="C1876" s="79">
        <v>1617.21</v>
      </c>
      <c r="D1876" s="79">
        <v>3252.694</v>
      </c>
      <c r="E1876" s="79">
        <v>649.32000000000005</v>
      </c>
      <c r="F1876" s="79">
        <f>SUM(BASE_DATOS[[#This Row],[Capital($)]:[Interés
Resarcitorio($)]])</f>
        <v>5519.2240000000002</v>
      </c>
      <c r="G1876" s="8">
        <v>45895</v>
      </c>
      <c r="H1876" s="80" t="s">
        <v>50</v>
      </c>
      <c r="I1876" s="79" t="s">
        <v>7</v>
      </c>
      <c r="J1876" s="81">
        <v>120</v>
      </c>
      <c r="K1876" t="s">
        <v>47</v>
      </c>
    </row>
    <row r="1877" spans="2:12" x14ac:dyDescent="0.25">
      <c r="B1877" s="2">
        <v>64</v>
      </c>
      <c r="C1877" s="79">
        <v>1617.21</v>
      </c>
      <c r="D1877" s="79">
        <v>3294.2570000000001</v>
      </c>
      <c r="E1877" s="79">
        <v>0</v>
      </c>
      <c r="F1877" s="79">
        <f>SUM(BASE_DATOS[[#This Row],[Capital($)]:[Interés
Resarcitorio($)]])</f>
        <v>4911.4670000000006</v>
      </c>
      <c r="G1877" s="8">
        <v>45916</v>
      </c>
      <c r="H1877" s="80" t="s">
        <v>50</v>
      </c>
      <c r="I1877" s="79" t="s">
        <v>6</v>
      </c>
      <c r="J1877" s="81">
        <v>120</v>
      </c>
      <c r="K1877" t="s">
        <v>47</v>
      </c>
    </row>
    <row r="1878" spans="2:12" x14ac:dyDescent="0.25">
      <c r="B1878" s="2">
        <v>64</v>
      </c>
      <c r="C1878" s="79">
        <v>1617.21</v>
      </c>
      <c r="D1878" s="79">
        <v>3294.2570000000001</v>
      </c>
      <c r="E1878" s="79">
        <v>654.86</v>
      </c>
      <c r="F1878" s="79">
        <f>SUM(BASE_DATOS[[#This Row],[Capital($)]:[Interés
Resarcitorio($)]])</f>
        <v>5566.3270000000002</v>
      </c>
      <c r="G1878" s="8">
        <v>45926</v>
      </c>
      <c r="H1878" s="80" t="s">
        <v>50</v>
      </c>
      <c r="I1878" s="79" t="s">
        <v>7</v>
      </c>
      <c r="J1878" s="81">
        <v>120</v>
      </c>
      <c r="K1878" t="s">
        <v>47</v>
      </c>
    </row>
    <row r="1879" spans="2:12" x14ac:dyDescent="0.25">
      <c r="B1879" s="2">
        <v>65</v>
      </c>
      <c r="C1879" s="79">
        <v>1617.21</v>
      </c>
      <c r="D1879" s="79">
        <v>3335.8190000000004</v>
      </c>
      <c r="E1879" s="79">
        <v>0</v>
      </c>
      <c r="F1879" s="79">
        <f>SUM(BASE_DATOS[[#This Row],[Capital($)]:[Interés
Resarcitorio($)]])</f>
        <v>4953.0290000000005</v>
      </c>
      <c r="G1879" s="8">
        <v>45946</v>
      </c>
      <c r="H1879" s="80" t="s">
        <v>50</v>
      </c>
      <c r="I1879" s="79" t="s">
        <v>6</v>
      </c>
      <c r="J1879" s="81">
        <v>120</v>
      </c>
      <c r="K1879" t="s">
        <v>47</v>
      </c>
    </row>
    <row r="1880" spans="2:12" x14ac:dyDescent="0.25">
      <c r="B1880" s="2">
        <v>65</v>
      </c>
      <c r="C1880" s="79">
        <v>1617.21</v>
      </c>
      <c r="D1880" s="79">
        <v>3335.8190000000004</v>
      </c>
      <c r="E1880" s="79">
        <v>660.4</v>
      </c>
      <c r="F1880" s="79">
        <f>SUM(BASE_DATOS[[#This Row],[Capital($)]:[Interés
Resarcitorio($)]])</f>
        <v>5613.4290000000001</v>
      </c>
      <c r="G1880" s="8">
        <v>45956</v>
      </c>
      <c r="H1880" s="80" t="s">
        <v>50</v>
      </c>
      <c r="I1880" s="79" t="s">
        <v>7</v>
      </c>
      <c r="J1880" s="81">
        <v>120</v>
      </c>
      <c r="K1880" t="s">
        <v>47</v>
      </c>
    </row>
    <row r="1881" spans="2:12" x14ac:dyDescent="0.25">
      <c r="B1881" s="2">
        <v>66</v>
      </c>
      <c r="C1881" s="79">
        <v>1617.21</v>
      </c>
      <c r="D1881" s="79">
        <v>3377.3809999999999</v>
      </c>
      <c r="E1881" s="79">
        <v>0</v>
      </c>
      <c r="F1881" s="79">
        <f>SUM(BASE_DATOS[[#This Row],[Capital($)]:[Interés
Resarcitorio($)]])</f>
        <v>4994.5910000000003</v>
      </c>
      <c r="G1881" s="8">
        <v>45977</v>
      </c>
      <c r="H1881" s="80" t="s">
        <v>50</v>
      </c>
      <c r="I1881" s="79" t="s">
        <v>6</v>
      </c>
      <c r="J1881" s="81">
        <v>120</v>
      </c>
      <c r="K1881" t="s">
        <v>47</v>
      </c>
    </row>
    <row r="1882" spans="2:12" x14ac:dyDescent="0.25">
      <c r="B1882" s="2">
        <v>66</v>
      </c>
      <c r="C1882" s="79">
        <v>1617.21</v>
      </c>
      <c r="D1882" s="79">
        <v>3377.3809999999999</v>
      </c>
      <c r="E1882" s="79">
        <v>665.95</v>
      </c>
      <c r="F1882" s="79">
        <f>SUM(BASE_DATOS[[#This Row],[Capital($)]:[Interés
Resarcitorio($)]])</f>
        <v>5660.5410000000002</v>
      </c>
      <c r="G1882" s="8">
        <v>45987</v>
      </c>
      <c r="H1882" s="80" t="s">
        <v>50</v>
      </c>
      <c r="I1882" s="79" t="s">
        <v>7</v>
      </c>
      <c r="J1882" s="81">
        <v>120</v>
      </c>
      <c r="K1882" t="s">
        <v>47</v>
      </c>
    </row>
    <row r="1883" spans="2:12" x14ac:dyDescent="0.25">
      <c r="B1883" s="2">
        <v>67</v>
      </c>
      <c r="C1883" s="79">
        <v>1617.21</v>
      </c>
      <c r="D1883" s="79">
        <v>3418.9440000000004</v>
      </c>
      <c r="E1883" s="79">
        <v>0</v>
      </c>
      <c r="F1883" s="79">
        <f>SUM(BASE_DATOS[[#This Row],[Capital($)]:[Interés
Resarcitorio($)]])</f>
        <v>5036.1540000000005</v>
      </c>
      <c r="G1883" s="8">
        <v>46007</v>
      </c>
      <c r="H1883" s="80" t="s">
        <v>50</v>
      </c>
      <c r="I1883" s="79" t="s">
        <v>6</v>
      </c>
      <c r="J1883" s="81">
        <v>120</v>
      </c>
      <c r="K1883" t="s">
        <v>47</v>
      </c>
    </row>
    <row r="1884" spans="2:12" x14ac:dyDescent="0.25">
      <c r="B1884" s="2">
        <v>67</v>
      </c>
      <c r="C1884" s="79">
        <v>1617.21</v>
      </c>
      <c r="D1884" s="79">
        <v>3418.9440000000004</v>
      </c>
      <c r="E1884" s="79">
        <v>671.49</v>
      </c>
      <c r="F1884" s="79">
        <f>SUM(BASE_DATOS[[#This Row],[Capital($)]:[Interés
Resarcitorio($)]])</f>
        <v>5707.6440000000002</v>
      </c>
      <c r="G1884" s="8">
        <v>46017</v>
      </c>
      <c r="H1884" s="80" t="s">
        <v>50</v>
      </c>
      <c r="I1884" s="79" t="s">
        <v>7</v>
      </c>
      <c r="J1884" s="81">
        <v>120</v>
      </c>
      <c r="K1884" t="s">
        <v>47</v>
      </c>
      <c r="L1884" s="4"/>
    </row>
    <row r="1885" spans="2:12" x14ac:dyDescent="0.25">
      <c r="B1885" s="2">
        <v>68</v>
      </c>
      <c r="C1885" s="79">
        <v>1617.21</v>
      </c>
      <c r="D1885" s="79">
        <v>3460.5059999999999</v>
      </c>
      <c r="E1885" s="79">
        <v>0</v>
      </c>
      <c r="F1885" s="79">
        <f>SUM(BASE_DATOS[[#This Row],[Capital($)]:[Interés
Resarcitorio($)]])</f>
        <v>5077.7160000000003</v>
      </c>
      <c r="G1885" s="8">
        <v>46038</v>
      </c>
      <c r="H1885" s="80" t="s">
        <v>50</v>
      </c>
      <c r="I1885" s="79" t="s">
        <v>6</v>
      </c>
      <c r="J1885" s="81">
        <v>120</v>
      </c>
      <c r="K1885" t="s">
        <v>47</v>
      </c>
    </row>
    <row r="1886" spans="2:12" x14ac:dyDescent="0.25">
      <c r="B1886" s="2">
        <v>68</v>
      </c>
      <c r="C1886" s="79">
        <v>1617.21</v>
      </c>
      <c r="D1886" s="79">
        <v>3460.5059999999999</v>
      </c>
      <c r="E1886" s="79">
        <v>677.03</v>
      </c>
      <c r="F1886" s="79">
        <f>SUM(BASE_DATOS[[#This Row],[Capital($)]:[Interés
Resarcitorio($)]])</f>
        <v>5754.7460000000001</v>
      </c>
      <c r="G1886" s="8">
        <v>46048</v>
      </c>
      <c r="H1886" s="80" t="s">
        <v>50</v>
      </c>
      <c r="I1886" s="79" t="s">
        <v>7</v>
      </c>
      <c r="J1886" s="81">
        <v>120</v>
      </c>
      <c r="K1886" t="s">
        <v>47</v>
      </c>
    </row>
    <row r="1887" spans="2:12" x14ac:dyDescent="0.25">
      <c r="B1887" s="2">
        <v>69</v>
      </c>
      <c r="C1887" s="79">
        <v>1617.21</v>
      </c>
      <c r="D1887" s="79">
        <v>3502.0680000000002</v>
      </c>
      <c r="E1887" s="79">
        <v>0</v>
      </c>
      <c r="F1887" s="79">
        <f>SUM(BASE_DATOS[[#This Row],[Capital($)]:[Interés
Resarcitorio($)]])</f>
        <v>5119.2780000000002</v>
      </c>
      <c r="G1887" s="8">
        <v>46069</v>
      </c>
      <c r="H1887" s="80" t="s">
        <v>50</v>
      </c>
      <c r="I1887" s="79" t="s">
        <v>6</v>
      </c>
      <c r="J1887" s="81">
        <v>120</v>
      </c>
      <c r="K1887" t="s">
        <v>47</v>
      </c>
    </row>
    <row r="1888" spans="2:12" x14ac:dyDescent="0.25">
      <c r="B1888" s="2">
        <v>69</v>
      </c>
      <c r="C1888" s="79">
        <v>1617.21</v>
      </c>
      <c r="D1888" s="79">
        <v>3502.0680000000002</v>
      </c>
      <c r="E1888" s="79">
        <v>682.57</v>
      </c>
      <c r="F1888" s="79">
        <f>SUM(BASE_DATOS[[#This Row],[Capital($)]:[Interés
Resarcitorio($)]])</f>
        <v>5801.848</v>
      </c>
      <c r="G1888" s="8">
        <v>46079</v>
      </c>
      <c r="H1888" s="80" t="s">
        <v>50</v>
      </c>
      <c r="I1888" s="79" t="s">
        <v>7</v>
      </c>
      <c r="J1888" s="81">
        <v>120</v>
      </c>
      <c r="K1888" t="s">
        <v>47</v>
      </c>
    </row>
    <row r="1889" spans="2:13" x14ac:dyDescent="0.25">
      <c r="B1889" s="2">
        <v>70</v>
      </c>
      <c r="C1889" s="79">
        <v>1617.21</v>
      </c>
      <c r="D1889" s="79">
        <v>3543.6309999999999</v>
      </c>
      <c r="E1889" s="79">
        <v>0</v>
      </c>
      <c r="F1889" s="79">
        <f>SUM(BASE_DATOS[[#This Row],[Capital($)]:[Interés
Resarcitorio($)]])</f>
        <v>5160.8410000000003</v>
      </c>
      <c r="G1889" s="8">
        <v>46097</v>
      </c>
      <c r="H1889" s="80" t="s">
        <v>50</v>
      </c>
      <c r="I1889" s="79" t="s">
        <v>6</v>
      </c>
      <c r="J1889" s="81">
        <v>120</v>
      </c>
      <c r="K1889" t="s">
        <v>47</v>
      </c>
      <c r="M1889" s="4"/>
    </row>
    <row r="1890" spans="2:13" x14ac:dyDescent="0.25">
      <c r="B1890" s="2">
        <v>70</v>
      </c>
      <c r="C1890" s="79">
        <v>1617.21</v>
      </c>
      <c r="D1890" s="79">
        <v>3543.6309999999999</v>
      </c>
      <c r="E1890" s="79">
        <v>688.11</v>
      </c>
      <c r="F1890" s="79">
        <f>SUM(BASE_DATOS[[#This Row],[Capital($)]:[Interés
Resarcitorio($)]])</f>
        <v>5848.951</v>
      </c>
      <c r="G1890" s="8">
        <v>46107</v>
      </c>
      <c r="H1890" s="80" t="s">
        <v>50</v>
      </c>
      <c r="I1890" s="79" t="s">
        <v>7</v>
      </c>
      <c r="J1890" s="81">
        <v>120</v>
      </c>
      <c r="K1890" t="s">
        <v>47</v>
      </c>
    </row>
    <row r="1891" spans="2:13" x14ac:dyDescent="0.25">
      <c r="B1891" s="2">
        <v>71</v>
      </c>
      <c r="C1891" s="79">
        <v>1617.21</v>
      </c>
      <c r="D1891" s="79">
        <v>3585.1930000000002</v>
      </c>
      <c r="E1891" s="79">
        <v>0</v>
      </c>
      <c r="F1891" s="79">
        <f>SUM(BASE_DATOS[[#This Row],[Capital($)]:[Interés
Resarcitorio($)]])</f>
        <v>5202.4030000000002</v>
      </c>
      <c r="G1891" s="8">
        <v>46128</v>
      </c>
      <c r="H1891" s="80" t="s">
        <v>50</v>
      </c>
      <c r="I1891" s="79" t="s">
        <v>6</v>
      </c>
      <c r="J1891" s="81">
        <v>120</v>
      </c>
      <c r="K1891" t="s">
        <v>47</v>
      </c>
      <c r="M1891" s="4"/>
    </row>
    <row r="1892" spans="2:13" x14ac:dyDescent="0.25">
      <c r="B1892" s="2">
        <v>71</v>
      </c>
      <c r="C1892" s="79">
        <v>1617.21</v>
      </c>
      <c r="D1892" s="79">
        <v>3585.1930000000002</v>
      </c>
      <c r="E1892" s="79">
        <v>693.65</v>
      </c>
      <c r="F1892" s="79">
        <f>SUM(BASE_DATOS[[#This Row],[Capital($)]:[Interés
Resarcitorio($)]])</f>
        <v>5896.0529999999999</v>
      </c>
      <c r="G1892" s="8">
        <v>46138</v>
      </c>
      <c r="H1892" s="80" t="s">
        <v>50</v>
      </c>
      <c r="I1892" s="79" t="s">
        <v>7</v>
      </c>
      <c r="J1892" s="81">
        <v>120</v>
      </c>
      <c r="K1892" t="s">
        <v>47</v>
      </c>
      <c r="L1892" s="4"/>
    </row>
    <row r="1893" spans="2:13" x14ac:dyDescent="0.25">
      <c r="B1893" s="2">
        <v>72</v>
      </c>
      <c r="C1893" s="79">
        <v>1617.21</v>
      </c>
      <c r="D1893" s="79">
        <v>3626.7550000000001</v>
      </c>
      <c r="E1893" s="79">
        <v>0</v>
      </c>
      <c r="F1893" s="79">
        <f>SUM(BASE_DATOS[[#This Row],[Capital($)]:[Interés
Resarcitorio($)]])</f>
        <v>5243.9650000000001</v>
      </c>
      <c r="G1893" s="8">
        <v>46158</v>
      </c>
      <c r="H1893" s="80" t="s">
        <v>50</v>
      </c>
      <c r="I1893" s="79" t="s">
        <v>6</v>
      </c>
      <c r="J1893" s="81">
        <v>120</v>
      </c>
      <c r="K1893" t="s">
        <v>47</v>
      </c>
    </row>
    <row r="1894" spans="2:13" x14ac:dyDescent="0.25">
      <c r="B1894" s="2">
        <v>72</v>
      </c>
      <c r="C1894" s="79">
        <v>1617.21</v>
      </c>
      <c r="D1894" s="79">
        <v>3626.7550000000001</v>
      </c>
      <c r="E1894" s="79">
        <v>699.2</v>
      </c>
      <c r="F1894" s="79">
        <f>SUM(BASE_DATOS[[#This Row],[Capital($)]:[Interés
Resarcitorio($)]])</f>
        <v>5943.165</v>
      </c>
      <c r="G1894" s="8">
        <v>46168</v>
      </c>
      <c r="H1894" s="80" t="s">
        <v>50</v>
      </c>
      <c r="I1894" s="79" t="s">
        <v>7</v>
      </c>
      <c r="J1894" s="81">
        <v>120</v>
      </c>
      <c r="K1894" t="s">
        <v>47</v>
      </c>
    </row>
    <row r="1895" spans="2:13" x14ac:dyDescent="0.25">
      <c r="B1895" s="2">
        <v>73</v>
      </c>
      <c r="C1895" s="79">
        <v>1617.21</v>
      </c>
      <c r="D1895" s="79">
        <v>3668.317</v>
      </c>
      <c r="E1895" s="79">
        <v>0</v>
      </c>
      <c r="F1895" s="79">
        <f>SUM(BASE_DATOS[[#This Row],[Capital($)]:[Interés
Resarcitorio($)]])</f>
        <v>5285.527</v>
      </c>
      <c r="G1895" s="8">
        <v>46189</v>
      </c>
      <c r="H1895" s="80" t="s">
        <v>50</v>
      </c>
      <c r="I1895" s="79" t="s">
        <v>6</v>
      </c>
      <c r="J1895" s="81">
        <v>120</v>
      </c>
      <c r="K1895" t="s">
        <v>47</v>
      </c>
    </row>
    <row r="1896" spans="2:13" x14ac:dyDescent="0.25">
      <c r="B1896" s="2">
        <v>73</v>
      </c>
      <c r="C1896" s="79">
        <v>1617.21</v>
      </c>
      <c r="D1896" s="79">
        <v>3668.317</v>
      </c>
      <c r="E1896" s="79">
        <v>704.74</v>
      </c>
      <c r="F1896" s="79">
        <f>SUM(BASE_DATOS[[#This Row],[Capital($)]:[Interés
Resarcitorio($)]])</f>
        <v>5990.2669999999998</v>
      </c>
      <c r="G1896" s="8">
        <v>46199</v>
      </c>
      <c r="H1896" s="80" t="s">
        <v>50</v>
      </c>
      <c r="I1896" s="79" t="s">
        <v>7</v>
      </c>
      <c r="J1896" s="81">
        <v>120</v>
      </c>
      <c r="K1896" t="s">
        <v>47</v>
      </c>
    </row>
    <row r="1897" spans="2:13" x14ac:dyDescent="0.25">
      <c r="B1897" s="2">
        <v>74</v>
      </c>
      <c r="C1897" s="79">
        <v>1617.21</v>
      </c>
      <c r="D1897" s="79">
        <v>3709.88</v>
      </c>
      <c r="E1897" s="79">
        <v>0</v>
      </c>
      <c r="F1897" s="79">
        <f>SUM(BASE_DATOS[[#This Row],[Capital($)]:[Interés
Resarcitorio($)]])</f>
        <v>5327.09</v>
      </c>
      <c r="G1897" s="8">
        <v>46219</v>
      </c>
      <c r="H1897" s="80" t="s">
        <v>50</v>
      </c>
      <c r="I1897" s="79" t="s">
        <v>6</v>
      </c>
      <c r="J1897" s="81">
        <v>120</v>
      </c>
      <c r="K1897" t="s">
        <v>47</v>
      </c>
    </row>
    <row r="1898" spans="2:13" x14ac:dyDescent="0.25">
      <c r="B1898" s="2">
        <v>74</v>
      </c>
      <c r="C1898" s="79">
        <v>1617.21</v>
      </c>
      <c r="D1898" s="79">
        <v>3709.88</v>
      </c>
      <c r="E1898" s="79">
        <v>710.28</v>
      </c>
      <c r="F1898" s="79">
        <f>SUM(BASE_DATOS[[#This Row],[Capital($)]:[Interés
Resarcitorio($)]])</f>
        <v>6037.37</v>
      </c>
      <c r="G1898" s="8">
        <v>46229</v>
      </c>
      <c r="H1898" s="80" t="s">
        <v>50</v>
      </c>
      <c r="I1898" s="79" t="s">
        <v>7</v>
      </c>
      <c r="J1898" s="81">
        <v>120</v>
      </c>
      <c r="K1898" t="s">
        <v>47</v>
      </c>
    </row>
    <row r="1899" spans="2:13" x14ac:dyDescent="0.25">
      <c r="B1899" s="2">
        <v>75</v>
      </c>
      <c r="C1899" s="79">
        <v>1617.21</v>
      </c>
      <c r="D1899" s="79">
        <v>3751.442</v>
      </c>
      <c r="E1899" s="79">
        <v>0</v>
      </c>
      <c r="F1899" s="79">
        <f>SUM(BASE_DATOS[[#This Row],[Capital($)]:[Interés
Resarcitorio($)]])</f>
        <v>5368.652</v>
      </c>
      <c r="G1899" s="8">
        <v>46250</v>
      </c>
      <c r="H1899" s="80" t="s">
        <v>50</v>
      </c>
      <c r="I1899" s="79" t="s">
        <v>6</v>
      </c>
      <c r="J1899" s="81">
        <v>120</v>
      </c>
      <c r="K1899" t="s">
        <v>47</v>
      </c>
    </row>
    <row r="1900" spans="2:13" x14ac:dyDescent="0.25">
      <c r="B1900" s="2">
        <v>75</v>
      </c>
      <c r="C1900" s="79">
        <v>1617.21</v>
      </c>
      <c r="D1900" s="79">
        <v>3751.442</v>
      </c>
      <c r="E1900" s="79">
        <v>715.82</v>
      </c>
      <c r="F1900" s="79">
        <f>SUM(BASE_DATOS[[#This Row],[Capital($)]:[Interés
Resarcitorio($)]])</f>
        <v>6084.4719999999998</v>
      </c>
      <c r="G1900" s="8">
        <v>46260</v>
      </c>
      <c r="H1900" s="80" t="s">
        <v>50</v>
      </c>
      <c r="I1900" s="79" t="s">
        <v>7</v>
      </c>
      <c r="J1900" s="81">
        <v>120</v>
      </c>
      <c r="K1900" t="s">
        <v>47</v>
      </c>
    </row>
    <row r="1901" spans="2:13" x14ac:dyDescent="0.25">
      <c r="B1901" s="2">
        <v>76</v>
      </c>
      <c r="C1901" s="79">
        <v>1617.21</v>
      </c>
      <c r="D1901" s="79">
        <v>3793.0039999999999</v>
      </c>
      <c r="E1901" s="79">
        <v>0</v>
      </c>
      <c r="F1901" s="79">
        <f>SUM(BASE_DATOS[[#This Row],[Capital($)]:[Interés
Resarcitorio($)]])</f>
        <v>5410.2139999999999</v>
      </c>
      <c r="G1901" s="8">
        <v>46281</v>
      </c>
      <c r="H1901" s="80" t="s">
        <v>50</v>
      </c>
      <c r="I1901" s="79" t="s">
        <v>6</v>
      </c>
      <c r="J1901" s="81">
        <v>120</v>
      </c>
      <c r="K1901" t="s">
        <v>47</v>
      </c>
    </row>
    <row r="1902" spans="2:13" x14ac:dyDescent="0.25">
      <c r="B1902" s="2">
        <v>76</v>
      </c>
      <c r="C1902" s="79">
        <v>1617.21</v>
      </c>
      <c r="D1902" s="79">
        <v>3793.0039999999999</v>
      </c>
      <c r="E1902" s="79">
        <v>721.36</v>
      </c>
      <c r="F1902" s="79">
        <f>SUM(BASE_DATOS[[#This Row],[Capital($)]:[Interés
Resarcitorio($)]])</f>
        <v>6131.5739999999996</v>
      </c>
      <c r="G1902" s="8">
        <v>46291</v>
      </c>
      <c r="H1902" s="80" t="s">
        <v>50</v>
      </c>
      <c r="I1902" s="79" t="s">
        <v>7</v>
      </c>
      <c r="J1902" s="81">
        <v>120</v>
      </c>
      <c r="K1902" t="s">
        <v>47</v>
      </c>
    </row>
    <row r="1903" spans="2:13" x14ac:dyDescent="0.25">
      <c r="B1903" s="2">
        <v>77</v>
      </c>
      <c r="C1903" s="79">
        <v>1617.21</v>
      </c>
      <c r="D1903" s="79">
        <v>3834.567</v>
      </c>
      <c r="E1903" s="79">
        <v>0</v>
      </c>
      <c r="F1903" s="79">
        <f>SUM(BASE_DATOS[[#This Row],[Capital($)]:[Interés
Resarcitorio($)]])</f>
        <v>5451.777</v>
      </c>
      <c r="G1903" s="8">
        <v>46311</v>
      </c>
      <c r="H1903" s="80" t="s">
        <v>50</v>
      </c>
      <c r="I1903" s="79" t="s">
        <v>6</v>
      </c>
      <c r="J1903" s="81">
        <v>120</v>
      </c>
      <c r="K1903" t="s">
        <v>47</v>
      </c>
    </row>
    <row r="1904" spans="2:13" x14ac:dyDescent="0.25">
      <c r="B1904" s="2">
        <v>77</v>
      </c>
      <c r="C1904" s="79">
        <v>1617.21</v>
      </c>
      <c r="D1904" s="79">
        <v>3834.567</v>
      </c>
      <c r="E1904" s="79">
        <v>726.9</v>
      </c>
      <c r="F1904" s="79">
        <f>SUM(BASE_DATOS[[#This Row],[Capital($)]:[Interés
Resarcitorio($)]])</f>
        <v>6178.6769999999997</v>
      </c>
      <c r="G1904" s="8">
        <v>46321</v>
      </c>
      <c r="H1904" s="80" t="s">
        <v>50</v>
      </c>
      <c r="I1904" s="79" t="s">
        <v>7</v>
      </c>
      <c r="J1904" s="81">
        <v>120</v>
      </c>
      <c r="K1904" t="s">
        <v>47</v>
      </c>
    </row>
    <row r="1905" spans="2:11" x14ac:dyDescent="0.25">
      <c r="B1905" s="2">
        <v>78</v>
      </c>
      <c r="C1905" s="79">
        <v>1617.21</v>
      </c>
      <c r="D1905" s="79">
        <v>3876.1289999999999</v>
      </c>
      <c r="E1905" s="79">
        <v>0</v>
      </c>
      <c r="F1905" s="79">
        <f>SUM(BASE_DATOS[[#This Row],[Capital($)]:[Interés
Resarcitorio($)]])</f>
        <v>5493.3389999999999</v>
      </c>
      <c r="G1905" s="8">
        <v>46342</v>
      </c>
      <c r="H1905" s="80" t="s">
        <v>50</v>
      </c>
      <c r="I1905" s="79" t="s">
        <v>6</v>
      </c>
      <c r="J1905" s="81">
        <v>120</v>
      </c>
      <c r="K1905" t="s">
        <v>47</v>
      </c>
    </row>
    <row r="1906" spans="2:11" x14ac:dyDescent="0.25">
      <c r="B1906" s="2">
        <v>78</v>
      </c>
      <c r="C1906" s="79">
        <v>1617.21</v>
      </c>
      <c r="D1906" s="79">
        <v>3876.1289999999999</v>
      </c>
      <c r="E1906" s="79">
        <v>732.45</v>
      </c>
      <c r="F1906" s="79">
        <f>SUM(BASE_DATOS[[#This Row],[Capital($)]:[Interés
Resarcitorio($)]])</f>
        <v>6225.7889999999998</v>
      </c>
      <c r="G1906" s="8">
        <v>46352</v>
      </c>
      <c r="H1906" s="80" t="s">
        <v>50</v>
      </c>
      <c r="I1906" s="79" t="s">
        <v>7</v>
      </c>
      <c r="J1906" s="81">
        <v>120</v>
      </c>
      <c r="K1906" t="s">
        <v>47</v>
      </c>
    </row>
    <row r="1907" spans="2:11" x14ac:dyDescent="0.25">
      <c r="B1907" s="2">
        <v>79</v>
      </c>
      <c r="C1907" s="79">
        <v>1617.21</v>
      </c>
      <c r="D1907" s="79">
        <v>3917.6910000000003</v>
      </c>
      <c r="E1907" s="79">
        <v>0</v>
      </c>
      <c r="F1907" s="79">
        <f>SUM(BASE_DATOS[[#This Row],[Capital($)]:[Interés
Resarcitorio($)]])</f>
        <v>5534.9009999999998</v>
      </c>
      <c r="G1907" s="8">
        <v>46372</v>
      </c>
      <c r="H1907" s="80" t="s">
        <v>50</v>
      </c>
      <c r="I1907" s="79" t="s">
        <v>6</v>
      </c>
      <c r="J1907" s="81">
        <v>120</v>
      </c>
      <c r="K1907" t="s">
        <v>47</v>
      </c>
    </row>
    <row r="1908" spans="2:11" x14ac:dyDescent="0.25">
      <c r="B1908" s="2">
        <v>79</v>
      </c>
      <c r="C1908" s="79">
        <v>1617.21</v>
      </c>
      <c r="D1908" s="79">
        <v>3917.6910000000003</v>
      </c>
      <c r="E1908" s="79">
        <v>737.99</v>
      </c>
      <c r="F1908" s="79">
        <f>SUM(BASE_DATOS[[#This Row],[Capital($)]:[Interés
Resarcitorio($)]])</f>
        <v>6272.8909999999996</v>
      </c>
      <c r="G1908" s="8">
        <v>46382</v>
      </c>
      <c r="H1908" s="80" t="s">
        <v>50</v>
      </c>
      <c r="I1908" s="79" t="s">
        <v>7</v>
      </c>
      <c r="J1908" s="81">
        <v>120</v>
      </c>
      <c r="K1908" t="s">
        <v>47</v>
      </c>
    </row>
    <row r="1909" spans="2:11" x14ac:dyDescent="0.25">
      <c r="B1909" s="2">
        <v>80</v>
      </c>
      <c r="C1909" s="79">
        <v>1617.21</v>
      </c>
      <c r="D1909" s="79">
        <v>3959.2539999999999</v>
      </c>
      <c r="E1909" s="79">
        <v>0</v>
      </c>
      <c r="F1909" s="79">
        <f>SUM(BASE_DATOS[[#This Row],[Capital($)]:[Interés
Resarcitorio($)]])</f>
        <v>5576.4639999999999</v>
      </c>
      <c r="G1909" s="8">
        <v>46403</v>
      </c>
      <c r="H1909" s="80" t="s">
        <v>50</v>
      </c>
      <c r="I1909" s="79" t="s">
        <v>6</v>
      </c>
      <c r="J1909" s="81">
        <v>120</v>
      </c>
      <c r="K1909" t="s">
        <v>47</v>
      </c>
    </row>
    <row r="1910" spans="2:11" x14ac:dyDescent="0.25">
      <c r="B1910" s="2">
        <v>80</v>
      </c>
      <c r="C1910" s="79">
        <v>1617.21</v>
      </c>
      <c r="D1910" s="79">
        <v>3959.2539999999999</v>
      </c>
      <c r="E1910" s="79">
        <v>743.53</v>
      </c>
      <c r="F1910" s="79">
        <f>SUM(BASE_DATOS[[#This Row],[Capital($)]:[Interés
Resarcitorio($)]])</f>
        <v>6319.9939999999997</v>
      </c>
      <c r="G1910" s="8">
        <v>46413</v>
      </c>
      <c r="H1910" s="80" t="s">
        <v>50</v>
      </c>
      <c r="I1910" s="79" t="s">
        <v>7</v>
      </c>
      <c r="J1910" s="81">
        <v>120</v>
      </c>
      <c r="K1910" t="s">
        <v>47</v>
      </c>
    </row>
    <row r="1911" spans="2:11" x14ac:dyDescent="0.25">
      <c r="B1911" s="2">
        <v>81</v>
      </c>
      <c r="C1911" s="79">
        <v>1617.21</v>
      </c>
      <c r="D1911" s="79">
        <v>4000.8160000000003</v>
      </c>
      <c r="E1911" s="79">
        <v>0</v>
      </c>
      <c r="F1911" s="79">
        <f>SUM(BASE_DATOS[[#This Row],[Capital($)]:[Interés
Resarcitorio($)]])</f>
        <v>5618.0259999999998</v>
      </c>
      <c r="G1911" s="8">
        <v>46434</v>
      </c>
      <c r="H1911" s="80" t="s">
        <v>50</v>
      </c>
      <c r="I1911" s="79" t="s">
        <v>6</v>
      </c>
      <c r="J1911" s="81">
        <v>120</v>
      </c>
      <c r="K1911" t="s">
        <v>47</v>
      </c>
    </row>
    <row r="1912" spans="2:11" x14ac:dyDescent="0.25">
      <c r="B1912" s="2">
        <v>81</v>
      </c>
      <c r="C1912" s="79">
        <v>1617.21</v>
      </c>
      <c r="D1912" s="79">
        <v>4000.8160000000003</v>
      </c>
      <c r="E1912" s="79">
        <v>749.07</v>
      </c>
      <c r="F1912" s="79">
        <f>SUM(BASE_DATOS[[#This Row],[Capital($)]:[Interés
Resarcitorio($)]])</f>
        <v>6367.0959999999995</v>
      </c>
      <c r="G1912" s="8">
        <v>46444</v>
      </c>
      <c r="H1912" s="80" t="s">
        <v>50</v>
      </c>
      <c r="I1912" s="79" t="s">
        <v>7</v>
      </c>
      <c r="J1912" s="81">
        <v>120</v>
      </c>
      <c r="K1912" t="s">
        <v>47</v>
      </c>
    </row>
    <row r="1913" spans="2:11" x14ac:dyDescent="0.25">
      <c r="B1913" s="2">
        <v>82</v>
      </c>
      <c r="C1913" s="79">
        <v>1617.21</v>
      </c>
      <c r="D1913" s="79">
        <v>4042.3779999999997</v>
      </c>
      <c r="E1913" s="79">
        <v>0</v>
      </c>
      <c r="F1913" s="79">
        <f>SUM(BASE_DATOS[[#This Row],[Capital($)]:[Interés
Resarcitorio($)]])</f>
        <v>5659.5879999999997</v>
      </c>
      <c r="G1913" s="8">
        <v>46462</v>
      </c>
      <c r="H1913" s="80" t="s">
        <v>50</v>
      </c>
      <c r="I1913" s="79" t="s">
        <v>6</v>
      </c>
      <c r="J1913" s="81">
        <v>120</v>
      </c>
      <c r="K1913" t="s">
        <v>47</v>
      </c>
    </row>
    <row r="1914" spans="2:11" x14ac:dyDescent="0.25">
      <c r="B1914" s="2">
        <v>82</v>
      </c>
      <c r="C1914" s="79">
        <v>1617.21</v>
      </c>
      <c r="D1914" s="79">
        <v>4042.3779999999997</v>
      </c>
      <c r="E1914" s="79">
        <v>754.61</v>
      </c>
      <c r="F1914" s="79">
        <f>SUM(BASE_DATOS[[#This Row],[Capital($)]:[Interés
Resarcitorio($)]])</f>
        <v>6414.1979999999994</v>
      </c>
      <c r="G1914" s="8">
        <v>46472</v>
      </c>
      <c r="H1914" s="80" t="s">
        <v>50</v>
      </c>
      <c r="I1914" s="79" t="s">
        <v>7</v>
      </c>
      <c r="J1914" s="81">
        <v>120</v>
      </c>
      <c r="K1914" t="s">
        <v>47</v>
      </c>
    </row>
    <row r="1915" spans="2:11" x14ac:dyDescent="0.25">
      <c r="B1915" s="2">
        <v>83</v>
      </c>
      <c r="C1915" s="79">
        <v>1617.21</v>
      </c>
      <c r="D1915" s="79">
        <v>4083.94</v>
      </c>
      <c r="E1915" s="79">
        <v>0</v>
      </c>
      <c r="F1915" s="79">
        <f>SUM(BASE_DATOS[[#This Row],[Capital($)]:[Interés
Resarcitorio($)]])</f>
        <v>5701.15</v>
      </c>
      <c r="G1915" s="8">
        <v>46493</v>
      </c>
      <c r="H1915" s="80" t="s">
        <v>50</v>
      </c>
      <c r="I1915" s="79" t="s">
        <v>6</v>
      </c>
      <c r="J1915" s="81">
        <v>120</v>
      </c>
      <c r="K1915" t="s">
        <v>47</v>
      </c>
    </row>
    <row r="1916" spans="2:11" x14ac:dyDescent="0.25">
      <c r="B1916" s="2">
        <v>83</v>
      </c>
      <c r="C1916" s="79">
        <v>1617.21</v>
      </c>
      <c r="D1916" s="79">
        <v>4083.94</v>
      </c>
      <c r="E1916" s="79">
        <v>760.15</v>
      </c>
      <c r="F1916" s="79">
        <f>SUM(BASE_DATOS[[#This Row],[Capital($)]:[Interés
Resarcitorio($)]])</f>
        <v>6461.2999999999993</v>
      </c>
      <c r="G1916" s="8">
        <v>46503</v>
      </c>
      <c r="H1916" s="80" t="s">
        <v>50</v>
      </c>
      <c r="I1916" s="79" t="s">
        <v>7</v>
      </c>
      <c r="J1916" s="81">
        <v>120</v>
      </c>
      <c r="K1916" t="s">
        <v>47</v>
      </c>
    </row>
    <row r="1917" spans="2:11" x14ac:dyDescent="0.25">
      <c r="B1917" s="2">
        <v>84</v>
      </c>
      <c r="C1917" s="79">
        <v>1617.21</v>
      </c>
      <c r="D1917" s="79">
        <v>4125.5029999999997</v>
      </c>
      <c r="E1917" s="79">
        <v>0</v>
      </c>
      <c r="F1917" s="79">
        <f>SUM(BASE_DATOS[[#This Row],[Capital($)]:[Interés
Resarcitorio($)]])</f>
        <v>5742.7129999999997</v>
      </c>
      <c r="G1917" s="8">
        <v>46523</v>
      </c>
      <c r="H1917" s="80" t="s">
        <v>50</v>
      </c>
      <c r="I1917" s="79" t="s">
        <v>6</v>
      </c>
      <c r="J1917" s="81">
        <v>120</v>
      </c>
      <c r="K1917" t="s">
        <v>47</v>
      </c>
    </row>
    <row r="1918" spans="2:11" x14ac:dyDescent="0.25">
      <c r="B1918" s="2">
        <v>84</v>
      </c>
      <c r="C1918" s="79">
        <v>1617.21</v>
      </c>
      <c r="D1918" s="79">
        <v>4125.5029999999997</v>
      </c>
      <c r="E1918" s="79">
        <v>765.7</v>
      </c>
      <c r="F1918" s="79">
        <f>SUM(BASE_DATOS[[#This Row],[Capital($)]:[Interés
Resarcitorio($)]])</f>
        <v>6508.4129999999996</v>
      </c>
      <c r="G1918" s="8">
        <v>46533</v>
      </c>
      <c r="H1918" s="80" t="s">
        <v>50</v>
      </c>
      <c r="I1918" s="79" t="s">
        <v>7</v>
      </c>
      <c r="J1918" s="81">
        <v>120</v>
      </c>
      <c r="K1918" t="s">
        <v>47</v>
      </c>
    </row>
    <row r="1919" spans="2:11" x14ac:dyDescent="0.25">
      <c r="B1919" s="2">
        <v>85</v>
      </c>
      <c r="C1919" s="79">
        <v>1617.21</v>
      </c>
      <c r="D1919" s="79">
        <v>4167.0650000000005</v>
      </c>
      <c r="E1919" s="79">
        <v>0</v>
      </c>
      <c r="F1919" s="79">
        <f>SUM(BASE_DATOS[[#This Row],[Capital($)]:[Interés
Resarcitorio($)]])</f>
        <v>5784.2750000000005</v>
      </c>
      <c r="G1919" s="8">
        <v>46554</v>
      </c>
      <c r="H1919" s="80" t="s">
        <v>50</v>
      </c>
      <c r="I1919" s="79" t="s">
        <v>6</v>
      </c>
      <c r="J1919" s="81">
        <v>120</v>
      </c>
      <c r="K1919" t="s">
        <v>47</v>
      </c>
    </row>
    <row r="1920" spans="2:11" x14ac:dyDescent="0.25">
      <c r="B1920" s="2">
        <v>85</v>
      </c>
      <c r="C1920" s="79">
        <v>1617.21</v>
      </c>
      <c r="D1920" s="79">
        <v>4167.0650000000005</v>
      </c>
      <c r="E1920" s="79">
        <v>771.24</v>
      </c>
      <c r="F1920" s="79">
        <f>SUM(BASE_DATOS[[#This Row],[Capital($)]:[Interés
Resarcitorio($)]])</f>
        <v>6555.5150000000003</v>
      </c>
      <c r="G1920" s="8">
        <v>46564</v>
      </c>
      <c r="H1920" s="80" t="s">
        <v>50</v>
      </c>
      <c r="I1920" s="79" t="s">
        <v>7</v>
      </c>
      <c r="J1920" s="81">
        <v>120</v>
      </c>
      <c r="K1920" t="s">
        <v>47</v>
      </c>
    </row>
    <row r="1921" spans="2:12" x14ac:dyDescent="0.25">
      <c r="B1921" s="2">
        <v>86</v>
      </c>
      <c r="C1921" s="79">
        <v>1617.21</v>
      </c>
      <c r="D1921" s="79">
        <v>4208.6269999999995</v>
      </c>
      <c r="E1921" s="79">
        <v>0</v>
      </c>
      <c r="F1921" s="79">
        <f>SUM(BASE_DATOS[[#This Row],[Capital($)]:[Interés
Resarcitorio($)]])</f>
        <v>5825.8369999999995</v>
      </c>
      <c r="G1921" s="8">
        <v>46584</v>
      </c>
      <c r="H1921" s="80" t="s">
        <v>50</v>
      </c>
      <c r="I1921" s="79" t="s">
        <v>6</v>
      </c>
      <c r="J1921" s="81">
        <v>120</v>
      </c>
      <c r="K1921" t="s">
        <v>47</v>
      </c>
    </row>
    <row r="1922" spans="2:12" x14ac:dyDescent="0.25">
      <c r="B1922" s="2">
        <v>86</v>
      </c>
      <c r="C1922" s="79">
        <v>1617.21</v>
      </c>
      <c r="D1922" s="79">
        <v>4208.6269999999995</v>
      </c>
      <c r="E1922" s="79">
        <v>776.78</v>
      </c>
      <c r="F1922" s="79">
        <f>SUM(BASE_DATOS[[#This Row],[Capital($)]:[Interés
Resarcitorio($)]])</f>
        <v>6602.6169999999993</v>
      </c>
      <c r="G1922" s="8">
        <v>46594</v>
      </c>
      <c r="H1922" s="80" t="s">
        <v>50</v>
      </c>
      <c r="I1922" s="79" t="s">
        <v>7</v>
      </c>
      <c r="J1922" s="81">
        <v>120</v>
      </c>
      <c r="K1922" t="s">
        <v>47</v>
      </c>
    </row>
    <row r="1923" spans="2:12" x14ac:dyDescent="0.25">
      <c r="B1923" s="2">
        <v>87</v>
      </c>
      <c r="C1923" s="79">
        <v>1617.21</v>
      </c>
      <c r="D1923" s="79">
        <v>4250.1900000000005</v>
      </c>
      <c r="E1923" s="79">
        <v>0</v>
      </c>
      <c r="F1923" s="79">
        <f>SUM(BASE_DATOS[[#This Row],[Capital($)]:[Interés
Resarcitorio($)]])</f>
        <v>5867.4000000000005</v>
      </c>
      <c r="G1923" s="8">
        <v>46615</v>
      </c>
      <c r="H1923" s="80" t="s">
        <v>50</v>
      </c>
      <c r="I1923" s="79" t="s">
        <v>6</v>
      </c>
      <c r="J1923" s="81">
        <v>120</v>
      </c>
      <c r="K1923" t="s">
        <v>47</v>
      </c>
    </row>
    <row r="1924" spans="2:12" x14ac:dyDescent="0.25">
      <c r="B1924" s="2">
        <v>87</v>
      </c>
      <c r="C1924" s="79">
        <v>1617.21</v>
      </c>
      <c r="D1924" s="79">
        <v>4250.1900000000005</v>
      </c>
      <c r="E1924" s="79">
        <v>782.32</v>
      </c>
      <c r="F1924" s="79">
        <f>SUM(BASE_DATOS[[#This Row],[Capital($)]:[Interés
Resarcitorio($)]])</f>
        <v>6649.72</v>
      </c>
      <c r="G1924" s="8">
        <v>46625</v>
      </c>
      <c r="H1924" s="80" t="s">
        <v>50</v>
      </c>
      <c r="I1924" s="79" t="s">
        <v>7</v>
      </c>
      <c r="J1924" s="81">
        <v>120</v>
      </c>
      <c r="K1924" t="s">
        <v>47</v>
      </c>
    </row>
    <row r="1925" spans="2:12" x14ac:dyDescent="0.25">
      <c r="B1925" s="2">
        <v>88</v>
      </c>
      <c r="C1925" s="79">
        <v>1617.21</v>
      </c>
      <c r="D1925" s="79">
        <v>4291.7519999999995</v>
      </c>
      <c r="E1925" s="79">
        <v>0</v>
      </c>
      <c r="F1925" s="79">
        <f>SUM(BASE_DATOS[[#This Row],[Capital($)]:[Interés
Resarcitorio($)]])</f>
        <v>5908.9619999999995</v>
      </c>
      <c r="G1925" s="8">
        <v>46646</v>
      </c>
      <c r="H1925" s="80" t="s">
        <v>50</v>
      </c>
      <c r="I1925" s="79" t="s">
        <v>6</v>
      </c>
      <c r="J1925" s="81">
        <v>120</v>
      </c>
      <c r="K1925" t="s">
        <v>47</v>
      </c>
    </row>
    <row r="1926" spans="2:12" x14ac:dyDescent="0.25">
      <c r="B1926" s="2">
        <v>88</v>
      </c>
      <c r="C1926" s="79">
        <v>1617.21</v>
      </c>
      <c r="D1926" s="79">
        <v>4291.7519999999995</v>
      </c>
      <c r="E1926" s="79">
        <v>787.86</v>
      </c>
      <c r="F1926" s="79">
        <f>SUM(BASE_DATOS[[#This Row],[Capital($)]:[Interés
Resarcitorio($)]])</f>
        <v>6696.8219999999992</v>
      </c>
      <c r="G1926" s="8">
        <v>46656</v>
      </c>
      <c r="H1926" s="80" t="s">
        <v>50</v>
      </c>
      <c r="I1926" s="79" t="s">
        <v>7</v>
      </c>
      <c r="J1926" s="81">
        <v>120</v>
      </c>
      <c r="K1926" t="s">
        <v>47</v>
      </c>
      <c r="L1926" s="1"/>
    </row>
    <row r="1927" spans="2:12" x14ac:dyDescent="0.25">
      <c r="B1927" s="2">
        <v>89</v>
      </c>
      <c r="C1927" s="79">
        <v>1617.21</v>
      </c>
      <c r="D1927" s="79">
        <v>4333.3140000000003</v>
      </c>
      <c r="E1927" s="79">
        <v>0</v>
      </c>
      <c r="F1927" s="79">
        <f>SUM(BASE_DATOS[[#This Row],[Capital($)]:[Interés
Resarcitorio($)]])</f>
        <v>5950.5240000000003</v>
      </c>
      <c r="G1927" s="8">
        <v>46676</v>
      </c>
      <c r="H1927" s="80" t="s">
        <v>50</v>
      </c>
      <c r="I1927" s="79" t="s">
        <v>6</v>
      </c>
      <c r="J1927" s="81">
        <v>120</v>
      </c>
      <c r="K1927" t="s">
        <v>47</v>
      </c>
      <c r="L1927" s="1"/>
    </row>
    <row r="1928" spans="2:12" x14ac:dyDescent="0.25">
      <c r="B1928" s="2">
        <v>89</v>
      </c>
      <c r="C1928" s="79">
        <v>1617.21</v>
      </c>
      <c r="D1928" s="79">
        <v>4333.3140000000003</v>
      </c>
      <c r="E1928" s="79">
        <v>793.4</v>
      </c>
      <c r="F1928" s="79">
        <f>SUM(BASE_DATOS[[#This Row],[Capital($)]:[Interés
Resarcitorio($)]])</f>
        <v>6743.924</v>
      </c>
      <c r="G1928" s="8">
        <v>46686</v>
      </c>
      <c r="H1928" s="80" t="s">
        <v>50</v>
      </c>
      <c r="I1928" s="79" t="s">
        <v>7</v>
      </c>
      <c r="J1928" s="81">
        <v>120</v>
      </c>
      <c r="K1928" t="s">
        <v>47</v>
      </c>
      <c r="L1928" s="1"/>
    </row>
    <row r="1929" spans="2:12" x14ac:dyDescent="0.25">
      <c r="B1929" s="2">
        <v>90</v>
      </c>
      <c r="C1929" s="79">
        <v>1617.21</v>
      </c>
      <c r="D1929" s="79">
        <v>4374.8760000000002</v>
      </c>
      <c r="E1929" s="79">
        <v>0</v>
      </c>
      <c r="F1929" s="79">
        <f>SUM(BASE_DATOS[[#This Row],[Capital($)]:[Interés
Resarcitorio($)]])</f>
        <v>5992.0860000000002</v>
      </c>
      <c r="G1929" s="8">
        <v>46707</v>
      </c>
      <c r="H1929" s="80" t="s">
        <v>50</v>
      </c>
      <c r="I1929" s="79" t="s">
        <v>6</v>
      </c>
      <c r="J1929" s="81">
        <v>120</v>
      </c>
      <c r="K1929" t="s">
        <v>47</v>
      </c>
    </row>
    <row r="1930" spans="2:12" x14ac:dyDescent="0.25">
      <c r="B1930" s="2">
        <v>90</v>
      </c>
      <c r="C1930" s="79">
        <v>1617.21</v>
      </c>
      <c r="D1930" s="79">
        <v>4374.8760000000002</v>
      </c>
      <c r="E1930" s="79">
        <v>798.94</v>
      </c>
      <c r="F1930" s="79">
        <f>SUM(BASE_DATOS[[#This Row],[Capital($)]:[Interés
Resarcitorio($)]])</f>
        <v>6791.0259999999998</v>
      </c>
      <c r="G1930" s="8">
        <v>46717</v>
      </c>
      <c r="H1930" s="80" t="s">
        <v>50</v>
      </c>
      <c r="I1930" s="79" t="s">
        <v>7</v>
      </c>
      <c r="J1930" s="81">
        <v>120</v>
      </c>
      <c r="K1930" t="s">
        <v>47</v>
      </c>
    </row>
    <row r="1931" spans="2:12" x14ac:dyDescent="0.25">
      <c r="B1931" s="2">
        <v>91</v>
      </c>
      <c r="C1931" s="79">
        <v>1617.21</v>
      </c>
      <c r="D1931" s="79">
        <v>4416.4390000000003</v>
      </c>
      <c r="E1931" s="79">
        <v>0</v>
      </c>
      <c r="F1931" s="79">
        <f>SUM(BASE_DATOS[[#This Row],[Capital($)]:[Interés
Resarcitorio($)]])</f>
        <v>6033.6490000000003</v>
      </c>
      <c r="G1931" s="8">
        <v>46737</v>
      </c>
      <c r="H1931" s="80" t="s">
        <v>50</v>
      </c>
      <c r="I1931" s="79" t="s">
        <v>6</v>
      </c>
      <c r="J1931" s="81">
        <v>120</v>
      </c>
      <c r="K1931" t="s">
        <v>47</v>
      </c>
    </row>
    <row r="1932" spans="2:12" x14ac:dyDescent="0.25">
      <c r="B1932" s="2">
        <v>91</v>
      </c>
      <c r="C1932" s="79">
        <v>1617.21</v>
      </c>
      <c r="D1932" s="79">
        <v>4416.4390000000003</v>
      </c>
      <c r="E1932" s="79">
        <v>804.49</v>
      </c>
      <c r="F1932" s="79">
        <f>SUM(BASE_DATOS[[#This Row],[Capital($)]:[Interés
Resarcitorio($)]])</f>
        <v>6838.1390000000001</v>
      </c>
      <c r="G1932" s="8">
        <v>46747</v>
      </c>
      <c r="H1932" s="80" t="s">
        <v>50</v>
      </c>
      <c r="I1932" s="79" t="s">
        <v>7</v>
      </c>
      <c r="J1932" s="81">
        <v>120</v>
      </c>
      <c r="K1932" t="s">
        <v>47</v>
      </c>
    </row>
    <row r="1933" spans="2:12" x14ac:dyDescent="0.25">
      <c r="B1933" s="2">
        <v>92</v>
      </c>
      <c r="C1933" s="79">
        <v>1617.21</v>
      </c>
      <c r="D1933" s="79">
        <v>4458.0010000000002</v>
      </c>
      <c r="E1933" s="79">
        <v>0</v>
      </c>
      <c r="F1933" s="79">
        <f>SUM(BASE_DATOS[[#This Row],[Capital($)]:[Interés
Resarcitorio($)]])</f>
        <v>6075.2110000000002</v>
      </c>
      <c r="G1933" s="8">
        <v>46768</v>
      </c>
      <c r="H1933" s="80" t="s">
        <v>50</v>
      </c>
      <c r="I1933" s="79" t="s">
        <v>6</v>
      </c>
      <c r="J1933" s="81">
        <v>120</v>
      </c>
      <c r="K1933" t="s">
        <v>47</v>
      </c>
    </row>
    <row r="1934" spans="2:12" x14ac:dyDescent="0.25">
      <c r="B1934" s="2">
        <v>92</v>
      </c>
      <c r="C1934" s="79">
        <v>1617.21</v>
      </c>
      <c r="D1934" s="79">
        <v>4458.0010000000002</v>
      </c>
      <c r="E1934" s="79">
        <v>810.03</v>
      </c>
      <c r="F1934" s="79">
        <f>SUM(BASE_DATOS[[#This Row],[Capital($)]:[Interés
Resarcitorio($)]])</f>
        <v>6885.241</v>
      </c>
      <c r="G1934" s="8">
        <v>46778</v>
      </c>
      <c r="H1934" s="80" t="s">
        <v>50</v>
      </c>
      <c r="I1934" s="79" t="s">
        <v>7</v>
      </c>
      <c r="J1934" s="81">
        <v>120</v>
      </c>
      <c r="K1934" t="s">
        <v>47</v>
      </c>
    </row>
    <row r="1935" spans="2:12" x14ac:dyDescent="0.25">
      <c r="B1935" s="2">
        <v>93</v>
      </c>
      <c r="C1935" s="79">
        <v>1617.21</v>
      </c>
      <c r="D1935" s="79">
        <v>4499.5630000000001</v>
      </c>
      <c r="E1935" s="79">
        <v>0</v>
      </c>
      <c r="F1935" s="79">
        <f>SUM(BASE_DATOS[[#This Row],[Capital($)]:[Interés
Resarcitorio($)]])</f>
        <v>6116.7730000000001</v>
      </c>
      <c r="G1935" s="8">
        <v>46799</v>
      </c>
      <c r="H1935" s="80" t="s">
        <v>50</v>
      </c>
      <c r="I1935" s="79" t="s">
        <v>6</v>
      </c>
      <c r="J1935" s="81">
        <v>120</v>
      </c>
      <c r="K1935" t="s">
        <v>47</v>
      </c>
    </row>
    <row r="1936" spans="2:12" x14ac:dyDescent="0.25">
      <c r="B1936" s="2">
        <v>93</v>
      </c>
      <c r="C1936" s="79">
        <v>1617.21</v>
      </c>
      <c r="D1936" s="79">
        <v>4499.5630000000001</v>
      </c>
      <c r="E1936" s="79">
        <v>815.57</v>
      </c>
      <c r="F1936" s="79">
        <f>SUM(BASE_DATOS[[#This Row],[Capital($)]:[Interés
Resarcitorio($)]])</f>
        <v>6932.3429999999998</v>
      </c>
      <c r="G1936" s="8">
        <v>46809</v>
      </c>
      <c r="H1936" s="80" t="s">
        <v>50</v>
      </c>
      <c r="I1936" s="79" t="s">
        <v>7</v>
      </c>
      <c r="J1936" s="81">
        <v>120</v>
      </c>
      <c r="K1936" t="s">
        <v>47</v>
      </c>
    </row>
    <row r="1937" spans="2:11" x14ac:dyDescent="0.25">
      <c r="B1937" s="2">
        <v>94</v>
      </c>
      <c r="C1937" s="79">
        <v>1617.21</v>
      </c>
      <c r="D1937" s="79">
        <v>4541.1260000000002</v>
      </c>
      <c r="E1937" s="79">
        <v>0</v>
      </c>
      <c r="F1937" s="79">
        <f>SUM(BASE_DATOS[[#This Row],[Capital($)]:[Interés
Resarcitorio($)]])</f>
        <v>6158.3360000000002</v>
      </c>
      <c r="G1937" s="8">
        <v>46828</v>
      </c>
      <c r="H1937" s="80" t="s">
        <v>50</v>
      </c>
      <c r="I1937" s="79" t="s">
        <v>6</v>
      </c>
      <c r="J1937" s="81">
        <v>120</v>
      </c>
      <c r="K1937" t="s">
        <v>47</v>
      </c>
    </row>
    <row r="1938" spans="2:11" x14ac:dyDescent="0.25">
      <c r="B1938" s="2">
        <v>94</v>
      </c>
      <c r="C1938" s="79">
        <v>1617.21</v>
      </c>
      <c r="D1938" s="79">
        <v>4541.1260000000002</v>
      </c>
      <c r="E1938" s="79">
        <v>821.11</v>
      </c>
      <c r="F1938" s="79">
        <f>SUM(BASE_DATOS[[#This Row],[Capital($)]:[Interés
Resarcitorio($)]])</f>
        <v>6979.4459999999999</v>
      </c>
      <c r="G1938" s="8">
        <v>46838</v>
      </c>
      <c r="H1938" s="80" t="s">
        <v>50</v>
      </c>
      <c r="I1938" s="79" t="s">
        <v>7</v>
      </c>
      <c r="J1938" s="81">
        <v>120</v>
      </c>
      <c r="K1938" t="s">
        <v>47</v>
      </c>
    </row>
    <row r="1939" spans="2:11" x14ac:dyDescent="0.25">
      <c r="B1939" s="2">
        <v>95</v>
      </c>
      <c r="C1939" s="79">
        <v>1617.21</v>
      </c>
      <c r="D1939" s="79">
        <v>4582.6880000000001</v>
      </c>
      <c r="E1939" s="79">
        <v>0</v>
      </c>
      <c r="F1939" s="79">
        <f>SUM(BASE_DATOS[[#This Row],[Capital($)]:[Interés
Resarcitorio($)]])</f>
        <v>6199.8980000000001</v>
      </c>
      <c r="G1939" s="8">
        <v>46859</v>
      </c>
      <c r="H1939" s="80" t="s">
        <v>50</v>
      </c>
      <c r="I1939" s="79" t="s">
        <v>6</v>
      </c>
      <c r="J1939" s="81">
        <v>120</v>
      </c>
      <c r="K1939" t="s">
        <v>47</v>
      </c>
    </row>
    <row r="1940" spans="2:11" x14ac:dyDescent="0.25">
      <c r="B1940" s="2">
        <v>95</v>
      </c>
      <c r="C1940" s="79">
        <v>1617.21</v>
      </c>
      <c r="D1940" s="79">
        <v>4582.6880000000001</v>
      </c>
      <c r="E1940" s="79">
        <v>826.65</v>
      </c>
      <c r="F1940" s="79">
        <f>SUM(BASE_DATOS[[#This Row],[Capital($)]:[Interés
Resarcitorio($)]])</f>
        <v>7026.5479999999998</v>
      </c>
      <c r="G1940" s="8">
        <v>46869</v>
      </c>
      <c r="H1940" s="80" t="s">
        <v>50</v>
      </c>
      <c r="I1940" s="79" t="s">
        <v>7</v>
      </c>
      <c r="J1940" s="81">
        <v>120</v>
      </c>
      <c r="K1940" t="s">
        <v>47</v>
      </c>
    </row>
    <row r="1941" spans="2:11" x14ac:dyDescent="0.25">
      <c r="B1941" s="2">
        <v>96</v>
      </c>
      <c r="C1941" s="79">
        <v>1617.21</v>
      </c>
      <c r="D1941" s="79">
        <v>4624.25</v>
      </c>
      <c r="E1941" s="79">
        <v>0</v>
      </c>
      <c r="F1941" s="79">
        <f>SUM(BASE_DATOS[[#This Row],[Capital($)]:[Interés
Resarcitorio($)]])</f>
        <v>6241.46</v>
      </c>
      <c r="G1941" s="8">
        <v>46889</v>
      </c>
      <c r="H1941" s="80" t="s">
        <v>50</v>
      </c>
      <c r="I1941" s="79" t="s">
        <v>6</v>
      </c>
      <c r="J1941" s="81">
        <v>120</v>
      </c>
      <c r="K1941" t="s">
        <v>47</v>
      </c>
    </row>
    <row r="1942" spans="2:11" x14ac:dyDescent="0.25">
      <c r="B1942" s="2">
        <v>96</v>
      </c>
      <c r="C1942" s="79">
        <v>1617.21</v>
      </c>
      <c r="D1942" s="79">
        <v>4624.25</v>
      </c>
      <c r="E1942" s="79">
        <v>832.19</v>
      </c>
      <c r="F1942" s="79">
        <f>SUM(BASE_DATOS[[#This Row],[Capital($)]:[Interés
Resarcitorio($)]])</f>
        <v>7073.65</v>
      </c>
      <c r="G1942" s="8">
        <v>46899</v>
      </c>
      <c r="H1942" s="80" t="s">
        <v>50</v>
      </c>
      <c r="I1942" s="79" t="s">
        <v>7</v>
      </c>
      <c r="J1942" s="81">
        <v>120</v>
      </c>
      <c r="K1942" t="s">
        <v>47</v>
      </c>
    </row>
    <row r="1943" spans="2:11" x14ac:dyDescent="0.25">
      <c r="B1943" s="2">
        <v>97</v>
      </c>
      <c r="C1943" s="79">
        <v>1617.21</v>
      </c>
      <c r="D1943" s="79">
        <v>4665.8130000000001</v>
      </c>
      <c r="E1943" s="79">
        <v>0</v>
      </c>
      <c r="F1943" s="79">
        <f>SUM(BASE_DATOS[[#This Row],[Capital($)]:[Interés
Resarcitorio($)]])</f>
        <v>6283.0230000000001</v>
      </c>
      <c r="G1943" s="8">
        <v>46920</v>
      </c>
      <c r="H1943" s="80" t="s">
        <v>50</v>
      </c>
      <c r="I1943" s="79" t="s">
        <v>6</v>
      </c>
      <c r="J1943" s="81">
        <v>120</v>
      </c>
      <c r="K1943" t="s">
        <v>47</v>
      </c>
    </row>
    <row r="1944" spans="2:11" x14ac:dyDescent="0.25">
      <c r="B1944" s="2">
        <v>97</v>
      </c>
      <c r="C1944" s="79">
        <v>1617.21</v>
      </c>
      <c r="D1944" s="79">
        <v>4665.8130000000001</v>
      </c>
      <c r="E1944" s="79">
        <v>837.74</v>
      </c>
      <c r="F1944" s="79">
        <f>SUM(BASE_DATOS[[#This Row],[Capital($)]:[Interés
Resarcitorio($)]])</f>
        <v>7120.7629999999999</v>
      </c>
      <c r="G1944" s="8">
        <v>46930</v>
      </c>
      <c r="H1944" s="80" t="s">
        <v>50</v>
      </c>
      <c r="I1944" s="79" t="s">
        <v>7</v>
      </c>
      <c r="J1944" s="81">
        <v>120</v>
      </c>
      <c r="K1944" t="s">
        <v>47</v>
      </c>
    </row>
    <row r="1945" spans="2:11" x14ac:dyDescent="0.25">
      <c r="B1945" s="2">
        <v>98</v>
      </c>
      <c r="C1945" s="79">
        <v>1617.21</v>
      </c>
      <c r="D1945" s="79">
        <v>4707.375</v>
      </c>
      <c r="E1945" s="79">
        <v>0</v>
      </c>
      <c r="F1945" s="79">
        <f>SUM(BASE_DATOS[[#This Row],[Capital($)]:[Interés
Resarcitorio($)]])</f>
        <v>6324.585</v>
      </c>
      <c r="G1945" s="8">
        <v>46950</v>
      </c>
      <c r="H1945" s="80" t="s">
        <v>50</v>
      </c>
      <c r="I1945" s="79" t="s">
        <v>6</v>
      </c>
      <c r="J1945" s="81">
        <v>120</v>
      </c>
      <c r="K1945" t="s">
        <v>47</v>
      </c>
    </row>
    <row r="1946" spans="2:11" x14ac:dyDescent="0.25">
      <c r="B1946" s="2">
        <v>98</v>
      </c>
      <c r="C1946" s="79">
        <v>1617.21</v>
      </c>
      <c r="D1946" s="79">
        <v>4707.375</v>
      </c>
      <c r="E1946" s="79">
        <v>843.28</v>
      </c>
      <c r="F1946" s="79">
        <f>SUM(BASE_DATOS[[#This Row],[Capital($)]:[Interés
Resarcitorio($)]])</f>
        <v>7167.8649999999998</v>
      </c>
      <c r="G1946" s="8">
        <v>46960</v>
      </c>
      <c r="H1946" s="80" t="s">
        <v>50</v>
      </c>
      <c r="I1946" s="79" t="s">
        <v>7</v>
      </c>
      <c r="J1946" s="81">
        <v>120</v>
      </c>
      <c r="K1946" t="s">
        <v>47</v>
      </c>
    </row>
    <row r="1947" spans="2:11" x14ac:dyDescent="0.25">
      <c r="B1947" s="2">
        <v>99</v>
      </c>
      <c r="C1947" s="79">
        <v>1617.21</v>
      </c>
      <c r="D1947" s="79">
        <v>4748.9369999999999</v>
      </c>
      <c r="E1947" s="79">
        <v>0</v>
      </c>
      <c r="F1947" s="79">
        <f>SUM(BASE_DATOS[[#This Row],[Capital($)]:[Interés
Resarcitorio($)]])</f>
        <v>6366.1469999999999</v>
      </c>
      <c r="G1947" s="8">
        <v>46981</v>
      </c>
      <c r="H1947" s="80" t="s">
        <v>50</v>
      </c>
      <c r="I1947" s="79" t="s">
        <v>6</v>
      </c>
      <c r="J1947" s="81">
        <v>120</v>
      </c>
      <c r="K1947" t="s">
        <v>47</v>
      </c>
    </row>
    <row r="1948" spans="2:11" x14ac:dyDescent="0.25">
      <c r="B1948" s="2">
        <v>99</v>
      </c>
      <c r="C1948" s="79">
        <v>1617.21</v>
      </c>
      <c r="D1948" s="79">
        <v>4748.9369999999999</v>
      </c>
      <c r="E1948" s="79">
        <v>848.82</v>
      </c>
      <c r="F1948" s="79">
        <f>SUM(BASE_DATOS[[#This Row],[Capital($)]:[Interés
Resarcitorio($)]])</f>
        <v>7214.9669999999996</v>
      </c>
      <c r="G1948" s="8">
        <v>46991</v>
      </c>
      <c r="H1948" s="80" t="s">
        <v>50</v>
      </c>
      <c r="I1948" s="79" t="s">
        <v>7</v>
      </c>
      <c r="J1948" s="81">
        <v>120</v>
      </c>
      <c r="K1948" t="s">
        <v>47</v>
      </c>
    </row>
    <row r="1949" spans="2:11" x14ac:dyDescent="0.25">
      <c r="B1949" s="2">
        <v>100</v>
      </c>
      <c r="C1949" s="79">
        <v>1617.21</v>
      </c>
      <c r="D1949" s="79">
        <v>4790.4989999999998</v>
      </c>
      <c r="E1949" s="79">
        <v>0</v>
      </c>
      <c r="F1949" s="79">
        <f>SUM(BASE_DATOS[[#This Row],[Capital($)]:[Interés
Resarcitorio($)]])</f>
        <v>6407.7089999999998</v>
      </c>
      <c r="G1949" s="8">
        <v>47012</v>
      </c>
      <c r="H1949" s="80" t="s">
        <v>50</v>
      </c>
      <c r="I1949" s="79" t="s">
        <v>6</v>
      </c>
      <c r="J1949" s="81">
        <v>120</v>
      </c>
      <c r="K1949" t="s">
        <v>47</v>
      </c>
    </row>
    <row r="1950" spans="2:11" x14ac:dyDescent="0.25">
      <c r="B1950" s="2">
        <v>100</v>
      </c>
      <c r="C1950" s="79">
        <v>1617.21</v>
      </c>
      <c r="D1950" s="79">
        <v>4790.4989999999998</v>
      </c>
      <c r="E1950" s="79">
        <v>854.36</v>
      </c>
      <c r="F1950" s="79">
        <f>SUM(BASE_DATOS[[#This Row],[Capital($)]:[Interés
Resarcitorio($)]])</f>
        <v>7262.0689999999995</v>
      </c>
      <c r="G1950" s="8">
        <v>47022</v>
      </c>
      <c r="H1950" s="80" t="s">
        <v>50</v>
      </c>
      <c r="I1950" s="79" t="s">
        <v>7</v>
      </c>
      <c r="J1950" s="81">
        <v>120</v>
      </c>
      <c r="K1950" t="s">
        <v>47</v>
      </c>
    </row>
    <row r="1951" spans="2:11" x14ac:dyDescent="0.25">
      <c r="B1951" s="2">
        <v>101</v>
      </c>
      <c r="C1951" s="79">
        <v>1617.21</v>
      </c>
      <c r="D1951" s="79">
        <v>4832.0619999999999</v>
      </c>
      <c r="E1951" s="79">
        <v>0</v>
      </c>
      <c r="F1951" s="79">
        <f>SUM(BASE_DATOS[[#This Row],[Capital($)]:[Interés
Resarcitorio($)]])</f>
        <v>6449.2719999999999</v>
      </c>
      <c r="G1951" s="8">
        <v>47042</v>
      </c>
      <c r="H1951" s="80" t="s">
        <v>50</v>
      </c>
      <c r="I1951" s="79" t="s">
        <v>6</v>
      </c>
      <c r="J1951" s="81">
        <v>120</v>
      </c>
      <c r="K1951" t="s">
        <v>47</v>
      </c>
    </row>
    <row r="1952" spans="2:11" x14ac:dyDescent="0.25">
      <c r="B1952" s="2">
        <v>101</v>
      </c>
      <c r="C1952" s="79">
        <v>1617.21</v>
      </c>
      <c r="D1952" s="79">
        <v>4832.0619999999999</v>
      </c>
      <c r="E1952" s="79">
        <v>859.9</v>
      </c>
      <c r="F1952" s="79">
        <f>SUM(BASE_DATOS[[#This Row],[Capital($)]:[Interés
Resarcitorio($)]])</f>
        <v>7309.1719999999996</v>
      </c>
      <c r="G1952" s="8">
        <v>47052</v>
      </c>
      <c r="H1952" s="80" t="s">
        <v>50</v>
      </c>
      <c r="I1952" s="79" t="s">
        <v>7</v>
      </c>
      <c r="J1952" s="81">
        <v>120</v>
      </c>
      <c r="K1952" t="s">
        <v>47</v>
      </c>
    </row>
    <row r="1953" spans="2:11" x14ac:dyDescent="0.25">
      <c r="B1953" s="2">
        <v>102</v>
      </c>
      <c r="C1953" s="79">
        <v>1617.21</v>
      </c>
      <c r="D1953" s="79">
        <v>4873.6239999999998</v>
      </c>
      <c r="E1953" s="79">
        <v>0</v>
      </c>
      <c r="F1953" s="79">
        <f>SUM(BASE_DATOS[[#This Row],[Capital($)]:[Interés
Resarcitorio($)]])</f>
        <v>6490.8339999999998</v>
      </c>
      <c r="G1953" s="8">
        <v>47073</v>
      </c>
      <c r="H1953" s="80" t="s">
        <v>50</v>
      </c>
      <c r="I1953" s="79" t="s">
        <v>6</v>
      </c>
      <c r="J1953" s="81">
        <v>120</v>
      </c>
      <c r="K1953" t="s">
        <v>47</v>
      </c>
    </row>
    <row r="1954" spans="2:11" x14ac:dyDescent="0.25">
      <c r="B1954" s="2">
        <v>102</v>
      </c>
      <c r="C1954" s="79">
        <v>1617.21</v>
      </c>
      <c r="D1954" s="79">
        <v>4873.6239999999998</v>
      </c>
      <c r="E1954" s="79">
        <v>865.44</v>
      </c>
      <c r="F1954" s="79">
        <f>SUM(BASE_DATOS[[#This Row],[Capital($)]:[Interés
Resarcitorio($)]])</f>
        <v>7356.2739999999994</v>
      </c>
      <c r="G1954" s="8">
        <v>47083</v>
      </c>
      <c r="H1954" s="80" t="s">
        <v>50</v>
      </c>
      <c r="I1954" s="79" t="s">
        <v>7</v>
      </c>
      <c r="J1954" s="81">
        <v>120</v>
      </c>
      <c r="K1954" t="s">
        <v>47</v>
      </c>
    </row>
    <row r="1955" spans="2:11" x14ac:dyDescent="0.25">
      <c r="B1955" s="2">
        <v>103</v>
      </c>
      <c r="C1955" s="79">
        <v>1617.21</v>
      </c>
      <c r="D1955" s="79">
        <v>4915.1859999999997</v>
      </c>
      <c r="E1955" s="79">
        <v>0</v>
      </c>
      <c r="F1955" s="79">
        <f>SUM(BASE_DATOS[[#This Row],[Capital($)]:[Interés
Resarcitorio($)]])</f>
        <v>6532.3959999999997</v>
      </c>
      <c r="G1955" s="8">
        <v>47103</v>
      </c>
      <c r="H1955" s="80" t="s">
        <v>50</v>
      </c>
      <c r="I1955" s="79" t="s">
        <v>6</v>
      </c>
      <c r="J1955" s="81">
        <v>120</v>
      </c>
      <c r="K1955" t="s">
        <v>47</v>
      </c>
    </row>
    <row r="1956" spans="2:11" x14ac:dyDescent="0.25">
      <c r="B1956" s="2">
        <v>103</v>
      </c>
      <c r="C1956" s="79">
        <v>1617.21</v>
      </c>
      <c r="D1956" s="79">
        <v>4915.1859999999997</v>
      </c>
      <c r="E1956" s="79">
        <v>870.99</v>
      </c>
      <c r="F1956" s="79">
        <f>SUM(BASE_DATOS[[#This Row],[Capital($)]:[Interés
Resarcitorio($)]])</f>
        <v>7403.3859999999995</v>
      </c>
      <c r="G1956" s="8">
        <v>47113</v>
      </c>
      <c r="H1956" s="80" t="s">
        <v>50</v>
      </c>
      <c r="I1956" s="79" t="s">
        <v>7</v>
      </c>
      <c r="J1956" s="81">
        <v>120</v>
      </c>
      <c r="K1956" t="s">
        <v>47</v>
      </c>
    </row>
    <row r="1957" spans="2:11" x14ac:dyDescent="0.25">
      <c r="B1957" s="2">
        <v>104</v>
      </c>
      <c r="C1957" s="79">
        <v>1617.21</v>
      </c>
      <c r="D1957" s="79">
        <v>4956.7489999999998</v>
      </c>
      <c r="E1957" s="79">
        <v>0</v>
      </c>
      <c r="F1957" s="79">
        <f>SUM(BASE_DATOS[[#This Row],[Capital($)]:[Interés
Resarcitorio($)]])</f>
        <v>6573.9589999999998</v>
      </c>
      <c r="G1957" s="8">
        <v>47134</v>
      </c>
      <c r="H1957" s="80" t="s">
        <v>50</v>
      </c>
      <c r="I1957" s="79" t="s">
        <v>6</v>
      </c>
      <c r="J1957" s="81">
        <v>120</v>
      </c>
      <c r="K1957" t="s">
        <v>47</v>
      </c>
    </row>
    <row r="1958" spans="2:11" x14ac:dyDescent="0.25">
      <c r="B1958" s="2">
        <v>104</v>
      </c>
      <c r="C1958" s="79">
        <v>1617.21</v>
      </c>
      <c r="D1958" s="79">
        <v>4956.7489999999998</v>
      </c>
      <c r="E1958" s="79">
        <v>876.53</v>
      </c>
      <c r="F1958" s="79">
        <f>SUM(BASE_DATOS[[#This Row],[Capital($)]:[Interés
Resarcitorio($)]])</f>
        <v>7450.4889999999996</v>
      </c>
      <c r="G1958" s="8">
        <v>47144</v>
      </c>
      <c r="H1958" s="80" t="s">
        <v>50</v>
      </c>
      <c r="I1958" s="79" t="s">
        <v>7</v>
      </c>
      <c r="J1958" s="81">
        <v>120</v>
      </c>
      <c r="K1958" t="s">
        <v>47</v>
      </c>
    </row>
    <row r="1959" spans="2:11" x14ac:dyDescent="0.25">
      <c r="B1959" s="2">
        <v>105</v>
      </c>
      <c r="C1959" s="79">
        <v>1617.21</v>
      </c>
      <c r="D1959" s="79">
        <v>4998.3109999999997</v>
      </c>
      <c r="E1959" s="79">
        <v>0</v>
      </c>
      <c r="F1959" s="79">
        <f>SUM(BASE_DATOS[[#This Row],[Capital($)]:[Interés
Resarcitorio($)]])</f>
        <v>6615.5209999999997</v>
      </c>
      <c r="G1959" s="8">
        <v>47165</v>
      </c>
      <c r="H1959" s="80" t="s">
        <v>50</v>
      </c>
      <c r="I1959" s="79" t="s">
        <v>6</v>
      </c>
      <c r="J1959" s="81">
        <v>120</v>
      </c>
      <c r="K1959" t="s">
        <v>47</v>
      </c>
    </row>
    <row r="1960" spans="2:11" x14ac:dyDescent="0.25">
      <c r="B1960" s="2">
        <v>105</v>
      </c>
      <c r="C1960" s="79">
        <v>1617.21</v>
      </c>
      <c r="D1960" s="79">
        <v>4998.3109999999997</v>
      </c>
      <c r="E1960" s="79">
        <v>882.07</v>
      </c>
      <c r="F1960" s="79">
        <f>SUM(BASE_DATOS[[#This Row],[Capital($)]:[Interés
Resarcitorio($)]])</f>
        <v>7497.5909999999994</v>
      </c>
      <c r="G1960" s="8">
        <v>47175</v>
      </c>
      <c r="H1960" s="80" t="s">
        <v>50</v>
      </c>
      <c r="I1960" s="79" t="s">
        <v>7</v>
      </c>
      <c r="J1960" s="81">
        <v>120</v>
      </c>
      <c r="K1960" t="s">
        <v>47</v>
      </c>
    </row>
    <row r="1961" spans="2:11" x14ac:dyDescent="0.25">
      <c r="B1961" s="2">
        <v>106</v>
      </c>
      <c r="C1961" s="79">
        <v>1617.21</v>
      </c>
      <c r="D1961" s="79">
        <v>5039.8730000000005</v>
      </c>
      <c r="E1961" s="79">
        <v>0</v>
      </c>
      <c r="F1961" s="79">
        <f>SUM(BASE_DATOS[[#This Row],[Capital($)]:[Interés
Resarcitorio($)]])</f>
        <v>6657.0830000000005</v>
      </c>
      <c r="G1961" s="8">
        <v>47193</v>
      </c>
      <c r="H1961" s="80" t="s">
        <v>50</v>
      </c>
      <c r="I1961" s="79" t="s">
        <v>6</v>
      </c>
      <c r="J1961" s="81">
        <v>120</v>
      </c>
      <c r="K1961" t="s">
        <v>47</v>
      </c>
    </row>
    <row r="1962" spans="2:11" x14ac:dyDescent="0.25">
      <c r="B1962" s="2">
        <v>106</v>
      </c>
      <c r="C1962" s="79">
        <v>1617.21</v>
      </c>
      <c r="D1962" s="79">
        <v>5039.8730000000005</v>
      </c>
      <c r="E1962" s="79">
        <v>887.61</v>
      </c>
      <c r="F1962" s="79">
        <f>SUM(BASE_DATOS[[#This Row],[Capital($)]:[Interés
Resarcitorio($)]])</f>
        <v>7544.6930000000002</v>
      </c>
      <c r="G1962" s="8">
        <v>47203</v>
      </c>
      <c r="H1962" s="80" t="s">
        <v>50</v>
      </c>
      <c r="I1962" s="79" t="s">
        <v>7</v>
      </c>
      <c r="J1962" s="81">
        <v>120</v>
      </c>
      <c r="K1962" t="s">
        <v>47</v>
      </c>
    </row>
    <row r="1963" spans="2:11" x14ac:dyDescent="0.25">
      <c r="B1963" s="2">
        <v>107</v>
      </c>
      <c r="C1963" s="79">
        <v>1617.21</v>
      </c>
      <c r="D1963" s="79">
        <v>5081.4359999999997</v>
      </c>
      <c r="E1963" s="79">
        <v>0</v>
      </c>
      <c r="F1963" s="79">
        <f>SUM(BASE_DATOS[[#This Row],[Capital($)]:[Interés
Resarcitorio($)]])</f>
        <v>6698.6459999999997</v>
      </c>
      <c r="G1963" s="8">
        <v>47224</v>
      </c>
      <c r="H1963" s="80" t="s">
        <v>50</v>
      </c>
      <c r="I1963" s="79" t="s">
        <v>6</v>
      </c>
      <c r="J1963" s="81">
        <v>120</v>
      </c>
      <c r="K1963" t="s">
        <v>47</v>
      </c>
    </row>
    <row r="1964" spans="2:11" x14ac:dyDescent="0.25">
      <c r="B1964" s="2">
        <v>107</v>
      </c>
      <c r="C1964" s="79">
        <v>1617.21</v>
      </c>
      <c r="D1964" s="79">
        <v>5081.4359999999997</v>
      </c>
      <c r="E1964" s="79">
        <v>893.15</v>
      </c>
      <c r="F1964" s="79">
        <f>SUM(BASE_DATOS[[#This Row],[Capital($)]:[Interés
Resarcitorio($)]])</f>
        <v>7591.7959999999994</v>
      </c>
      <c r="G1964" s="8">
        <v>47234</v>
      </c>
      <c r="H1964" s="80" t="s">
        <v>50</v>
      </c>
      <c r="I1964" s="79" t="s">
        <v>7</v>
      </c>
      <c r="J1964" s="81">
        <v>120</v>
      </c>
      <c r="K1964" t="s">
        <v>47</v>
      </c>
    </row>
    <row r="1965" spans="2:11" x14ac:dyDescent="0.25">
      <c r="B1965" s="2">
        <v>108</v>
      </c>
      <c r="C1965" s="79">
        <v>1617.21</v>
      </c>
      <c r="D1965" s="79">
        <v>5122.9980000000005</v>
      </c>
      <c r="E1965" s="79">
        <v>0</v>
      </c>
      <c r="F1965" s="79">
        <f>SUM(BASE_DATOS[[#This Row],[Capital($)]:[Interés
Resarcitorio($)]])</f>
        <v>6740.2080000000005</v>
      </c>
      <c r="G1965" s="8">
        <v>47254</v>
      </c>
      <c r="H1965" s="80" t="s">
        <v>50</v>
      </c>
      <c r="I1965" s="79" t="s">
        <v>6</v>
      </c>
      <c r="J1965" s="81">
        <v>120</v>
      </c>
      <c r="K1965" t="s">
        <v>47</v>
      </c>
    </row>
    <row r="1966" spans="2:11" x14ac:dyDescent="0.25">
      <c r="B1966" s="2">
        <v>108</v>
      </c>
      <c r="C1966" s="79">
        <v>1617.21</v>
      </c>
      <c r="D1966" s="79">
        <v>5122.9980000000005</v>
      </c>
      <c r="E1966" s="79">
        <v>898.69</v>
      </c>
      <c r="F1966" s="79">
        <f>SUM(BASE_DATOS[[#This Row],[Capital($)]:[Interés
Resarcitorio($)]])</f>
        <v>7638.898000000001</v>
      </c>
      <c r="G1966" s="8">
        <v>47264</v>
      </c>
      <c r="H1966" s="80" t="s">
        <v>50</v>
      </c>
      <c r="I1966" s="79" t="s">
        <v>7</v>
      </c>
      <c r="J1966" s="81">
        <v>120</v>
      </c>
      <c r="K1966" t="s">
        <v>47</v>
      </c>
    </row>
    <row r="1967" spans="2:11" x14ac:dyDescent="0.25">
      <c r="B1967" s="2">
        <v>109</v>
      </c>
      <c r="C1967" s="79">
        <v>1617.21</v>
      </c>
      <c r="D1967" s="79">
        <v>5164.5599999999995</v>
      </c>
      <c r="E1967" s="79">
        <v>0</v>
      </c>
      <c r="F1967" s="79">
        <f>SUM(BASE_DATOS[[#This Row],[Capital($)]:[Interés
Resarcitorio($)]])</f>
        <v>6781.7699999999995</v>
      </c>
      <c r="G1967" s="8">
        <v>47285</v>
      </c>
      <c r="H1967" s="80" t="s">
        <v>50</v>
      </c>
      <c r="I1967" s="79" t="s">
        <v>6</v>
      </c>
      <c r="J1967" s="81">
        <v>120</v>
      </c>
      <c r="K1967" t="s">
        <v>47</v>
      </c>
    </row>
    <row r="1968" spans="2:11" x14ac:dyDescent="0.25">
      <c r="B1968" s="2">
        <v>109</v>
      </c>
      <c r="C1968" s="79">
        <v>1617.21</v>
      </c>
      <c r="D1968" s="79">
        <v>5164.5599999999995</v>
      </c>
      <c r="E1968" s="79">
        <v>904.24</v>
      </c>
      <c r="F1968" s="79">
        <f>SUM(BASE_DATOS[[#This Row],[Capital($)]:[Interés
Resarcitorio($)]])</f>
        <v>7686.0099999999993</v>
      </c>
      <c r="G1968" s="8">
        <v>47295</v>
      </c>
      <c r="H1968" s="80" t="s">
        <v>50</v>
      </c>
      <c r="I1968" s="79" t="s">
        <v>7</v>
      </c>
      <c r="J1968" s="81">
        <v>120</v>
      </c>
      <c r="K1968" t="s">
        <v>47</v>
      </c>
    </row>
    <row r="1969" spans="2:11" x14ac:dyDescent="0.25">
      <c r="B1969" s="2">
        <v>110</v>
      </c>
      <c r="C1969" s="79">
        <v>1617.21</v>
      </c>
      <c r="D1969" s="79">
        <v>5206.1220000000003</v>
      </c>
      <c r="E1969" s="79">
        <v>0</v>
      </c>
      <c r="F1969" s="79">
        <f>SUM(BASE_DATOS[[#This Row],[Capital($)]:[Interés
Resarcitorio($)]])</f>
        <v>6823.3320000000003</v>
      </c>
      <c r="G1969" s="8">
        <v>47315</v>
      </c>
      <c r="H1969" s="80" t="s">
        <v>50</v>
      </c>
      <c r="I1969" s="79" t="s">
        <v>6</v>
      </c>
      <c r="J1969" s="81">
        <v>120</v>
      </c>
      <c r="K1969" t="s">
        <v>47</v>
      </c>
    </row>
    <row r="1970" spans="2:11" x14ac:dyDescent="0.25">
      <c r="B1970" s="2">
        <v>110</v>
      </c>
      <c r="C1970" s="79">
        <v>1617.21</v>
      </c>
      <c r="D1970" s="79">
        <v>5206.1220000000003</v>
      </c>
      <c r="E1970" s="79">
        <v>909.78</v>
      </c>
      <c r="F1970" s="79">
        <f>SUM(BASE_DATOS[[#This Row],[Capital($)]:[Interés
Resarcitorio($)]])</f>
        <v>7733.1120000000001</v>
      </c>
      <c r="G1970" s="8">
        <v>47325</v>
      </c>
      <c r="H1970" s="80" t="s">
        <v>50</v>
      </c>
      <c r="I1970" s="79" t="s">
        <v>7</v>
      </c>
      <c r="J1970" s="81">
        <v>120</v>
      </c>
      <c r="K1970" t="s">
        <v>47</v>
      </c>
    </row>
    <row r="1971" spans="2:11" x14ac:dyDescent="0.25">
      <c r="B1971" s="2">
        <v>111</v>
      </c>
      <c r="C1971" s="79">
        <v>1617.21</v>
      </c>
      <c r="D1971" s="79">
        <v>5247.6849999999995</v>
      </c>
      <c r="E1971" s="79">
        <v>0</v>
      </c>
      <c r="F1971" s="79">
        <f>SUM(BASE_DATOS[[#This Row],[Capital($)]:[Interés
Resarcitorio($)]])</f>
        <v>6864.8949999999995</v>
      </c>
      <c r="G1971" s="8">
        <v>47346</v>
      </c>
      <c r="H1971" s="80" t="s">
        <v>50</v>
      </c>
      <c r="I1971" s="79" t="s">
        <v>6</v>
      </c>
      <c r="J1971" s="81">
        <v>120</v>
      </c>
      <c r="K1971" t="s">
        <v>47</v>
      </c>
    </row>
    <row r="1972" spans="2:11" x14ac:dyDescent="0.25">
      <c r="B1972" s="2">
        <v>111</v>
      </c>
      <c r="C1972" s="79">
        <v>1617.21</v>
      </c>
      <c r="D1972" s="79">
        <v>5247.6849999999995</v>
      </c>
      <c r="E1972" s="79">
        <v>915.32</v>
      </c>
      <c r="F1972" s="79">
        <f>SUM(BASE_DATOS[[#This Row],[Capital($)]:[Interés
Resarcitorio($)]])</f>
        <v>7780.2149999999992</v>
      </c>
      <c r="G1972" s="8">
        <v>47356</v>
      </c>
      <c r="H1972" s="80" t="s">
        <v>50</v>
      </c>
      <c r="I1972" s="79" t="s">
        <v>7</v>
      </c>
      <c r="J1972" s="81">
        <v>120</v>
      </c>
      <c r="K1972" t="s">
        <v>47</v>
      </c>
    </row>
    <row r="1973" spans="2:11" x14ac:dyDescent="0.25">
      <c r="B1973" s="2">
        <v>112</v>
      </c>
      <c r="C1973" s="79">
        <v>1617.21</v>
      </c>
      <c r="D1973" s="79">
        <v>5289.2470000000003</v>
      </c>
      <c r="E1973" s="79">
        <v>0</v>
      </c>
      <c r="F1973" s="79">
        <f>SUM(BASE_DATOS[[#This Row],[Capital($)]:[Interés
Resarcitorio($)]])</f>
        <v>6906.4570000000003</v>
      </c>
      <c r="G1973" s="8">
        <v>47377</v>
      </c>
      <c r="H1973" s="80" t="s">
        <v>50</v>
      </c>
      <c r="I1973" s="79" t="s">
        <v>6</v>
      </c>
      <c r="J1973" s="81">
        <v>120</v>
      </c>
      <c r="K1973" t="s">
        <v>47</v>
      </c>
    </row>
    <row r="1974" spans="2:11" x14ac:dyDescent="0.25">
      <c r="B1974" s="2">
        <v>112</v>
      </c>
      <c r="C1974" s="79">
        <v>1617.21</v>
      </c>
      <c r="D1974" s="79">
        <v>5289.2470000000003</v>
      </c>
      <c r="E1974" s="79">
        <v>920.86</v>
      </c>
      <c r="F1974" s="79">
        <f>SUM(BASE_DATOS[[#This Row],[Capital($)]:[Interés
Resarcitorio($)]])</f>
        <v>7827.317</v>
      </c>
      <c r="G1974" s="8">
        <v>47387</v>
      </c>
      <c r="H1974" s="80" t="s">
        <v>50</v>
      </c>
      <c r="I1974" s="79" t="s">
        <v>7</v>
      </c>
      <c r="J1974" s="81">
        <v>120</v>
      </c>
      <c r="K1974" t="s">
        <v>47</v>
      </c>
    </row>
    <row r="1975" spans="2:11" x14ac:dyDescent="0.25">
      <c r="B1975" s="2">
        <v>113</v>
      </c>
      <c r="C1975" s="79">
        <v>1617.21</v>
      </c>
      <c r="D1975" s="79">
        <v>5330.8089999999993</v>
      </c>
      <c r="E1975" s="79">
        <v>0</v>
      </c>
      <c r="F1975" s="79">
        <f>SUM(BASE_DATOS[[#This Row],[Capital($)]:[Interés
Resarcitorio($)]])</f>
        <v>6948.0189999999993</v>
      </c>
      <c r="G1975" s="8">
        <v>47407</v>
      </c>
      <c r="H1975" s="80" t="s">
        <v>50</v>
      </c>
      <c r="I1975" s="79" t="s">
        <v>6</v>
      </c>
      <c r="J1975" s="81">
        <v>120</v>
      </c>
      <c r="K1975" t="s">
        <v>47</v>
      </c>
    </row>
    <row r="1976" spans="2:11" x14ac:dyDescent="0.25">
      <c r="B1976" s="2">
        <v>113</v>
      </c>
      <c r="C1976" s="79">
        <v>1617.21</v>
      </c>
      <c r="D1976" s="79">
        <v>5330.8089999999993</v>
      </c>
      <c r="E1976" s="79">
        <v>926.4</v>
      </c>
      <c r="F1976" s="79">
        <f>SUM(BASE_DATOS[[#This Row],[Capital($)]:[Interés
Resarcitorio($)]])</f>
        <v>7874.418999999999</v>
      </c>
      <c r="G1976" s="8">
        <v>47417</v>
      </c>
      <c r="H1976" s="80" t="s">
        <v>50</v>
      </c>
      <c r="I1976" s="79" t="s">
        <v>7</v>
      </c>
      <c r="J1976" s="81">
        <v>120</v>
      </c>
      <c r="K1976" t="s">
        <v>47</v>
      </c>
    </row>
    <row r="1977" spans="2:11" x14ac:dyDescent="0.25">
      <c r="B1977" s="2">
        <v>114</v>
      </c>
      <c r="C1977" s="79">
        <v>1617.21</v>
      </c>
      <c r="D1977" s="79">
        <v>5372.3720000000003</v>
      </c>
      <c r="E1977" s="79">
        <v>0</v>
      </c>
      <c r="F1977" s="79">
        <f>SUM(BASE_DATOS[[#This Row],[Capital($)]:[Interés
Resarcitorio($)]])</f>
        <v>6989.5820000000003</v>
      </c>
      <c r="G1977" s="8">
        <v>47438</v>
      </c>
      <c r="H1977" s="80" t="s">
        <v>50</v>
      </c>
      <c r="I1977" s="79" t="s">
        <v>6</v>
      </c>
      <c r="J1977" s="81">
        <v>120</v>
      </c>
      <c r="K1977" t="s">
        <v>47</v>
      </c>
    </row>
    <row r="1978" spans="2:11" x14ac:dyDescent="0.25">
      <c r="B1978" s="2">
        <v>114</v>
      </c>
      <c r="C1978" s="79">
        <v>1617.21</v>
      </c>
      <c r="D1978" s="79">
        <v>5372.3720000000003</v>
      </c>
      <c r="E1978" s="79">
        <v>931.94</v>
      </c>
      <c r="F1978" s="79">
        <f>SUM(BASE_DATOS[[#This Row],[Capital($)]:[Interés
Resarcitorio($)]])</f>
        <v>7921.5220000000008</v>
      </c>
      <c r="G1978" s="8">
        <v>47448</v>
      </c>
      <c r="H1978" s="80" t="s">
        <v>50</v>
      </c>
      <c r="I1978" s="79" t="s">
        <v>7</v>
      </c>
      <c r="J1978" s="81">
        <v>120</v>
      </c>
      <c r="K1978" t="s">
        <v>47</v>
      </c>
    </row>
    <row r="1979" spans="2:11" x14ac:dyDescent="0.25">
      <c r="B1979" s="2">
        <v>115</v>
      </c>
      <c r="C1979" s="79">
        <v>1617.21</v>
      </c>
      <c r="D1979" s="79">
        <v>5413.9339999999993</v>
      </c>
      <c r="E1979" s="79">
        <v>0</v>
      </c>
      <c r="F1979" s="79">
        <f>SUM(BASE_DATOS[[#This Row],[Capital($)]:[Interés
Resarcitorio($)]])</f>
        <v>7031.1439999999993</v>
      </c>
      <c r="G1979" s="8">
        <v>47468</v>
      </c>
      <c r="H1979" s="80" t="s">
        <v>50</v>
      </c>
      <c r="I1979" s="79" t="s">
        <v>6</v>
      </c>
      <c r="J1979" s="81">
        <v>120</v>
      </c>
      <c r="K1979" t="s">
        <v>47</v>
      </c>
    </row>
    <row r="1980" spans="2:11" x14ac:dyDescent="0.25">
      <c r="B1980" s="2">
        <v>115</v>
      </c>
      <c r="C1980" s="79">
        <v>1617.21</v>
      </c>
      <c r="D1980" s="79">
        <v>5413.9339999999993</v>
      </c>
      <c r="E1980" s="79">
        <v>937.49</v>
      </c>
      <c r="F1980" s="79">
        <f>SUM(BASE_DATOS[[#This Row],[Capital($)]:[Interés
Resarcitorio($)]])</f>
        <v>7968.6339999999991</v>
      </c>
      <c r="G1980" s="8">
        <v>47478</v>
      </c>
      <c r="H1980" s="80" t="s">
        <v>50</v>
      </c>
      <c r="I1980" s="79" t="s">
        <v>7</v>
      </c>
      <c r="J1980" s="81">
        <v>120</v>
      </c>
      <c r="K1980" t="s">
        <v>47</v>
      </c>
    </row>
    <row r="1981" spans="2:11" x14ac:dyDescent="0.25">
      <c r="B1981" s="2">
        <v>116</v>
      </c>
      <c r="C1981" s="79">
        <v>1617.21</v>
      </c>
      <c r="D1981" s="79">
        <v>5455.4960000000001</v>
      </c>
      <c r="E1981" s="79">
        <v>0</v>
      </c>
      <c r="F1981" s="79">
        <f>SUM(BASE_DATOS[[#This Row],[Capital($)]:[Interés
Resarcitorio($)]])</f>
        <v>7072.7060000000001</v>
      </c>
      <c r="G1981" s="8">
        <v>47499</v>
      </c>
      <c r="H1981" s="80" t="s">
        <v>50</v>
      </c>
      <c r="I1981" s="79" t="s">
        <v>6</v>
      </c>
      <c r="J1981" s="81">
        <v>120</v>
      </c>
      <c r="K1981" t="s">
        <v>47</v>
      </c>
    </row>
    <row r="1982" spans="2:11" x14ac:dyDescent="0.25">
      <c r="B1982" s="2">
        <v>116</v>
      </c>
      <c r="C1982" s="79">
        <v>1617.21</v>
      </c>
      <c r="D1982" s="79">
        <v>5455.4960000000001</v>
      </c>
      <c r="E1982" s="79">
        <v>943.03</v>
      </c>
      <c r="F1982" s="79">
        <f>SUM(BASE_DATOS[[#This Row],[Capital($)]:[Interés
Resarcitorio($)]])</f>
        <v>8015.7359999999999</v>
      </c>
      <c r="G1982" s="8">
        <v>47509</v>
      </c>
      <c r="H1982" s="80" t="s">
        <v>50</v>
      </c>
      <c r="I1982" s="79" t="s">
        <v>7</v>
      </c>
      <c r="J1982" s="81">
        <v>120</v>
      </c>
      <c r="K1982" t="s">
        <v>47</v>
      </c>
    </row>
    <row r="1983" spans="2:11" x14ac:dyDescent="0.25">
      <c r="B1983" s="2">
        <v>117</v>
      </c>
      <c r="C1983" s="79">
        <v>1617.21</v>
      </c>
      <c r="D1983" s="79">
        <v>5497.0589999999993</v>
      </c>
      <c r="E1983" s="79">
        <v>0</v>
      </c>
      <c r="F1983" s="79">
        <f>SUM(BASE_DATOS[[#This Row],[Capital($)]:[Interés
Resarcitorio($)]])</f>
        <v>7114.2689999999993</v>
      </c>
      <c r="G1983" s="8">
        <v>47530</v>
      </c>
      <c r="H1983" s="80" t="s">
        <v>50</v>
      </c>
      <c r="I1983" s="79" t="s">
        <v>6</v>
      </c>
      <c r="J1983" s="81">
        <v>120</v>
      </c>
      <c r="K1983" t="s">
        <v>47</v>
      </c>
    </row>
    <row r="1984" spans="2:11" x14ac:dyDescent="0.25">
      <c r="B1984" s="2">
        <v>117</v>
      </c>
      <c r="C1984" s="79">
        <v>1617.21</v>
      </c>
      <c r="D1984" s="79">
        <v>5497.0589999999993</v>
      </c>
      <c r="E1984" s="79">
        <v>948.57</v>
      </c>
      <c r="F1984" s="79">
        <f>SUM(BASE_DATOS[[#This Row],[Capital($)]:[Interés
Resarcitorio($)]])</f>
        <v>8062.838999999999</v>
      </c>
      <c r="G1984" s="8">
        <v>47540</v>
      </c>
      <c r="H1984" s="80" t="s">
        <v>50</v>
      </c>
      <c r="I1984" s="79" t="s">
        <v>7</v>
      </c>
      <c r="J1984" s="81">
        <v>120</v>
      </c>
      <c r="K1984" t="s">
        <v>47</v>
      </c>
    </row>
    <row r="1985" spans="2:11" x14ac:dyDescent="0.25">
      <c r="B1985" s="2">
        <v>118</v>
      </c>
      <c r="C1985" s="79">
        <v>1617.21</v>
      </c>
      <c r="D1985" s="79">
        <v>5538.6210000000001</v>
      </c>
      <c r="E1985" s="79">
        <v>0</v>
      </c>
      <c r="F1985" s="79">
        <f>SUM(BASE_DATOS[[#This Row],[Capital($)]:[Interés
Resarcitorio($)]])</f>
        <v>7155.8310000000001</v>
      </c>
      <c r="G1985" s="8">
        <v>47558</v>
      </c>
      <c r="H1985" s="80" t="s">
        <v>50</v>
      </c>
      <c r="I1985" s="79" t="s">
        <v>6</v>
      </c>
      <c r="J1985" s="81">
        <v>120</v>
      </c>
      <c r="K1985" t="s">
        <v>47</v>
      </c>
    </row>
    <row r="1986" spans="2:11" x14ac:dyDescent="0.25">
      <c r="B1986" s="2">
        <v>118</v>
      </c>
      <c r="C1986" s="79">
        <v>1617.21</v>
      </c>
      <c r="D1986" s="79">
        <v>5538.6210000000001</v>
      </c>
      <c r="E1986" s="79">
        <v>954.11</v>
      </c>
      <c r="F1986" s="79">
        <f>SUM(BASE_DATOS[[#This Row],[Capital($)]:[Interés
Resarcitorio($)]])</f>
        <v>8109.9409999999998</v>
      </c>
      <c r="G1986" s="8">
        <v>47568</v>
      </c>
      <c r="H1986" s="80" t="s">
        <v>50</v>
      </c>
      <c r="I1986" s="79" t="s">
        <v>7</v>
      </c>
      <c r="J1986" s="81">
        <v>120</v>
      </c>
      <c r="K1986" t="s">
        <v>47</v>
      </c>
    </row>
    <row r="1987" spans="2:11" x14ac:dyDescent="0.25">
      <c r="B1987" s="2">
        <v>119</v>
      </c>
      <c r="C1987" s="79">
        <v>1617.21</v>
      </c>
      <c r="D1987" s="79">
        <v>5580.183</v>
      </c>
      <c r="E1987" s="79">
        <v>0</v>
      </c>
      <c r="F1987" s="79">
        <f>SUM(BASE_DATOS[[#This Row],[Capital($)]:[Interés
Resarcitorio($)]])</f>
        <v>7197.393</v>
      </c>
      <c r="G1987" s="8">
        <v>47589</v>
      </c>
      <c r="H1987" s="80" t="s">
        <v>50</v>
      </c>
      <c r="I1987" s="79" t="s">
        <v>6</v>
      </c>
      <c r="J1987" s="81">
        <v>120</v>
      </c>
      <c r="K1987" t="s">
        <v>47</v>
      </c>
    </row>
    <row r="1988" spans="2:11" x14ac:dyDescent="0.25">
      <c r="B1988" s="2">
        <v>119</v>
      </c>
      <c r="C1988" s="79">
        <v>1617.21</v>
      </c>
      <c r="D1988" s="79">
        <v>5580.183</v>
      </c>
      <c r="E1988" s="79">
        <v>959.65</v>
      </c>
      <c r="F1988" s="79">
        <f>SUM(BASE_DATOS[[#This Row],[Capital($)]:[Interés
Resarcitorio($)]])</f>
        <v>8157.0429999999997</v>
      </c>
      <c r="G1988" s="8">
        <v>47599</v>
      </c>
      <c r="H1988" s="80" t="s">
        <v>50</v>
      </c>
      <c r="I1988" s="79" t="s">
        <v>7</v>
      </c>
      <c r="J1988" s="81">
        <v>120</v>
      </c>
      <c r="K1988" t="s">
        <v>47</v>
      </c>
    </row>
    <row r="1989" spans="2:11" x14ac:dyDescent="0.25">
      <c r="B1989" s="2">
        <v>120</v>
      </c>
      <c r="C1989" s="79">
        <v>1617.155</v>
      </c>
      <c r="D1989" s="79">
        <v>5621.5540000000001</v>
      </c>
      <c r="E1989" s="79">
        <v>0</v>
      </c>
      <c r="F1989" s="79">
        <f>SUM(BASE_DATOS[[#This Row],[Capital($)]:[Interés
Resarcitorio($)]])</f>
        <v>7238.7089999999998</v>
      </c>
      <c r="G1989" s="8">
        <v>47619</v>
      </c>
      <c r="H1989" s="80" t="s">
        <v>50</v>
      </c>
      <c r="I1989" s="79" t="s">
        <v>6</v>
      </c>
      <c r="J1989" s="81">
        <v>120</v>
      </c>
      <c r="K1989" t="s">
        <v>47</v>
      </c>
    </row>
    <row r="1990" spans="2:11" x14ac:dyDescent="0.25">
      <c r="B1990" s="2">
        <v>120</v>
      </c>
      <c r="C1990" s="79">
        <v>1617.155</v>
      </c>
      <c r="D1990" s="79">
        <v>5621.5540000000001</v>
      </c>
      <c r="E1990" s="79">
        <v>965.16</v>
      </c>
      <c r="F1990" s="79">
        <f>SUM(BASE_DATOS[[#This Row],[Capital($)]:[Interés
Resarcitorio($)]])</f>
        <v>8203.8690000000006</v>
      </c>
      <c r="G1990" s="8">
        <v>47629</v>
      </c>
      <c r="H1990" s="80" t="s">
        <v>50</v>
      </c>
      <c r="I1990" s="79" t="s">
        <v>7</v>
      </c>
      <c r="J1990" s="81">
        <v>120</v>
      </c>
      <c r="K1990" t="s">
        <v>47</v>
      </c>
    </row>
    <row r="1991" spans="2:11" x14ac:dyDescent="0.25">
      <c r="B1991" s="2">
        <v>1</v>
      </c>
      <c r="C1991" s="4">
        <v>3332.5940000000001</v>
      </c>
      <c r="D1991" s="4">
        <v>66.652000000000001</v>
      </c>
      <c r="E1991" s="79">
        <v>0</v>
      </c>
      <c r="F1991" s="79">
        <f>SUM(BASE_DATOS[[#This Row],[Capital($)]:[Interés
Resarcitorio($)]])</f>
        <v>3399.2460000000001</v>
      </c>
      <c r="G1991" s="8">
        <v>43998</v>
      </c>
      <c r="H1991" s="80" t="s">
        <v>51</v>
      </c>
      <c r="I1991" s="79" t="s">
        <v>9</v>
      </c>
      <c r="J1991" s="81">
        <v>120</v>
      </c>
      <c r="K1991" t="s">
        <v>47</v>
      </c>
    </row>
    <row r="1992" spans="2:11" x14ac:dyDescent="0.25">
      <c r="B1992" s="2">
        <f>+B1991</f>
        <v>1</v>
      </c>
      <c r="C1992" s="4">
        <v>3332.5940000000001</v>
      </c>
      <c r="D1992" s="4">
        <v>66.652000000000001</v>
      </c>
      <c r="E1992" s="79">
        <v>283.27</v>
      </c>
      <c r="F1992" s="79">
        <f>SUM(BASE_DATOS[[#This Row],[Capital($)]:[Interés
Resarcitorio($)]])</f>
        <v>3682.5160000000001</v>
      </c>
      <c r="G1992" s="8">
        <v>44008</v>
      </c>
      <c r="H1992" s="80" t="s">
        <v>51</v>
      </c>
      <c r="I1992" s="79" t="s">
        <v>7</v>
      </c>
      <c r="J1992" s="81">
        <v>120</v>
      </c>
      <c r="K1992" t="s">
        <v>47</v>
      </c>
    </row>
    <row r="1993" spans="2:11" x14ac:dyDescent="0.25">
      <c r="B1993" s="2">
        <v>2</v>
      </c>
      <c r="C1993" s="4">
        <v>3332.5940000000001</v>
      </c>
      <c r="D1993" s="4">
        <v>163.297</v>
      </c>
      <c r="E1993" s="79">
        <v>0</v>
      </c>
      <c r="F1993" s="79">
        <f>SUM(BASE_DATOS[[#This Row],[Capital($)]:[Interés
Resarcitorio($)]])</f>
        <v>3495.8910000000001</v>
      </c>
      <c r="G1993" s="8">
        <v>44028</v>
      </c>
      <c r="H1993" s="80" t="s">
        <v>51</v>
      </c>
      <c r="I1993" s="79" t="s">
        <v>9</v>
      </c>
      <c r="J1993" s="81">
        <v>120</v>
      </c>
      <c r="K1993" t="s">
        <v>47</v>
      </c>
    </row>
    <row r="1994" spans="2:11" x14ac:dyDescent="0.25">
      <c r="B1994" s="2">
        <f>+B1993</f>
        <v>2</v>
      </c>
      <c r="C1994" s="4">
        <v>3332.5940000000001</v>
      </c>
      <c r="D1994" s="4">
        <v>163.297</v>
      </c>
      <c r="E1994" s="79">
        <v>321.62</v>
      </c>
      <c r="F1994" s="79">
        <f>SUM(BASE_DATOS[[#This Row],[Capital($)]:[Interés
Resarcitorio($)]])</f>
        <v>3817.511</v>
      </c>
      <c r="G1994" s="8">
        <v>44038</v>
      </c>
      <c r="H1994" s="80" t="s">
        <v>51</v>
      </c>
      <c r="I1994" s="79" t="s">
        <v>7</v>
      </c>
      <c r="J1994" s="81">
        <v>120</v>
      </c>
      <c r="K1994" t="s">
        <v>47</v>
      </c>
    </row>
    <row r="1995" spans="2:11" x14ac:dyDescent="0.25">
      <c r="B1995" s="2">
        <v>3</v>
      </c>
      <c r="C1995" s="4">
        <v>3332.5940000000001</v>
      </c>
      <c r="D1995" s="4">
        <v>266.608</v>
      </c>
      <c r="E1995" s="79">
        <v>0</v>
      </c>
      <c r="F1995" s="79">
        <f>SUM(BASE_DATOS[[#This Row],[Capital($)]:[Interés
Resarcitorio($)]])</f>
        <v>3599.2020000000002</v>
      </c>
      <c r="G1995" s="8">
        <v>44059</v>
      </c>
      <c r="H1995" s="80" t="s">
        <v>51</v>
      </c>
      <c r="I1995" s="79" t="s">
        <v>9</v>
      </c>
      <c r="J1995" s="81">
        <v>120</v>
      </c>
      <c r="K1995" t="s">
        <v>47</v>
      </c>
    </row>
    <row r="1996" spans="2:11" x14ac:dyDescent="0.25">
      <c r="B1996" s="2">
        <f>+B1995</f>
        <v>3</v>
      </c>
      <c r="C1996" s="4">
        <v>3332.5940000000001</v>
      </c>
      <c r="D1996" s="4">
        <v>266.608</v>
      </c>
      <c r="E1996" s="79">
        <v>331.13</v>
      </c>
      <c r="F1996" s="79">
        <f>SUM(BASE_DATOS[[#This Row],[Capital($)]:[Interés
Resarcitorio($)]])</f>
        <v>3930.3320000000003</v>
      </c>
      <c r="G1996" s="8">
        <v>44069</v>
      </c>
      <c r="H1996" s="80" t="s">
        <v>51</v>
      </c>
      <c r="I1996" s="79" t="s">
        <v>7</v>
      </c>
      <c r="J1996" s="81">
        <v>120</v>
      </c>
      <c r="K1996" t="s">
        <v>47</v>
      </c>
    </row>
    <row r="1997" spans="2:11" x14ac:dyDescent="0.25">
      <c r="B1997" s="2">
        <v>4</v>
      </c>
      <c r="C1997" s="4">
        <v>3332.5940000000001</v>
      </c>
      <c r="D1997" s="4">
        <v>366.58499999999998</v>
      </c>
      <c r="E1997" s="79">
        <v>0</v>
      </c>
      <c r="F1997" s="79">
        <f>SUM(BASE_DATOS[[#This Row],[Capital($)]:[Interés
Resarcitorio($)]])</f>
        <v>3699.1790000000001</v>
      </c>
      <c r="G1997" s="8">
        <v>44090</v>
      </c>
      <c r="H1997" s="80" t="s">
        <v>51</v>
      </c>
      <c r="I1997" s="79" t="s">
        <v>9</v>
      </c>
      <c r="J1997" s="81">
        <v>120</v>
      </c>
      <c r="K1997" t="s">
        <v>47</v>
      </c>
    </row>
    <row r="1998" spans="2:11" x14ac:dyDescent="0.25">
      <c r="B1998" s="2">
        <f>+B1997</f>
        <v>4</v>
      </c>
      <c r="C1998" s="4">
        <v>3332.5940000000001</v>
      </c>
      <c r="D1998" s="4">
        <v>366.58499999999998</v>
      </c>
      <c r="E1998" s="79">
        <v>340.32</v>
      </c>
      <c r="F1998" s="79">
        <f>SUM(BASE_DATOS[[#This Row],[Capital($)]:[Interés
Resarcitorio($)]])</f>
        <v>4039.4990000000003</v>
      </c>
      <c r="G1998" s="8">
        <v>44100</v>
      </c>
      <c r="H1998" s="80" t="s">
        <v>51</v>
      </c>
      <c r="I1998" s="79" t="s">
        <v>7</v>
      </c>
      <c r="J1998" s="81">
        <v>120</v>
      </c>
      <c r="K1998" t="s">
        <v>47</v>
      </c>
    </row>
    <row r="1999" spans="2:11" x14ac:dyDescent="0.25">
      <c r="B1999" s="2">
        <v>5</v>
      </c>
      <c r="C1999" s="4">
        <v>3332.5940000000001</v>
      </c>
      <c r="D1999" s="4">
        <v>463.23100000000005</v>
      </c>
      <c r="E1999" s="79">
        <v>0</v>
      </c>
      <c r="F1999" s="79">
        <f>SUM(BASE_DATOS[[#This Row],[Capital($)]:[Interés
Resarcitorio($)]])</f>
        <v>3795.8250000000003</v>
      </c>
      <c r="G1999" s="8">
        <v>44120</v>
      </c>
      <c r="H1999" s="80" t="s">
        <v>51</v>
      </c>
      <c r="I1999" s="79" t="s">
        <v>9</v>
      </c>
      <c r="J1999" s="81">
        <v>120</v>
      </c>
      <c r="K1999" t="s">
        <v>47</v>
      </c>
    </row>
    <row r="2000" spans="2:11" x14ac:dyDescent="0.25">
      <c r="B2000" s="2">
        <f>+B1999</f>
        <v>5</v>
      </c>
      <c r="C2000" s="4">
        <v>3332.5940000000001</v>
      </c>
      <c r="D2000" s="4">
        <v>463.23100000000005</v>
      </c>
      <c r="E2000" s="79">
        <v>382.11</v>
      </c>
      <c r="F2000" s="79">
        <f>SUM(BASE_DATOS[[#This Row],[Capital($)]:[Interés
Resarcitorio($)]])</f>
        <v>4177.9350000000004</v>
      </c>
      <c r="G2000" s="8">
        <v>44130</v>
      </c>
      <c r="H2000" s="80" t="s">
        <v>51</v>
      </c>
      <c r="I2000" s="79" t="s">
        <v>7</v>
      </c>
      <c r="J2000" s="81">
        <v>120</v>
      </c>
      <c r="K2000" t="s">
        <v>47</v>
      </c>
    </row>
    <row r="2001" spans="2:11" x14ac:dyDescent="0.25">
      <c r="B2001" s="2">
        <v>6</v>
      </c>
      <c r="C2001" s="4">
        <v>3332.5940000000001</v>
      </c>
      <c r="D2001" s="4">
        <v>566.54099999999994</v>
      </c>
      <c r="E2001" s="79">
        <v>0</v>
      </c>
      <c r="F2001" s="79">
        <f>SUM(BASE_DATOS[[#This Row],[Capital($)]:[Interés
Resarcitorio($)]])</f>
        <v>3899.1350000000002</v>
      </c>
      <c r="G2001" s="8">
        <v>44151</v>
      </c>
      <c r="H2001" s="80" t="s">
        <v>51</v>
      </c>
      <c r="I2001" s="79" t="s">
        <v>9</v>
      </c>
      <c r="J2001" s="81">
        <v>120</v>
      </c>
      <c r="K2001" t="s">
        <v>47</v>
      </c>
    </row>
    <row r="2002" spans="2:11" x14ac:dyDescent="0.25">
      <c r="B2002" s="2">
        <f>+B2001</f>
        <v>6</v>
      </c>
      <c r="C2002" s="4">
        <v>3332.5940000000001</v>
      </c>
      <c r="D2002" s="4">
        <v>566.54099999999994</v>
      </c>
      <c r="E2002" s="79">
        <v>392.51</v>
      </c>
      <c r="F2002" s="79">
        <f>SUM(BASE_DATOS[[#This Row],[Capital($)]:[Interés
Resarcitorio($)]])</f>
        <v>4291.6450000000004</v>
      </c>
      <c r="G2002" s="8">
        <v>44161</v>
      </c>
      <c r="H2002" s="80" t="s">
        <v>51</v>
      </c>
      <c r="I2002" s="79" t="s">
        <v>7</v>
      </c>
      <c r="J2002" s="81">
        <v>120</v>
      </c>
      <c r="K2002" t="s">
        <v>47</v>
      </c>
    </row>
    <row r="2003" spans="2:11" x14ac:dyDescent="0.25">
      <c r="B2003" s="2">
        <v>7</v>
      </c>
      <c r="C2003" s="4">
        <v>3332.5940000000001</v>
      </c>
      <c r="D2003" s="4">
        <v>663.18599999999992</v>
      </c>
      <c r="E2003" s="79">
        <v>0</v>
      </c>
      <c r="F2003" s="79">
        <f>SUM(BASE_DATOS[[#This Row],[Capital($)]:[Interés
Resarcitorio($)]])</f>
        <v>3995.7799999999997</v>
      </c>
      <c r="G2003" s="8">
        <v>44181</v>
      </c>
      <c r="H2003" s="80" t="s">
        <v>51</v>
      </c>
      <c r="I2003" s="79" t="s">
        <v>9</v>
      </c>
      <c r="J2003" s="81">
        <v>120</v>
      </c>
      <c r="K2003" t="s">
        <v>47</v>
      </c>
    </row>
    <row r="2004" spans="2:11" x14ac:dyDescent="0.25">
      <c r="B2004" s="2">
        <f>+B2003</f>
        <v>7</v>
      </c>
      <c r="C2004" s="4">
        <v>3332.5940000000001</v>
      </c>
      <c r="D2004" s="4">
        <v>663.18599999999992</v>
      </c>
      <c r="E2004" s="79">
        <v>402.24</v>
      </c>
      <c r="F2004" s="79">
        <f>SUM(BASE_DATOS[[#This Row],[Capital($)]:[Interés
Resarcitorio($)]])</f>
        <v>4398.0199999999995</v>
      </c>
      <c r="G2004" s="8">
        <v>44191</v>
      </c>
      <c r="H2004" s="80" t="s">
        <v>51</v>
      </c>
      <c r="I2004" s="79" t="s">
        <v>7</v>
      </c>
      <c r="J2004" s="81">
        <v>120</v>
      </c>
      <c r="K2004" t="s">
        <v>47</v>
      </c>
    </row>
    <row r="2005" spans="2:11" x14ac:dyDescent="0.25">
      <c r="B2005" s="2">
        <v>8</v>
      </c>
      <c r="C2005" s="4">
        <v>3332.5940000000001</v>
      </c>
      <c r="D2005" s="4">
        <v>766.49700000000007</v>
      </c>
      <c r="E2005" s="79">
        <v>0</v>
      </c>
      <c r="F2005" s="79">
        <f>SUM(BASE_DATOS[[#This Row],[Capital($)]:[Interés
Resarcitorio($)]])</f>
        <v>4099.0910000000003</v>
      </c>
      <c r="G2005" s="8">
        <v>44212</v>
      </c>
      <c r="H2005" s="80" t="s">
        <v>51</v>
      </c>
      <c r="I2005" s="79" t="s">
        <v>9</v>
      </c>
      <c r="J2005" s="81">
        <v>120</v>
      </c>
      <c r="K2005" t="s">
        <v>47</v>
      </c>
    </row>
    <row r="2006" spans="2:11" x14ac:dyDescent="0.25">
      <c r="B2006" s="2">
        <f>+B2005</f>
        <v>8</v>
      </c>
      <c r="C2006" s="4">
        <v>3332.5940000000001</v>
      </c>
      <c r="D2006" s="4">
        <v>766.49700000000007</v>
      </c>
      <c r="E2006" s="79">
        <v>457.73</v>
      </c>
      <c r="F2006" s="79">
        <f>SUM(BASE_DATOS[[#This Row],[Capital($)]:[Interés
Resarcitorio($)]])</f>
        <v>4556.8209999999999</v>
      </c>
      <c r="G2006" s="8">
        <v>44222</v>
      </c>
      <c r="H2006" s="80" t="s">
        <v>51</v>
      </c>
      <c r="I2006" s="79" t="s">
        <v>7</v>
      </c>
      <c r="J2006" s="81">
        <v>120</v>
      </c>
      <c r="K2006" t="s">
        <v>47</v>
      </c>
    </row>
    <row r="2007" spans="2:11" x14ac:dyDescent="0.25">
      <c r="B2007" s="2">
        <v>9</v>
      </c>
      <c r="C2007" s="4">
        <v>3332.5940000000001</v>
      </c>
      <c r="D2007" s="4">
        <v>861.476</v>
      </c>
      <c r="E2007" s="79">
        <v>0</v>
      </c>
      <c r="F2007" s="79">
        <f>SUM(BASE_DATOS[[#This Row],[Capital($)]:[Interés
Resarcitorio($)]])</f>
        <v>4194.07</v>
      </c>
      <c r="G2007" s="8">
        <v>44243</v>
      </c>
      <c r="H2007" s="80" t="s">
        <v>51</v>
      </c>
      <c r="I2007" s="79" t="s">
        <v>9</v>
      </c>
      <c r="J2007" s="81">
        <v>120</v>
      </c>
      <c r="K2007" t="s">
        <v>47</v>
      </c>
    </row>
    <row r="2008" spans="2:11" x14ac:dyDescent="0.25">
      <c r="B2008" s="2">
        <f>+B2007</f>
        <v>9</v>
      </c>
      <c r="C2008" s="4">
        <v>3332.5940000000001</v>
      </c>
      <c r="D2008" s="4">
        <v>861.476</v>
      </c>
      <c r="E2008" s="79">
        <v>468.34</v>
      </c>
      <c r="F2008" s="79">
        <f>SUM(BASE_DATOS[[#This Row],[Capital($)]:[Interés
Resarcitorio($)]])</f>
        <v>4662.41</v>
      </c>
      <c r="G2008" s="8">
        <v>44253</v>
      </c>
      <c r="H2008" s="80" t="s">
        <v>51</v>
      </c>
      <c r="I2008" s="79" t="s">
        <v>7</v>
      </c>
      <c r="J2008" s="81">
        <v>120</v>
      </c>
      <c r="K2008" t="s">
        <v>47</v>
      </c>
    </row>
    <row r="2009" spans="2:11" x14ac:dyDescent="0.25">
      <c r="B2009" s="2">
        <v>10</v>
      </c>
      <c r="C2009" s="4">
        <v>3332.5940000000001</v>
      </c>
      <c r="D2009" s="4">
        <v>956.45400000000006</v>
      </c>
      <c r="E2009" s="79">
        <v>0</v>
      </c>
      <c r="F2009" s="79">
        <f>SUM(BASE_DATOS[[#This Row],[Capital($)]:[Interés
Resarcitorio($)]])</f>
        <v>4289.0479999999998</v>
      </c>
      <c r="G2009" s="8">
        <v>44271</v>
      </c>
      <c r="H2009" s="80" t="s">
        <v>51</v>
      </c>
      <c r="I2009" s="79" t="s">
        <v>9</v>
      </c>
      <c r="J2009" s="81">
        <v>120</v>
      </c>
      <c r="K2009" t="s">
        <v>47</v>
      </c>
    </row>
    <row r="2010" spans="2:11" x14ac:dyDescent="0.25">
      <c r="B2010" s="2">
        <f>+B2009</f>
        <v>10</v>
      </c>
      <c r="C2010" s="4">
        <v>3332.5940000000001</v>
      </c>
      <c r="D2010" s="4">
        <v>956.45400000000006</v>
      </c>
      <c r="E2010" s="79">
        <v>478.94</v>
      </c>
      <c r="F2010" s="79">
        <f>SUM(BASE_DATOS[[#This Row],[Capital($)]:[Interés
Resarcitorio($)]])</f>
        <v>4767.9879999999994</v>
      </c>
      <c r="G2010" s="8">
        <v>44281</v>
      </c>
      <c r="H2010" s="80" t="s">
        <v>51</v>
      </c>
      <c r="I2010" s="79" t="s">
        <v>7</v>
      </c>
      <c r="J2010" s="81">
        <v>120</v>
      </c>
      <c r="K2010" t="s">
        <v>47</v>
      </c>
    </row>
    <row r="2011" spans="2:11" x14ac:dyDescent="0.25">
      <c r="B2011" s="2">
        <v>11</v>
      </c>
      <c r="C2011" s="4">
        <v>3332.5940000000001</v>
      </c>
      <c r="D2011" s="4">
        <v>1051.433</v>
      </c>
      <c r="E2011" s="79">
        <v>0</v>
      </c>
      <c r="F2011" s="79">
        <f>SUM(BASE_DATOS[[#This Row],[Capital($)]:[Interés
Resarcitorio($)]])</f>
        <v>4384.027</v>
      </c>
      <c r="G2011" s="8">
        <v>44302</v>
      </c>
      <c r="H2011" s="80" t="s">
        <v>51</v>
      </c>
      <c r="I2011" s="79" t="s">
        <v>9</v>
      </c>
      <c r="J2011" s="81">
        <v>120</v>
      </c>
      <c r="K2011" t="s">
        <v>47</v>
      </c>
    </row>
    <row r="2012" spans="2:11" x14ac:dyDescent="0.25">
      <c r="B2012" s="2">
        <f>+B2011</f>
        <v>11</v>
      </c>
      <c r="C2012" s="4">
        <v>3332.5940000000001</v>
      </c>
      <c r="D2012" s="4">
        <v>1051.433</v>
      </c>
      <c r="E2012" s="79">
        <v>489.55</v>
      </c>
      <c r="F2012" s="79">
        <f>SUM(BASE_DATOS[[#This Row],[Capital($)]:[Interés
Resarcitorio($)]])</f>
        <v>4873.5770000000002</v>
      </c>
      <c r="G2012" s="8">
        <v>44312</v>
      </c>
      <c r="H2012" s="80" t="s">
        <v>51</v>
      </c>
      <c r="I2012" s="79" t="s">
        <v>7</v>
      </c>
      <c r="J2012" s="81">
        <v>120</v>
      </c>
      <c r="K2012" t="s">
        <v>47</v>
      </c>
    </row>
    <row r="2013" spans="2:11" x14ac:dyDescent="0.25">
      <c r="B2013" s="2">
        <v>12</v>
      </c>
      <c r="C2013" s="4">
        <v>3332.5940000000001</v>
      </c>
      <c r="D2013" s="4">
        <v>1146.412</v>
      </c>
      <c r="E2013" s="79">
        <v>0</v>
      </c>
      <c r="F2013" s="79">
        <f>SUM(BASE_DATOS[[#This Row],[Capital($)]:[Interés
Resarcitorio($)]])</f>
        <v>4479.0060000000003</v>
      </c>
      <c r="G2013" s="8">
        <v>44332</v>
      </c>
      <c r="H2013" s="80" t="s">
        <v>51</v>
      </c>
      <c r="I2013" s="79" t="s">
        <v>9</v>
      </c>
      <c r="J2013" s="81">
        <v>120</v>
      </c>
      <c r="K2013" t="s">
        <v>47</v>
      </c>
    </row>
    <row r="2014" spans="2:11" x14ac:dyDescent="0.25">
      <c r="B2014" s="2">
        <f>+B2013</f>
        <v>12</v>
      </c>
      <c r="C2014" s="4">
        <v>3332.5940000000001</v>
      </c>
      <c r="D2014" s="4">
        <v>1146.412</v>
      </c>
      <c r="E2014" s="79">
        <v>500.16</v>
      </c>
      <c r="F2014" s="79">
        <f>SUM(BASE_DATOS[[#This Row],[Capital($)]:[Interés
Resarcitorio($)]])</f>
        <v>4979.1660000000002</v>
      </c>
      <c r="G2014" s="8">
        <v>44342</v>
      </c>
      <c r="H2014" s="80" t="s">
        <v>51</v>
      </c>
      <c r="I2014" s="79" t="s">
        <v>7</v>
      </c>
      <c r="J2014" s="81">
        <v>120</v>
      </c>
      <c r="K2014" t="s">
        <v>47</v>
      </c>
    </row>
    <row r="2015" spans="2:11" x14ac:dyDescent="0.25">
      <c r="B2015" s="2">
        <v>13</v>
      </c>
      <c r="C2015" s="4">
        <v>3332.5940000000001</v>
      </c>
      <c r="D2015" s="4">
        <v>1241.3910000000001</v>
      </c>
      <c r="E2015" s="79">
        <v>0</v>
      </c>
      <c r="F2015" s="79">
        <f>SUM(BASE_DATOS[[#This Row],[Capital($)]:[Interés
Resarcitorio($)]])</f>
        <v>4573.9850000000006</v>
      </c>
      <c r="G2015" s="8">
        <v>44363</v>
      </c>
      <c r="H2015" s="80" t="s">
        <v>51</v>
      </c>
      <c r="I2015" s="79" t="s">
        <v>9</v>
      </c>
      <c r="J2015" s="81">
        <v>120</v>
      </c>
      <c r="K2015" t="s">
        <v>47</v>
      </c>
    </row>
    <row r="2016" spans="2:11" x14ac:dyDescent="0.25">
      <c r="B2016" s="2">
        <f>+B2015</f>
        <v>13</v>
      </c>
      <c r="C2016" s="4">
        <v>3332.5940000000001</v>
      </c>
      <c r="D2016" s="4">
        <v>1241.3910000000001</v>
      </c>
      <c r="E2016" s="79">
        <v>510.76</v>
      </c>
      <c r="F2016" s="79">
        <f>SUM(BASE_DATOS[[#This Row],[Capital($)]:[Interés
Resarcitorio($)]])</f>
        <v>5084.7450000000008</v>
      </c>
      <c r="G2016" s="8">
        <v>44373</v>
      </c>
      <c r="H2016" s="80" t="s">
        <v>51</v>
      </c>
      <c r="I2016" s="79" t="s">
        <v>7</v>
      </c>
      <c r="J2016" s="81">
        <v>120</v>
      </c>
      <c r="K2016" t="s">
        <v>47</v>
      </c>
    </row>
    <row r="2017" spans="2:11" x14ac:dyDescent="0.25">
      <c r="B2017" s="2">
        <v>14</v>
      </c>
      <c r="C2017" s="4">
        <v>3332.5940000000001</v>
      </c>
      <c r="D2017" s="4">
        <v>1336.3700000000001</v>
      </c>
      <c r="E2017" s="79">
        <v>0</v>
      </c>
      <c r="F2017" s="79">
        <f>SUM(BASE_DATOS[[#This Row],[Capital($)]:[Interés
Resarcitorio($)]])</f>
        <v>4668.9639999999999</v>
      </c>
      <c r="G2017" s="8">
        <v>44393</v>
      </c>
      <c r="H2017" s="80" t="s">
        <v>51</v>
      </c>
      <c r="I2017" s="79" t="s">
        <v>9</v>
      </c>
      <c r="J2017" s="81">
        <v>120</v>
      </c>
      <c r="K2017" t="s">
        <v>47</v>
      </c>
    </row>
    <row r="2018" spans="2:11" x14ac:dyDescent="0.25">
      <c r="B2018" s="2">
        <f>+B2017</f>
        <v>14</v>
      </c>
      <c r="C2018" s="4">
        <v>3332.5940000000001</v>
      </c>
      <c r="D2018" s="4">
        <v>1336.3700000000001</v>
      </c>
      <c r="E2018" s="79">
        <v>521.37</v>
      </c>
      <c r="F2018" s="79">
        <f>SUM(BASE_DATOS[[#This Row],[Capital($)]:[Interés
Resarcitorio($)]])</f>
        <v>5190.3339999999998</v>
      </c>
      <c r="G2018" s="8">
        <v>44403</v>
      </c>
      <c r="H2018" s="80" t="s">
        <v>51</v>
      </c>
      <c r="I2018" s="79" t="s">
        <v>7</v>
      </c>
      <c r="J2018" s="81">
        <v>120</v>
      </c>
      <c r="K2018" t="s">
        <v>47</v>
      </c>
    </row>
    <row r="2019" spans="2:11" x14ac:dyDescent="0.25">
      <c r="B2019" s="2">
        <v>15</v>
      </c>
      <c r="C2019" s="4">
        <v>3332.5940000000001</v>
      </c>
      <c r="D2019" s="4">
        <v>1431.0160000000001</v>
      </c>
      <c r="E2019" s="79">
        <v>0</v>
      </c>
      <c r="F2019" s="79">
        <f>SUM(BASE_DATOS[[#This Row],[Capital($)]:[Interés
Resarcitorio($)]])</f>
        <v>4763.6100000000006</v>
      </c>
      <c r="G2019" s="8">
        <v>44424</v>
      </c>
      <c r="H2019" s="80" t="s">
        <v>51</v>
      </c>
      <c r="I2019" s="79" t="s">
        <v>9</v>
      </c>
      <c r="J2019" s="81">
        <v>120</v>
      </c>
      <c r="K2019" t="s">
        <v>47</v>
      </c>
    </row>
    <row r="2020" spans="2:11" x14ac:dyDescent="0.25">
      <c r="B2020" s="2">
        <f>+B2019</f>
        <v>15</v>
      </c>
      <c r="C2020" s="4">
        <v>3332.5940000000001</v>
      </c>
      <c r="D2020" s="4">
        <v>1431.0160000000001</v>
      </c>
      <c r="E2020" s="79">
        <v>531.94000000000005</v>
      </c>
      <c r="F2020" s="79">
        <f>SUM(BASE_DATOS[[#This Row],[Capital($)]:[Interés
Resarcitorio($)]])</f>
        <v>5295.5500000000011</v>
      </c>
      <c r="G2020" s="8">
        <v>44434</v>
      </c>
      <c r="H2020" s="80" t="s">
        <v>51</v>
      </c>
      <c r="I2020" s="79" t="s">
        <v>7</v>
      </c>
      <c r="J2020" s="81">
        <v>120</v>
      </c>
      <c r="K2020" t="s">
        <v>47</v>
      </c>
    </row>
    <row r="2021" spans="2:11" x14ac:dyDescent="0.25">
      <c r="B2021" s="2">
        <v>16</v>
      </c>
      <c r="C2021" s="4">
        <v>3332.5940000000001</v>
      </c>
      <c r="D2021" s="4">
        <v>1525.662</v>
      </c>
      <c r="E2021" s="79">
        <v>0</v>
      </c>
      <c r="F2021" s="79">
        <f>SUM(BASE_DATOS[[#This Row],[Capital($)]:[Interés
Resarcitorio($)]])</f>
        <v>4858.2560000000003</v>
      </c>
      <c r="G2021" s="8">
        <v>44455</v>
      </c>
      <c r="H2021" s="80" t="s">
        <v>51</v>
      </c>
      <c r="I2021" s="79" t="s">
        <v>9</v>
      </c>
      <c r="J2021" s="81">
        <v>120</v>
      </c>
      <c r="K2021" t="s">
        <v>47</v>
      </c>
    </row>
    <row r="2022" spans="2:11" x14ac:dyDescent="0.25">
      <c r="B2022" s="2">
        <f>+B2021</f>
        <v>16</v>
      </c>
      <c r="C2022" s="4">
        <v>3332.5940000000001</v>
      </c>
      <c r="D2022" s="4">
        <v>1525.662</v>
      </c>
      <c r="E2022" s="79">
        <v>542.51</v>
      </c>
      <c r="F2022" s="79">
        <f>SUM(BASE_DATOS[[#This Row],[Capital($)]:[Interés
Resarcitorio($)]])</f>
        <v>5400.7660000000005</v>
      </c>
      <c r="G2022" s="8">
        <v>44465</v>
      </c>
      <c r="H2022" s="80" t="s">
        <v>51</v>
      </c>
      <c r="I2022" s="79" t="s">
        <v>7</v>
      </c>
      <c r="J2022" s="81">
        <v>120</v>
      </c>
      <c r="K2022" t="s">
        <v>47</v>
      </c>
    </row>
    <row r="2023" spans="2:11" x14ac:dyDescent="0.25">
      <c r="B2023" s="2">
        <v>17</v>
      </c>
      <c r="C2023" s="4">
        <v>3332.5940000000001</v>
      </c>
      <c r="D2023" s="4">
        <v>1620.307</v>
      </c>
      <c r="E2023" s="79">
        <v>0</v>
      </c>
      <c r="F2023" s="79">
        <f>SUM(BASE_DATOS[[#This Row],[Capital($)]:[Interés
Resarcitorio($)]])</f>
        <v>4952.9009999999998</v>
      </c>
      <c r="G2023" s="8">
        <v>44485</v>
      </c>
      <c r="H2023" s="80" t="s">
        <v>51</v>
      </c>
      <c r="I2023" s="79" t="s">
        <v>9</v>
      </c>
      <c r="J2023" s="81">
        <v>120</v>
      </c>
      <c r="K2023" t="s">
        <v>47</v>
      </c>
    </row>
    <row r="2024" spans="2:11" x14ac:dyDescent="0.25">
      <c r="B2024" s="2">
        <f>+B2023</f>
        <v>17</v>
      </c>
      <c r="C2024" s="4">
        <v>3332.5940000000001</v>
      </c>
      <c r="D2024" s="4">
        <v>1620.307</v>
      </c>
      <c r="E2024" s="79">
        <v>553.07000000000005</v>
      </c>
      <c r="F2024" s="79">
        <f>SUM(BASE_DATOS[[#This Row],[Capital($)]:[Interés
Resarcitorio($)]])</f>
        <v>5505.9709999999995</v>
      </c>
      <c r="G2024" s="8">
        <v>44495</v>
      </c>
      <c r="H2024" s="80" t="s">
        <v>51</v>
      </c>
      <c r="I2024" s="79" t="s">
        <v>7</v>
      </c>
      <c r="J2024" s="81">
        <v>120</v>
      </c>
      <c r="K2024" t="s">
        <v>47</v>
      </c>
    </row>
    <row r="2025" spans="2:11" x14ac:dyDescent="0.25">
      <c r="B2025" s="2">
        <v>18</v>
      </c>
      <c r="C2025" s="4">
        <v>3332.5940000000001</v>
      </c>
      <c r="D2025" s="4">
        <v>1714.953</v>
      </c>
      <c r="E2025" s="79">
        <v>0</v>
      </c>
      <c r="F2025" s="79">
        <f>SUM(BASE_DATOS[[#This Row],[Capital($)]:[Interés
Resarcitorio($)]])</f>
        <v>5047.5470000000005</v>
      </c>
      <c r="G2025" s="8">
        <v>44516</v>
      </c>
      <c r="H2025" s="80" t="s">
        <v>51</v>
      </c>
      <c r="I2025" s="79" t="s">
        <v>9</v>
      </c>
      <c r="J2025" s="81">
        <v>120</v>
      </c>
      <c r="K2025" t="s">
        <v>47</v>
      </c>
    </row>
    <row r="2026" spans="2:11" x14ac:dyDescent="0.25">
      <c r="B2026" s="2">
        <f>+B2025</f>
        <v>18</v>
      </c>
      <c r="C2026" s="4">
        <v>3332.5940000000001</v>
      </c>
      <c r="D2026" s="4">
        <v>1714.953</v>
      </c>
      <c r="E2026" s="79">
        <v>563.64</v>
      </c>
      <c r="F2026" s="79">
        <f>SUM(BASE_DATOS[[#This Row],[Capital($)]:[Interés
Resarcitorio($)]])</f>
        <v>5611.1870000000008</v>
      </c>
      <c r="G2026" s="8">
        <v>44526</v>
      </c>
      <c r="H2026" s="80" t="s">
        <v>51</v>
      </c>
      <c r="I2026" s="79" t="s">
        <v>7</v>
      </c>
      <c r="J2026" s="81">
        <v>120</v>
      </c>
      <c r="K2026" t="s">
        <v>47</v>
      </c>
    </row>
    <row r="2027" spans="2:11" x14ac:dyDescent="0.25">
      <c r="B2027" s="2">
        <v>19</v>
      </c>
      <c r="C2027" s="4">
        <v>3332.5940000000001</v>
      </c>
      <c r="D2027" s="4">
        <v>1809.5990000000002</v>
      </c>
      <c r="E2027" s="79">
        <v>0</v>
      </c>
      <c r="F2027" s="79">
        <f>SUM(BASE_DATOS[[#This Row],[Capital($)]:[Interés
Resarcitorio($)]])</f>
        <v>5142.1930000000002</v>
      </c>
      <c r="G2027" s="8">
        <v>44546</v>
      </c>
      <c r="H2027" s="80" t="s">
        <v>51</v>
      </c>
      <c r="I2027" s="79" t="s">
        <v>9</v>
      </c>
      <c r="J2027" s="81">
        <v>120</v>
      </c>
      <c r="K2027" t="s">
        <v>47</v>
      </c>
    </row>
    <row r="2028" spans="2:11" x14ac:dyDescent="0.25">
      <c r="B2028" s="2">
        <f>+B2027</f>
        <v>19</v>
      </c>
      <c r="C2028" s="4">
        <v>3332.5940000000001</v>
      </c>
      <c r="D2028" s="4">
        <v>1809.5990000000002</v>
      </c>
      <c r="E2028" s="79">
        <v>574.21</v>
      </c>
      <c r="F2028" s="79">
        <f>SUM(BASE_DATOS[[#This Row],[Capital($)]:[Interés
Resarcitorio($)]])</f>
        <v>5716.4030000000002</v>
      </c>
      <c r="G2028" s="8">
        <v>44556</v>
      </c>
      <c r="H2028" s="80" t="s">
        <v>51</v>
      </c>
      <c r="I2028" s="79" t="s">
        <v>7</v>
      </c>
      <c r="J2028" s="81">
        <v>120</v>
      </c>
      <c r="K2028" t="s">
        <v>47</v>
      </c>
    </row>
    <row r="2029" spans="2:11" x14ac:dyDescent="0.25">
      <c r="B2029" s="2">
        <v>20</v>
      </c>
      <c r="C2029" s="4">
        <v>3332.5940000000001</v>
      </c>
      <c r="D2029" s="4">
        <v>1904.2439999999999</v>
      </c>
      <c r="E2029" s="79">
        <v>0</v>
      </c>
      <c r="F2029" s="79">
        <f>SUM(BASE_DATOS[[#This Row],[Capital($)]:[Interés
Resarcitorio($)]])</f>
        <v>5236.8379999999997</v>
      </c>
      <c r="G2029" s="8">
        <v>44577</v>
      </c>
      <c r="H2029" s="80" t="s">
        <v>51</v>
      </c>
      <c r="I2029" s="79" t="s">
        <v>9</v>
      </c>
      <c r="J2029" s="81">
        <v>120</v>
      </c>
      <c r="K2029" t="s">
        <v>47</v>
      </c>
    </row>
    <row r="2030" spans="2:11" x14ac:dyDescent="0.25">
      <c r="B2030" s="2">
        <f>+B2029</f>
        <v>20</v>
      </c>
      <c r="C2030" s="4">
        <v>3332.5940000000001</v>
      </c>
      <c r="D2030" s="4">
        <v>1904.2439999999999</v>
      </c>
      <c r="E2030" s="79">
        <v>584.78</v>
      </c>
      <c r="F2030" s="79">
        <f>SUM(BASE_DATOS[[#This Row],[Capital($)]:[Interés
Resarcitorio($)]])</f>
        <v>5821.6179999999995</v>
      </c>
      <c r="G2030" s="8">
        <v>44587</v>
      </c>
      <c r="H2030" s="80" t="s">
        <v>51</v>
      </c>
      <c r="I2030" s="79" t="s">
        <v>7</v>
      </c>
      <c r="J2030" s="81">
        <v>120</v>
      </c>
      <c r="K2030" t="s">
        <v>47</v>
      </c>
    </row>
    <row r="2031" spans="2:11" x14ac:dyDescent="0.25">
      <c r="B2031" s="2">
        <v>21</v>
      </c>
      <c r="C2031" s="4">
        <v>3332.5940000000001</v>
      </c>
      <c r="D2031" s="4">
        <v>2008.5540000000001</v>
      </c>
      <c r="E2031" s="79">
        <v>0</v>
      </c>
      <c r="F2031" s="79">
        <f>SUM(BASE_DATOS[[#This Row],[Capital($)]:[Interés
Resarcitorio($)]])</f>
        <v>5341.1480000000001</v>
      </c>
      <c r="G2031" s="8">
        <v>44608</v>
      </c>
      <c r="H2031" s="80" t="s">
        <v>51</v>
      </c>
      <c r="I2031" s="79" t="s">
        <v>9</v>
      </c>
      <c r="J2031" s="81">
        <v>120</v>
      </c>
      <c r="K2031" t="s">
        <v>47</v>
      </c>
    </row>
    <row r="2032" spans="2:11" x14ac:dyDescent="0.25">
      <c r="B2032" s="2">
        <f>+B2031</f>
        <v>21</v>
      </c>
      <c r="C2032" s="4">
        <v>3332.5940000000001</v>
      </c>
      <c r="D2032" s="4">
        <v>2008.5540000000001</v>
      </c>
      <c r="E2032" s="79">
        <v>596.42999999999995</v>
      </c>
      <c r="F2032" s="79">
        <f>SUM(BASE_DATOS[[#This Row],[Capital($)]:[Interés
Resarcitorio($)]])</f>
        <v>5937.5780000000004</v>
      </c>
      <c r="G2032" s="8">
        <v>44618</v>
      </c>
      <c r="H2032" s="80" t="s">
        <v>51</v>
      </c>
      <c r="I2032" s="79" t="s">
        <v>7</v>
      </c>
      <c r="J2032" s="81">
        <v>120</v>
      </c>
      <c r="K2032" t="s">
        <v>47</v>
      </c>
    </row>
    <row r="2033" spans="2:11" x14ac:dyDescent="0.25">
      <c r="B2033" s="2">
        <v>22</v>
      </c>
      <c r="C2033" s="4">
        <v>3332.5940000000001</v>
      </c>
      <c r="D2033" s="4">
        <v>2112.8650000000002</v>
      </c>
      <c r="E2033" s="79">
        <v>0</v>
      </c>
      <c r="F2033" s="79">
        <f>SUM(BASE_DATOS[[#This Row],[Capital($)]:[Interés
Resarcitorio($)]])</f>
        <v>5445.4590000000007</v>
      </c>
      <c r="G2033" s="8">
        <v>44636</v>
      </c>
      <c r="H2033" s="80" t="s">
        <v>51</v>
      </c>
      <c r="I2033" s="79" t="s">
        <v>9</v>
      </c>
      <c r="J2033" s="81">
        <v>120</v>
      </c>
      <c r="K2033" t="s">
        <v>47</v>
      </c>
    </row>
    <row r="2034" spans="2:11" x14ac:dyDescent="0.25">
      <c r="B2034" s="2">
        <f>+B2033</f>
        <v>22</v>
      </c>
      <c r="C2034" s="4">
        <v>3332.5940000000001</v>
      </c>
      <c r="D2034" s="4">
        <v>2112.8650000000002</v>
      </c>
      <c r="E2034" s="79">
        <v>608.08000000000004</v>
      </c>
      <c r="F2034" s="79">
        <f>SUM(BASE_DATOS[[#This Row],[Capital($)]:[Interés
Resarcitorio($)]])</f>
        <v>6053.5390000000007</v>
      </c>
      <c r="G2034" s="8">
        <v>44646</v>
      </c>
      <c r="H2034" s="80" t="s">
        <v>51</v>
      </c>
      <c r="I2034" s="79" t="s">
        <v>7</v>
      </c>
      <c r="J2034" s="81">
        <v>120</v>
      </c>
      <c r="K2034" t="s">
        <v>47</v>
      </c>
    </row>
    <row r="2035" spans="2:11" x14ac:dyDescent="0.25">
      <c r="B2035" s="2">
        <v>23</v>
      </c>
      <c r="C2035" s="4">
        <v>3332.5940000000001</v>
      </c>
      <c r="D2035" s="4">
        <v>2217.1750000000002</v>
      </c>
      <c r="E2035" s="79">
        <v>0</v>
      </c>
      <c r="F2035" s="79">
        <f>SUM(BASE_DATOS[[#This Row],[Capital($)]:[Interés
Resarcitorio($)]])</f>
        <v>5549.7690000000002</v>
      </c>
      <c r="G2035" s="8">
        <v>44667</v>
      </c>
      <c r="H2035" s="80" t="s">
        <v>51</v>
      </c>
      <c r="I2035" s="79" t="s">
        <v>9</v>
      </c>
      <c r="J2035" s="81">
        <v>120</v>
      </c>
      <c r="K2035" t="s">
        <v>47</v>
      </c>
    </row>
    <row r="2036" spans="2:11" x14ac:dyDescent="0.25">
      <c r="B2036" s="2">
        <f>+B2035</f>
        <v>23</v>
      </c>
      <c r="C2036" s="4">
        <v>3332.5940000000001</v>
      </c>
      <c r="D2036" s="4">
        <v>2217.1750000000002</v>
      </c>
      <c r="E2036" s="79">
        <v>688.17</v>
      </c>
      <c r="F2036" s="79">
        <f>SUM(BASE_DATOS[[#This Row],[Capital($)]:[Interés
Resarcitorio($)]])</f>
        <v>6237.9390000000003</v>
      </c>
      <c r="G2036" s="8">
        <v>44677</v>
      </c>
      <c r="H2036" s="80" t="s">
        <v>51</v>
      </c>
      <c r="I2036" s="79" t="s">
        <v>7</v>
      </c>
      <c r="J2036" s="81">
        <v>120</v>
      </c>
      <c r="K2036" t="s">
        <v>47</v>
      </c>
    </row>
    <row r="2037" spans="2:11" x14ac:dyDescent="0.25">
      <c r="B2037" s="2">
        <v>24</v>
      </c>
      <c r="C2037" s="4">
        <v>3332.5940000000001</v>
      </c>
      <c r="D2037" s="4">
        <v>2321.4849999999997</v>
      </c>
      <c r="E2037" s="79">
        <v>0</v>
      </c>
      <c r="F2037" s="79">
        <f>SUM(BASE_DATOS[[#This Row],[Capital($)]:[Interés
Resarcitorio($)]])</f>
        <v>5654.0789999999997</v>
      </c>
      <c r="G2037" s="8">
        <v>44697</v>
      </c>
      <c r="H2037" s="80" t="s">
        <v>51</v>
      </c>
      <c r="I2037" s="79" t="s">
        <v>9</v>
      </c>
      <c r="J2037" s="81">
        <v>120</v>
      </c>
      <c r="K2037" t="s">
        <v>47</v>
      </c>
    </row>
    <row r="2038" spans="2:11" x14ac:dyDescent="0.25">
      <c r="B2038" s="2">
        <f>+B2037</f>
        <v>24</v>
      </c>
      <c r="C2038" s="4">
        <v>3332.5940000000001</v>
      </c>
      <c r="D2038" s="4">
        <v>2321.4849999999997</v>
      </c>
      <c r="E2038" s="79">
        <v>701.11</v>
      </c>
      <c r="F2038" s="79">
        <f>SUM(BASE_DATOS[[#This Row],[Capital($)]:[Interés
Resarcitorio($)]])</f>
        <v>6355.1889999999994</v>
      </c>
      <c r="G2038" s="8">
        <v>44707</v>
      </c>
      <c r="H2038" s="80" t="s">
        <v>51</v>
      </c>
      <c r="I2038" s="79" t="s">
        <v>7</v>
      </c>
      <c r="J2038" s="81">
        <v>120</v>
      </c>
      <c r="K2038" t="s">
        <v>47</v>
      </c>
    </row>
    <row r="2039" spans="2:11" x14ac:dyDescent="0.25">
      <c r="B2039" s="2">
        <v>25</v>
      </c>
      <c r="C2039" s="4">
        <v>3332.5940000000001</v>
      </c>
      <c r="D2039" s="4">
        <v>2425.7950000000001</v>
      </c>
      <c r="E2039" s="79">
        <v>0</v>
      </c>
      <c r="F2039" s="79">
        <f>SUM(BASE_DATOS[[#This Row],[Capital($)]:[Interés
Resarcitorio($)]])</f>
        <v>5758.3890000000001</v>
      </c>
      <c r="G2039" s="8">
        <v>44728</v>
      </c>
      <c r="H2039" s="80" t="s">
        <v>51</v>
      </c>
      <c r="I2039" s="79" t="s">
        <v>9</v>
      </c>
      <c r="J2039" s="81">
        <v>120</v>
      </c>
      <c r="K2039" t="s">
        <v>47</v>
      </c>
    </row>
    <row r="2040" spans="2:11" x14ac:dyDescent="0.25">
      <c r="B2040" s="2">
        <f>+B2039</f>
        <v>25</v>
      </c>
      <c r="C2040" s="4">
        <v>3332.5940000000001</v>
      </c>
      <c r="D2040" s="4">
        <v>2425.7950000000001</v>
      </c>
      <c r="E2040" s="79">
        <v>714.04</v>
      </c>
      <c r="F2040" s="79">
        <f>SUM(BASE_DATOS[[#This Row],[Capital($)]:[Interés
Resarcitorio($)]])</f>
        <v>6472.4290000000001</v>
      </c>
      <c r="G2040" s="8">
        <v>44738</v>
      </c>
      <c r="H2040" s="80" t="s">
        <v>51</v>
      </c>
      <c r="I2040" s="79" t="s">
        <v>7</v>
      </c>
      <c r="J2040" s="81">
        <v>120</v>
      </c>
      <c r="K2040" t="s">
        <v>47</v>
      </c>
    </row>
    <row r="2041" spans="2:11" x14ac:dyDescent="0.25">
      <c r="B2041" s="2">
        <v>26</v>
      </c>
      <c r="C2041" s="4">
        <v>3332.5940000000001</v>
      </c>
      <c r="D2041" s="4">
        <v>2530.105</v>
      </c>
      <c r="E2041" s="79">
        <v>0</v>
      </c>
      <c r="F2041" s="79">
        <f>SUM(BASE_DATOS[[#This Row],[Capital($)]:[Interés
Resarcitorio($)]])</f>
        <v>5862.6990000000005</v>
      </c>
      <c r="G2041" s="8">
        <v>44758</v>
      </c>
      <c r="H2041" s="80" t="s">
        <v>51</v>
      </c>
      <c r="I2041" s="79" t="s">
        <v>9</v>
      </c>
      <c r="J2041" s="81">
        <v>120</v>
      </c>
      <c r="K2041" t="s">
        <v>47</v>
      </c>
    </row>
    <row r="2042" spans="2:11" x14ac:dyDescent="0.25">
      <c r="B2042" s="2">
        <f>+B2041</f>
        <v>26</v>
      </c>
      <c r="C2042" s="4">
        <v>3332.5940000000001</v>
      </c>
      <c r="D2042" s="4">
        <v>2530.105</v>
      </c>
      <c r="E2042" s="79">
        <v>830.55</v>
      </c>
      <c r="F2042" s="79">
        <f>SUM(BASE_DATOS[[#This Row],[Capital($)]:[Interés
Resarcitorio($)]])</f>
        <v>6693.2490000000007</v>
      </c>
      <c r="G2042" s="8">
        <v>44768</v>
      </c>
      <c r="H2042" s="80" t="s">
        <v>51</v>
      </c>
      <c r="I2042" s="79" t="s">
        <v>7</v>
      </c>
      <c r="J2042" s="81">
        <v>120</v>
      </c>
      <c r="K2042" t="s">
        <v>47</v>
      </c>
    </row>
    <row r="2043" spans="2:11" x14ac:dyDescent="0.25">
      <c r="B2043" s="2">
        <v>27</v>
      </c>
      <c r="C2043" s="4">
        <v>3332.5940000000001</v>
      </c>
      <c r="D2043" s="4">
        <v>2670.4080000000004</v>
      </c>
      <c r="E2043" s="79">
        <v>0</v>
      </c>
      <c r="F2043" s="79">
        <f>SUM(BASE_DATOS[[#This Row],[Capital($)]:[Interés
Resarcitorio($)]])</f>
        <v>6003.0020000000004</v>
      </c>
      <c r="G2043" s="8">
        <v>44789</v>
      </c>
      <c r="H2043" s="80" t="s">
        <v>51</v>
      </c>
      <c r="I2043" s="79" t="s">
        <v>9</v>
      </c>
      <c r="J2043" s="81">
        <v>120</v>
      </c>
      <c r="K2043" t="s">
        <v>47</v>
      </c>
    </row>
    <row r="2044" spans="2:11" x14ac:dyDescent="0.25">
      <c r="B2044" s="2">
        <f>+B2043</f>
        <v>27</v>
      </c>
      <c r="C2044" s="4">
        <v>3332.5940000000001</v>
      </c>
      <c r="D2044" s="4">
        <v>2670.4080000000004</v>
      </c>
      <c r="E2044" s="79">
        <v>850.43</v>
      </c>
      <c r="F2044" s="79">
        <f>SUM(BASE_DATOS[[#This Row],[Capital($)]:[Interés
Resarcitorio($)]])</f>
        <v>6853.4320000000007</v>
      </c>
      <c r="G2044" s="8">
        <v>44799</v>
      </c>
      <c r="H2044" s="80" t="s">
        <v>51</v>
      </c>
      <c r="I2044" s="79" t="s">
        <v>7</v>
      </c>
      <c r="J2044" s="81">
        <v>120</v>
      </c>
      <c r="K2044" t="s">
        <v>47</v>
      </c>
    </row>
    <row r="2045" spans="2:11" x14ac:dyDescent="0.25">
      <c r="B2045" s="2">
        <v>28</v>
      </c>
      <c r="C2045" s="4">
        <v>3332.5940000000001</v>
      </c>
      <c r="D2045" s="4">
        <v>2810.71</v>
      </c>
      <c r="E2045" s="79">
        <v>0</v>
      </c>
      <c r="F2045" s="79">
        <f>SUM(BASE_DATOS[[#This Row],[Capital($)]:[Interés
Resarcitorio($)]])</f>
        <v>6143.3040000000001</v>
      </c>
      <c r="G2045" s="8">
        <v>44820</v>
      </c>
      <c r="H2045" s="80" t="s">
        <v>51</v>
      </c>
      <c r="I2045" s="79" t="s">
        <v>9</v>
      </c>
      <c r="J2045" s="81">
        <v>120</v>
      </c>
      <c r="K2045" t="s">
        <v>47</v>
      </c>
    </row>
    <row r="2046" spans="2:11" x14ac:dyDescent="0.25">
      <c r="B2046" s="2">
        <f>+B2045</f>
        <v>28</v>
      </c>
      <c r="C2046" s="4">
        <v>3332.5940000000001</v>
      </c>
      <c r="D2046" s="4">
        <v>2810.71</v>
      </c>
      <c r="E2046" s="79">
        <v>1210.23</v>
      </c>
      <c r="F2046" s="79">
        <f>SUM(BASE_DATOS[[#This Row],[Capital($)]:[Interés
Resarcitorio($)]])</f>
        <v>7353.5339999999997</v>
      </c>
      <c r="G2046" s="8">
        <v>44830</v>
      </c>
      <c r="H2046" s="80" t="s">
        <v>51</v>
      </c>
      <c r="I2046" s="79" t="s">
        <v>7</v>
      </c>
      <c r="J2046" s="81">
        <v>120</v>
      </c>
      <c r="K2046" t="s">
        <v>47</v>
      </c>
    </row>
    <row r="2047" spans="2:11" x14ac:dyDescent="0.25">
      <c r="B2047" s="2">
        <v>29</v>
      </c>
      <c r="C2047" s="4">
        <v>3332.5940000000001</v>
      </c>
      <c r="D2047" s="4">
        <v>2951.0119999999997</v>
      </c>
      <c r="E2047" s="79">
        <v>0</v>
      </c>
      <c r="F2047" s="79">
        <f>SUM(BASE_DATOS[[#This Row],[Capital($)]:[Interés
Resarcitorio($)]])</f>
        <v>6283.6059999999998</v>
      </c>
      <c r="G2047" s="8">
        <v>44850</v>
      </c>
      <c r="H2047" s="80" t="s">
        <v>51</v>
      </c>
      <c r="I2047" s="79" t="s">
        <v>9</v>
      </c>
      <c r="J2047" s="81">
        <v>120</v>
      </c>
      <c r="K2047" t="s">
        <v>47</v>
      </c>
    </row>
    <row r="2048" spans="2:11" x14ac:dyDescent="0.25">
      <c r="B2048" s="2">
        <f>+B2047</f>
        <v>29</v>
      </c>
      <c r="C2048" s="4">
        <v>3332.5940000000001</v>
      </c>
      <c r="D2048" s="4">
        <v>2951.0119999999997</v>
      </c>
      <c r="E2048" s="79">
        <v>1237.8699999999999</v>
      </c>
      <c r="F2048" s="79">
        <f>SUM(BASE_DATOS[[#This Row],[Capital($)]:[Interés
Resarcitorio($)]])</f>
        <v>7521.4759999999997</v>
      </c>
      <c r="G2048" s="8">
        <v>44860</v>
      </c>
      <c r="H2048" s="80" t="s">
        <v>51</v>
      </c>
      <c r="I2048" s="79" t="s">
        <v>7</v>
      </c>
      <c r="J2048" s="81">
        <v>120</v>
      </c>
      <c r="K2048" t="s">
        <v>47</v>
      </c>
    </row>
    <row r="2049" spans="2:11" x14ac:dyDescent="0.25">
      <c r="B2049" s="2">
        <v>30</v>
      </c>
      <c r="C2049" s="4">
        <v>3332.5940000000001</v>
      </c>
      <c r="D2049" s="4">
        <v>3091.3139999999999</v>
      </c>
      <c r="E2049" s="79">
        <v>0</v>
      </c>
      <c r="F2049" s="79">
        <f>SUM(BASE_DATOS[[#This Row],[Capital($)]:[Interés
Resarcitorio($)]])</f>
        <v>6423.9079999999994</v>
      </c>
      <c r="G2049" s="8">
        <v>44881</v>
      </c>
      <c r="H2049" s="80" t="s">
        <v>51</v>
      </c>
      <c r="I2049" s="79" t="s">
        <v>9</v>
      </c>
      <c r="J2049" s="81">
        <v>120</v>
      </c>
      <c r="K2049" t="s">
        <v>47</v>
      </c>
    </row>
    <row r="2050" spans="2:11" x14ac:dyDescent="0.25">
      <c r="B2050" s="2">
        <f>+B2049</f>
        <v>30</v>
      </c>
      <c r="C2050" s="4">
        <v>3332.5940000000001</v>
      </c>
      <c r="D2050" s="4">
        <v>3091.3139999999999</v>
      </c>
      <c r="E2050" s="79">
        <v>1265.51</v>
      </c>
      <c r="F2050" s="79">
        <f>SUM(BASE_DATOS[[#This Row],[Capital($)]:[Interés
Resarcitorio($)]])</f>
        <v>7689.4179999999997</v>
      </c>
      <c r="G2050" s="8">
        <v>44891</v>
      </c>
      <c r="H2050" s="80" t="s">
        <v>51</v>
      </c>
      <c r="I2050" s="79" t="s">
        <v>7</v>
      </c>
      <c r="J2050" s="81">
        <v>120</v>
      </c>
      <c r="K2050" t="s">
        <v>47</v>
      </c>
    </row>
    <row r="2051" spans="2:11" x14ac:dyDescent="0.25">
      <c r="B2051" s="2">
        <v>31</v>
      </c>
      <c r="C2051" s="4">
        <v>3332.5940000000001</v>
      </c>
      <c r="D2051" s="4">
        <v>3231.616</v>
      </c>
      <c r="E2051" s="79">
        <v>0</v>
      </c>
      <c r="F2051" s="79">
        <f>SUM(BASE_DATOS[[#This Row],[Capital($)]:[Interés
Resarcitorio($)]])</f>
        <v>6564.21</v>
      </c>
      <c r="G2051" s="8">
        <v>44911</v>
      </c>
      <c r="H2051" s="80" t="s">
        <v>51</v>
      </c>
      <c r="I2051" s="79" t="s">
        <v>9</v>
      </c>
      <c r="J2051" s="81">
        <v>120</v>
      </c>
      <c r="K2051" t="s">
        <v>47</v>
      </c>
    </row>
    <row r="2052" spans="2:11" x14ac:dyDescent="0.25">
      <c r="B2052" s="2">
        <f>+B2051</f>
        <v>31</v>
      </c>
      <c r="C2052" s="4">
        <v>3332.5940000000001</v>
      </c>
      <c r="D2052" s="4">
        <v>3231.616</v>
      </c>
      <c r="E2052" s="79">
        <v>1293.1500000000001</v>
      </c>
      <c r="F2052" s="79">
        <f>SUM(BASE_DATOS[[#This Row],[Capital($)]:[Interés
Resarcitorio($)]])</f>
        <v>7857.3600000000006</v>
      </c>
      <c r="G2052" s="8">
        <v>44921</v>
      </c>
      <c r="H2052" s="80" t="s">
        <v>51</v>
      </c>
      <c r="I2052" s="79" t="s">
        <v>7</v>
      </c>
      <c r="J2052" s="81">
        <v>120</v>
      </c>
      <c r="K2052" t="s">
        <v>47</v>
      </c>
    </row>
    <row r="2053" spans="2:11" x14ac:dyDescent="0.25">
      <c r="B2053" s="2">
        <v>32</v>
      </c>
      <c r="C2053" s="4">
        <v>3332.5940000000001</v>
      </c>
      <c r="D2053" s="4">
        <v>3371.9190000000003</v>
      </c>
      <c r="E2053" s="79">
        <v>0</v>
      </c>
      <c r="F2053" s="79">
        <f>SUM(BASE_DATOS[[#This Row],[Capital($)]:[Interés
Resarcitorio($)]])</f>
        <v>6704.5130000000008</v>
      </c>
      <c r="G2053" s="8">
        <v>44942</v>
      </c>
      <c r="H2053" s="80" t="s">
        <v>51</v>
      </c>
      <c r="I2053" s="79" t="s">
        <v>9</v>
      </c>
      <c r="J2053" s="81">
        <v>120</v>
      </c>
      <c r="K2053" t="s">
        <v>47</v>
      </c>
    </row>
    <row r="2054" spans="2:11" x14ac:dyDescent="0.25">
      <c r="B2054" s="2">
        <f>+B2053</f>
        <v>32</v>
      </c>
      <c r="C2054" s="4">
        <v>3332.5940000000001</v>
      </c>
      <c r="D2054" s="4">
        <v>3371.9190000000003</v>
      </c>
      <c r="E2054" s="79">
        <v>1320.79</v>
      </c>
      <c r="F2054" s="79">
        <f>SUM(BASE_DATOS[[#This Row],[Capital($)]:[Interés
Resarcitorio($)]])</f>
        <v>8025.3030000000008</v>
      </c>
      <c r="G2054" s="8">
        <v>44952</v>
      </c>
      <c r="H2054" s="80" t="s">
        <v>51</v>
      </c>
      <c r="I2054" s="79" t="s">
        <v>7</v>
      </c>
      <c r="J2054" s="81">
        <v>120</v>
      </c>
      <c r="K2054" t="s">
        <v>47</v>
      </c>
    </row>
    <row r="2055" spans="2:11" x14ac:dyDescent="0.25">
      <c r="B2055" s="2">
        <v>33</v>
      </c>
      <c r="C2055" s="4">
        <v>3332.5940000000001</v>
      </c>
      <c r="D2055" s="4">
        <v>3563.5430000000001</v>
      </c>
      <c r="E2055" s="79">
        <v>0</v>
      </c>
      <c r="F2055" s="79">
        <f>SUM(BASE_DATOS[[#This Row],[Capital($)]:[Interés
Resarcitorio($)]])</f>
        <v>6896.1370000000006</v>
      </c>
      <c r="G2055" s="8">
        <v>44973</v>
      </c>
      <c r="H2055" s="80" t="s">
        <v>51</v>
      </c>
      <c r="I2055" s="79" t="s">
        <v>9</v>
      </c>
      <c r="J2055" s="81">
        <v>120</v>
      </c>
      <c r="K2055" t="s">
        <v>47</v>
      </c>
    </row>
    <row r="2056" spans="2:11" x14ac:dyDescent="0.25">
      <c r="B2056" s="2">
        <f>+B2055</f>
        <v>33</v>
      </c>
      <c r="C2056" s="4">
        <v>3332.5940000000001</v>
      </c>
      <c r="D2056" s="4">
        <v>3563.5430000000001</v>
      </c>
      <c r="E2056" s="79">
        <v>1358.54</v>
      </c>
      <c r="F2056" s="79">
        <f>SUM(BASE_DATOS[[#This Row],[Capital($)]:[Interés
Resarcitorio($)]])</f>
        <v>8254.6769999999997</v>
      </c>
      <c r="G2056" s="8">
        <v>44983</v>
      </c>
      <c r="H2056" s="80" t="s">
        <v>51</v>
      </c>
      <c r="I2056" s="79" t="s">
        <v>7</v>
      </c>
      <c r="J2056" s="81">
        <v>120</v>
      </c>
      <c r="K2056" t="s">
        <v>47</v>
      </c>
    </row>
    <row r="2057" spans="2:11" x14ac:dyDescent="0.25">
      <c r="B2057" s="2">
        <v>34</v>
      </c>
      <c r="C2057" s="4">
        <v>3332.5940000000001</v>
      </c>
      <c r="D2057" s="4">
        <v>3755.1669999999999</v>
      </c>
      <c r="E2057" s="79">
        <v>0</v>
      </c>
      <c r="F2057" s="79">
        <f>SUM(BASE_DATOS[[#This Row],[Capital($)]:[Interés
Resarcitorio($)]])</f>
        <v>7087.7610000000004</v>
      </c>
      <c r="G2057" s="8">
        <v>45001</v>
      </c>
      <c r="H2057" s="80" t="s">
        <v>51</v>
      </c>
      <c r="I2057" s="79" t="s">
        <v>9</v>
      </c>
      <c r="J2057" s="81">
        <v>120</v>
      </c>
      <c r="K2057" t="s">
        <v>47</v>
      </c>
    </row>
    <row r="2058" spans="2:11" x14ac:dyDescent="0.25">
      <c r="B2058" s="2">
        <f>+B2057</f>
        <v>34</v>
      </c>
      <c r="C2058" s="4">
        <v>3332.5940000000001</v>
      </c>
      <c r="D2058" s="4">
        <v>3755.1669999999999</v>
      </c>
      <c r="E2058" s="79">
        <v>1396.29</v>
      </c>
      <c r="F2058" s="79">
        <f>SUM(BASE_DATOS[[#This Row],[Capital($)]:[Interés
Resarcitorio($)]])</f>
        <v>8484.0509999999995</v>
      </c>
      <c r="G2058" s="8">
        <v>45011</v>
      </c>
      <c r="H2058" s="80" t="s">
        <v>51</v>
      </c>
      <c r="I2058" s="79" t="s">
        <v>7</v>
      </c>
      <c r="J2058" s="81">
        <v>120</v>
      </c>
      <c r="K2058" t="s">
        <v>47</v>
      </c>
    </row>
    <row r="2059" spans="2:11" x14ac:dyDescent="0.25">
      <c r="B2059" s="2">
        <v>35</v>
      </c>
      <c r="C2059" s="4">
        <v>3332.5940000000001</v>
      </c>
      <c r="D2059" s="4">
        <v>3946.7910000000002</v>
      </c>
      <c r="E2059" s="79">
        <v>0</v>
      </c>
      <c r="F2059" s="79">
        <f>SUM(BASE_DATOS[[#This Row],[Capital($)]:[Interés
Resarcitorio($)]])</f>
        <v>7279.3850000000002</v>
      </c>
      <c r="G2059" s="8">
        <v>45032</v>
      </c>
      <c r="H2059" s="80" t="s">
        <v>51</v>
      </c>
      <c r="I2059" s="79" t="s">
        <v>9</v>
      </c>
      <c r="J2059" s="81">
        <v>120</v>
      </c>
      <c r="K2059" t="s">
        <v>47</v>
      </c>
    </row>
    <row r="2060" spans="2:11" x14ac:dyDescent="0.25">
      <c r="B2060" s="2">
        <f>+B2059</f>
        <v>35</v>
      </c>
      <c r="C2060" s="4">
        <v>3332.5940000000001</v>
      </c>
      <c r="D2060" s="4">
        <v>3946.7910000000002</v>
      </c>
      <c r="E2060" s="79">
        <v>1434.04</v>
      </c>
      <c r="F2060" s="79">
        <f>SUM(BASE_DATOS[[#This Row],[Capital($)]:[Interés
Resarcitorio($)]])</f>
        <v>8713.4249999999993</v>
      </c>
      <c r="G2060" s="8">
        <v>45042</v>
      </c>
      <c r="H2060" s="80" t="s">
        <v>51</v>
      </c>
      <c r="I2060" s="79" t="s">
        <v>7</v>
      </c>
      <c r="J2060" s="81">
        <v>120</v>
      </c>
      <c r="K2060" t="s">
        <v>47</v>
      </c>
    </row>
    <row r="2061" spans="2:11" x14ac:dyDescent="0.25">
      <c r="B2061" s="2">
        <v>36</v>
      </c>
      <c r="C2061" s="4">
        <v>3332.5940000000001</v>
      </c>
      <c r="D2061" s="4">
        <v>4138.415</v>
      </c>
      <c r="E2061" s="79">
        <v>0</v>
      </c>
      <c r="F2061" s="79">
        <f>SUM(BASE_DATOS[[#This Row],[Capital($)]:[Interés
Resarcitorio($)]])</f>
        <v>7471.009</v>
      </c>
      <c r="G2061" s="8">
        <v>45062</v>
      </c>
      <c r="H2061" s="80" t="s">
        <v>51</v>
      </c>
      <c r="I2061" s="79" t="s">
        <v>9</v>
      </c>
      <c r="J2061" s="81">
        <v>120</v>
      </c>
      <c r="K2061" t="s">
        <v>47</v>
      </c>
    </row>
    <row r="2062" spans="2:11" x14ac:dyDescent="0.25">
      <c r="B2062" s="2">
        <f>+B2061</f>
        <v>36</v>
      </c>
      <c r="C2062" s="4">
        <v>3332.5940000000001</v>
      </c>
      <c r="D2062" s="4">
        <v>4138.415</v>
      </c>
      <c r="E2062" s="79">
        <v>1471.79</v>
      </c>
      <c r="F2062" s="79">
        <f>SUM(BASE_DATOS[[#This Row],[Capital($)]:[Interés
Resarcitorio($)]])</f>
        <v>8942.7989999999991</v>
      </c>
      <c r="G2062" s="8">
        <v>45072</v>
      </c>
      <c r="H2062" s="80" t="s">
        <v>51</v>
      </c>
      <c r="I2062" s="79" t="s">
        <v>7</v>
      </c>
      <c r="J2062" s="81">
        <v>120</v>
      </c>
      <c r="K2062" t="s">
        <v>47</v>
      </c>
    </row>
    <row r="2063" spans="2:11" x14ac:dyDescent="0.25">
      <c r="B2063" s="2">
        <v>37</v>
      </c>
      <c r="C2063" s="4">
        <v>3332.5940000000001</v>
      </c>
      <c r="D2063" s="4">
        <v>4330.0389999999998</v>
      </c>
      <c r="E2063" s="79">
        <v>0</v>
      </c>
      <c r="F2063" s="79">
        <f>SUM(BASE_DATOS[[#This Row],[Capital($)]:[Interés
Resarcitorio($)]])</f>
        <v>7662.6329999999998</v>
      </c>
      <c r="G2063" s="8">
        <v>45093</v>
      </c>
      <c r="H2063" s="80" t="s">
        <v>51</v>
      </c>
      <c r="I2063" s="79" t="s">
        <v>9</v>
      </c>
      <c r="J2063" s="81">
        <v>120</v>
      </c>
      <c r="K2063" t="s">
        <v>47</v>
      </c>
    </row>
    <row r="2064" spans="2:11" x14ac:dyDescent="0.25">
      <c r="B2064" s="2">
        <f>+B2063</f>
        <v>37</v>
      </c>
      <c r="C2064" s="4">
        <v>3332.5940000000001</v>
      </c>
      <c r="D2064" s="4">
        <v>4330.0389999999998</v>
      </c>
      <c r="E2064" s="79">
        <v>1509.54</v>
      </c>
      <c r="F2064" s="79">
        <f>SUM(BASE_DATOS[[#This Row],[Capital($)]:[Interés
Resarcitorio($)]])</f>
        <v>9172.1729999999989</v>
      </c>
      <c r="G2064" s="8">
        <v>45103</v>
      </c>
      <c r="H2064" s="80" t="s">
        <v>51</v>
      </c>
      <c r="I2064" s="79" t="s">
        <v>7</v>
      </c>
      <c r="J2064" s="81">
        <v>120</v>
      </c>
      <c r="K2064" t="s">
        <v>47</v>
      </c>
    </row>
    <row r="2065" spans="2:11" x14ac:dyDescent="0.25">
      <c r="B2065" s="2">
        <v>38</v>
      </c>
      <c r="C2065" s="4">
        <v>3332.5940000000001</v>
      </c>
      <c r="D2065" s="4">
        <v>4521.6639999999998</v>
      </c>
      <c r="E2065" s="79">
        <v>0</v>
      </c>
      <c r="F2065" s="79">
        <f>SUM(BASE_DATOS[[#This Row],[Capital($)]:[Interés
Resarcitorio($)]])</f>
        <v>7854.2579999999998</v>
      </c>
      <c r="G2065" s="8">
        <v>45123</v>
      </c>
      <c r="H2065" s="80" t="s">
        <v>51</v>
      </c>
      <c r="I2065" s="79" t="s">
        <v>9</v>
      </c>
      <c r="J2065" s="81">
        <v>120</v>
      </c>
      <c r="K2065" t="s">
        <v>47</v>
      </c>
    </row>
    <row r="2066" spans="2:11" x14ac:dyDescent="0.25">
      <c r="B2066" s="2">
        <f>+B2065</f>
        <v>38</v>
      </c>
      <c r="C2066" s="4">
        <v>3332.5940000000001</v>
      </c>
      <c r="D2066" s="4">
        <v>4521.6639999999998</v>
      </c>
      <c r="E2066" s="79">
        <v>1547.29</v>
      </c>
      <c r="F2066" s="79">
        <f>SUM(BASE_DATOS[[#This Row],[Capital($)]:[Interés
Resarcitorio($)]])</f>
        <v>9401.5479999999989</v>
      </c>
      <c r="G2066" s="8">
        <v>45133</v>
      </c>
      <c r="H2066" s="80" t="s">
        <v>51</v>
      </c>
      <c r="I2066" s="79" t="s">
        <v>7</v>
      </c>
      <c r="J2066" s="81">
        <v>120</v>
      </c>
      <c r="K2066" t="s">
        <v>47</v>
      </c>
    </row>
    <row r="2067" spans="2:11" x14ac:dyDescent="0.25">
      <c r="B2067" s="2">
        <v>39</v>
      </c>
      <c r="C2067" s="4">
        <v>3332.5940000000001</v>
      </c>
      <c r="D2067" s="4">
        <v>4774.9410000000007</v>
      </c>
      <c r="E2067" s="79">
        <v>0</v>
      </c>
      <c r="F2067" s="79">
        <f>SUM(BASE_DATOS[[#This Row],[Capital($)]:[Interés
Resarcitorio($)]])</f>
        <v>8107.5350000000008</v>
      </c>
      <c r="G2067" s="8">
        <v>45154</v>
      </c>
      <c r="H2067" s="80" t="s">
        <v>51</v>
      </c>
      <c r="I2067" s="79" t="s">
        <v>9</v>
      </c>
      <c r="J2067" s="81">
        <v>120</v>
      </c>
      <c r="K2067" t="s">
        <v>47</v>
      </c>
    </row>
    <row r="2068" spans="2:11" x14ac:dyDescent="0.25">
      <c r="B2068" s="2">
        <f>+B2067</f>
        <v>39</v>
      </c>
      <c r="C2068" s="4">
        <v>3332.5940000000001</v>
      </c>
      <c r="D2068" s="4">
        <v>4774.9410000000007</v>
      </c>
      <c r="E2068" s="79">
        <v>1597.18</v>
      </c>
      <c r="F2068" s="79">
        <f>SUM(BASE_DATOS[[#This Row],[Capital($)]:[Interés
Resarcitorio($)]])</f>
        <v>9704.7150000000001</v>
      </c>
      <c r="G2068" s="8">
        <v>45164</v>
      </c>
      <c r="H2068" s="80" t="s">
        <v>51</v>
      </c>
      <c r="I2068" s="79" t="s">
        <v>7</v>
      </c>
      <c r="J2068" s="81">
        <v>120</v>
      </c>
      <c r="K2068" t="s">
        <v>47</v>
      </c>
    </row>
    <row r="2069" spans="2:11" x14ac:dyDescent="0.25">
      <c r="B2069" s="2">
        <v>40</v>
      </c>
      <c r="C2069" s="4">
        <v>3332.5940000000001</v>
      </c>
      <c r="D2069" s="4">
        <v>5028.2179999999998</v>
      </c>
      <c r="E2069" s="79">
        <v>0</v>
      </c>
      <c r="F2069" s="79">
        <f>SUM(BASE_DATOS[[#This Row],[Capital($)]:[Interés
Resarcitorio($)]])</f>
        <v>8360.8119999999999</v>
      </c>
      <c r="G2069" s="8">
        <v>45185</v>
      </c>
      <c r="H2069" s="80" t="s">
        <v>51</v>
      </c>
      <c r="I2069" s="79" t="s">
        <v>9</v>
      </c>
      <c r="J2069" s="81">
        <v>120</v>
      </c>
      <c r="K2069" t="s">
        <v>47</v>
      </c>
    </row>
    <row r="2070" spans="2:11" x14ac:dyDescent="0.25">
      <c r="B2070" s="2">
        <f>+B2069</f>
        <v>40</v>
      </c>
      <c r="C2070" s="4">
        <v>3332.5940000000001</v>
      </c>
      <c r="D2070" s="4">
        <v>5028.2179999999998</v>
      </c>
      <c r="E2070" s="79">
        <v>1647.08</v>
      </c>
      <c r="F2070" s="79">
        <f>SUM(BASE_DATOS[[#This Row],[Capital($)]:[Interés
Resarcitorio($)]])</f>
        <v>10007.892</v>
      </c>
      <c r="G2070" s="8">
        <v>45195</v>
      </c>
      <c r="H2070" s="80" t="s">
        <v>51</v>
      </c>
      <c r="I2070" s="79" t="s">
        <v>7</v>
      </c>
      <c r="J2070" s="81">
        <v>120</v>
      </c>
      <c r="K2070" t="s">
        <v>47</v>
      </c>
    </row>
    <row r="2071" spans="2:11" x14ac:dyDescent="0.25">
      <c r="B2071" s="2">
        <v>41</v>
      </c>
      <c r="C2071" s="4">
        <v>3332.5940000000001</v>
      </c>
      <c r="D2071" s="4">
        <v>5281.4949999999999</v>
      </c>
      <c r="E2071" s="79">
        <v>0</v>
      </c>
      <c r="F2071" s="79">
        <f>SUM(BASE_DATOS[[#This Row],[Capital($)]:[Interés
Resarcitorio($)]])</f>
        <v>8614.0889999999999</v>
      </c>
      <c r="G2071" s="8">
        <v>45215</v>
      </c>
      <c r="H2071" s="80" t="s">
        <v>51</v>
      </c>
      <c r="I2071" s="79" t="s">
        <v>9</v>
      </c>
      <c r="J2071" s="81">
        <v>120</v>
      </c>
      <c r="K2071" t="s">
        <v>47</v>
      </c>
    </row>
    <row r="2072" spans="2:11" x14ac:dyDescent="0.25">
      <c r="B2072" s="2">
        <f>+B2071</f>
        <v>41</v>
      </c>
      <c r="C2072" s="4">
        <v>3332.5940000000001</v>
      </c>
      <c r="D2072" s="4">
        <v>5281.4949999999999</v>
      </c>
      <c r="E2072" s="79">
        <v>1696.98</v>
      </c>
      <c r="F2072" s="79">
        <f>SUM(BASE_DATOS[[#This Row],[Capital($)]:[Interés
Resarcitorio($)]])</f>
        <v>10311.069</v>
      </c>
      <c r="G2072" s="8">
        <v>45225</v>
      </c>
      <c r="H2072" s="80" t="s">
        <v>51</v>
      </c>
      <c r="I2072" s="79" t="s">
        <v>7</v>
      </c>
      <c r="J2072" s="81">
        <v>120</v>
      </c>
      <c r="K2072" t="s">
        <v>47</v>
      </c>
    </row>
    <row r="2073" spans="2:11" x14ac:dyDescent="0.25">
      <c r="B2073" s="2">
        <v>42</v>
      </c>
      <c r="C2073" s="4">
        <v>3332.5940000000001</v>
      </c>
      <c r="D2073" s="4">
        <v>5534.7719999999999</v>
      </c>
      <c r="E2073" s="79">
        <v>0</v>
      </c>
      <c r="F2073" s="79">
        <f>SUM(BASE_DATOS[[#This Row],[Capital($)]:[Interés
Resarcitorio($)]])</f>
        <v>8867.366</v>
      </c>
      <c r="G2073" s="8">
        <v>45246</v>
      </c>
      <c r="H2073" s="80" t="s">
        <v>51</v>
      </c>
      <c r="I2073" s="79" t="s">
        <v>9</v>
      </c>
      <c r="J2073" s="81">
        <v>120</v>
      </c>
      <c r="K2073" t="s">
        <v>47</v>
      </c>
    </row>
    <row r="2074" spans="2:11" x14ac:dyDescent="0.25">
      <c r="B2074" s="2">
        <f>+B2073</f>
        <v>42</v>
      </c>
      <c r="C2074" s="4">
        <v>3332.5940000000001</v>
      </c>
      <c r="D2074" s="4">
        <v>5534.7719999999999</v>
      </c>
      <c r="E2074" s="79">
        <v>1746.87</v>
      </c>
      <c r="F2074" s="79">
        <f>SUM(BASE_DATOS[[#This Row],[Capital($)]:[Interés
Resarcitorio($)]])</f>
        <v>10614.236000000001</v>
      </c>
      <c r="G2074" s="8">
        <v>45256</v>
      </c>
      <c r="H2074" s="80" t="s">
        <v>51</v>
      </c>
      <c r="I2074" s="79" t="s">
        <v>7</v>
      </c>
      <c r="J2074" s="81">
        <v>120</v>
      </c>
      <c r="K2074" t="s">
        <v>47</v>
      </c>
    </row>
    <row r="2075" spans="2:11" x14ac:dyDescent="0.25">
      <c r="B2075" s="2">
        <v>43</v>
      </c>
      <c r="C2075" s="4">
        <v>3332.5940000000001</v>
      </c>
      <c r="D2075" s="4">
        <v>5788.049</v>
      </c>
      <c r="E2075" s="79">
        <v>0</v>
      </c>
      <c r="F2075" s="79">
        <f>SUM(BASE_DATOS[[#This Row],[Capital($)]:[Interés
Resarcitorio($)]])</f>
        <v>9120.643</v>
      </c>
      <c r="G2075" s="8">
        <v>45276</v>
      </c>
      <c r="H2075" s="80" t="s">
        <v>51</v>
      </c>
      <c r="I2075" s="79" t="s">
        <v>9</v>
      </c>
      <c r="J2075" s="81">
        <v>120</v>
      </c>
      <c r="K2075" t="s">
        <v>47</v>
      </c>
    </row>
    <row r="2076" spans="2:11" x14ac:dyDescent="0.25">
      <c r="B2076" s="2">
        <f>+B2075</f>
        <v>43</v>
      </c>
      <c r="C2076" s="4">
        <v>3332.5940000000001</v>
      </c>
      <c r="D2076" s="4">
        <v>5788.049</v>
      </c>
      <c r="E2076" s="79">
        <v>1796.77</v>
      </c>
      <c r="F2076" s="79">
        <f>SUM(BASE_DATOS[[#This Row],[Capital($)]:[Interés
Resarcitorio($)]])</f>
        <v>10917.413</v>
      </c>
      <c r="G2076" s="8">
        <v>45286</v>
      </c>
      <c r="H2076" s="80" t="s">
        <v>51</v>
      </c>
      <c r="I2076" s="79" t="s">
        <v>7</v>
      </c>
      <c r="J2076" s="81">
        <v>120</v>
      </c>
      <c r="K2076" t="s">
        <v>47</v>
      </c>
    </row>
    <row r="2077" spans="2:11" x14ac:dyDescent="0.25">
      <c r="B2077" s="2">
        <v>44</v>
      </c>
      <c r="C2077" s="4">
        <v>3332.5940000000001</v>
      </c>
      <c r="D2077" s="4">
        <v>6041.326</v>
      </c>
      <c r="E2077" s="79">
        <v>0</v>
      </c>
      <c r="F2077" s="79">
        <f>SUM(BASE_DATOS[[#This Row],[Capital($)]:[Interés
Resarcitorio($)]])</f>
        <v>9373.92</v>
      </c>
      <c r="G2077" s="8">
        <v>45307</v>
      </c>
      <c r="H2077" s="80" t="s">
        <v>51</v>
      </c>
      <c r="I2077" s="79" t="s">
        <v>9</v>
      </c>
      <c r="J2077" s="81">
        <v>120</v>
      </c>
      <c r="K2077" t="s">
        <v>47</v>
      </c>
    </row>
    <row r="2078" spans="2:11" x14ac:dyDescent="0.25">
      <c r="B2078" s="2">
        <f>+B2077</f>
        <v>44</v>
      </c>
      <c r="C2078" s="4">
        <v>3332.5940000000001</v>
      </c>
      <c r="D2078" s="4">
        <v>6041.326</v>
      </c>
      <c r="E2078" s="79">
        <v>1846.66</v>
      </c>
      <c r="F2078" s="79">
        <f>SUM(BASE_DATOS[[#This Row],[Capital($)]:[Interés
Resarcitorio($)]])</f>
        <v>11220.58</v>
      </c>
      <c r="G2078" s="8">
        <v>45317</v>
      </c>
      <c r="H2078" s="80" t="s">
        <v>51</v>
      </c>
      <c r="I2078" s="79" t="s">
        <v>7</v>
      </c>
      <c r="J2078" s="81">
        <v>120</v>
      </c>
      <c r="K2078" t="s">
        <v>47</v>
      </c>
    </row>
    <row r="2079" spans="2:11" x14ac:dyDescent="0.25">
      <c r="B2079" s="2">
        <v>45</v>
      </c>
      <c r="C2079" s="4">
        <v>3332.5940000000001</v>
      </c>
      <c r="D2079" s="4">
        <v>6345.9250000000002</v>
      </c>
      <c r="E2079" s="79">
        <v>0</v>
      </c>
      <c r="F2079" s="79">
        <f>SUM(BASE_DATOS[[#This Row],[Capital($)]:[Interés
Resarcitorio($)]])</f>
        <v>9678.5190000000002</v>
      </c>
      <c r="G2079" s="8">
        <v>45338</v>
      </c>
      <c r="H2079" s="80" t="s">
        <v>51</v>
      </c>
      <c r="I2079" s="79" t="s">
        <v>9</v>
      </c>
      <c r="J2079" s="81">
        <v>120</v>
      </c>
      <c r="K2079" t="s">
        <v>47</v>
      </c>
    </row>
    <row r="2080" spans="2:11" x14ac:dyDescent="0.25">
      <c r="B2080" s="2">
        <f>+B2079</f>
        <v>45</v>
      </c>
      <c r="C2080" s="4">
        <v>3332.5940000000001</v>
      </c>
      <c r="D2080" s="4">
        <v>6345.9250000000002</v>
      </c>
      <c r="E2080" s="79">
        <v>4926.37</v>
      </c>
      <c r="F2080" s="79">
        <f>SUM(BASE_DATOS[[#This Row],[Capital($)]:[Interés
Resarcitorio($)]])</f>
        <v>14604.888999999999</v>
      </c>
      <c r="G2080" s="8">
        <v>45348</v>
      </c>
      <c r="H2080" s="80" t="s">
        <v>51</v>
      </c>
      <c r="I2080" s="79" t="s">
        <v>7</v>
      </c>
      <c r="J2080" s="81">
        <v>120</v>
      </c>
      <c r="K2080" t="s">
        <v>47</v>
      </c>
    </row>
    <row r="2081" spans="2:11" x14ac:dyDescent="0.25">
      <c r="B2081" s="2">
        <v>46</v>
      </c>
      <c r="C2081" s="4">
        <v>3332.5940000000001</v>
      </c>
      <c r="D2081" s="4">
        <v>6650.5249999999996</v>
      </c>
      <c r="E2081" s="79">
        <v>0</v>
      </c>
      <c r="F2081" s="79">
        <f>SUM(BASE_DATOS[[#This Row],[Capital($)]:[Interés
Resarcitorio($)]])</f>
        <v>9983.1189999999988</v>
      </c>
      <c r="G2081" s="8">
        <v>45367</v>
      </c>
      <c r="H2081" s="80" t="s">
        <v>51</v>
      </c>
      <c r="I2081" s="79" t="s">
        <v>9</v>
      </c>
      <c r="J2081" s="81">
        <v>120</v>
      </c>
      <c r="K2081" t="s">
        <v>47</v>
      </c>
    </row>
    <row r="2082" spans="2:11" x14ac:dyDescent="0.25">
      <c r="B2082" s="2">
        <f>+B2081</f>
        <v>46</v>
      </c>
      <c r="C2082" s="4">
        <v>3332.5940000000001</v>
      </c>
      <c r="D2082" s="4">
        <v>6650.5249999999996</v>
      </c>
      <c r="E2082" s="79">
        <v>5081.41</v>
      </c>
      <c r="F2082" s="79">
        <f>SUM(BASE_DATOS[[#This Row],[Capital($)]:[Interés
Resarcitorio($)]])</f>
        <v>15064.528999999999</v>
      </c>
      <c r="G2082" s="8">
        <v>45377</v>
      </c>
      <c r="H2082" s="80" t="s">
        <v>51</v>
      </c>
      <c r="I2082" s="79" t="s">
        <v>7</v>
      </c>
      <c r="J2082" s="81">
        <v>120</v>
      </c>
      <c r="K2082" t="s">
        <v>47</v>
      </c>
    </row>
    <row r="2083" spans="2:11" x14ac:dyDescent="0.25">
      <c r="B2083" s="2">
        <v>47</v>
      </c>
      <c r="C2083" s="4">
        <v>3332.5940000000001</v>
      </c>
      <c r="D2083" s="4">
        <v>6955.1240000000007</v>
      </c>
      <c r="E2083" s="79">
        <v>0</v>
      </c>
      <c r="F2083" s="79">
        <f>SUM(BASE_DATOS[[#This Row],[Capital($)]:[Interés
Resarcitorio($)]])</f>
        <v>10287.718000000001</v>
      </c>
      <c r="G2083" s="8">
        <v>45398</v>
      </c>
      <c r="H2083" s="80" t="s">
        <v>51</v>
      </c>
      <c r="I2083" s="79" t="s">
        <v>9</v>
      </c>
      <c r="J2083" s="81">
        <v>120</v>
      </c>
      <c r="K2083" t="s">
        <v>47</v>
      </c>
    </row>
    <row r="2084" spans="2:11" x14ac:dyDescent="0.25">
      <c r="B2084" s="2">
        <f>+B2083</f>
        <v>47</v>
      </c>
      <c r="C2084" s="4">
        <v>3332.5940000000001</v>
      </c>
      <c r="D2084" s="4">
        <v>6955.1240000000007</v>
      </c>
      <c r="E2084" s="79">
        <v>4139.09</v>
      </c>
      <c r="F2084" s="79">
        <f>SUM(BASE_DATOS[[#This Row],[Capital($)]:[Interés
Resarcitorio($)]])</f>
        <v>14426.808000000001</v>
      </c>
      <c r="G2084" s="8">
        <v>45408</v>
      </c>
      <c r="H2084" s="80" t="s">
        <v>51</v>
      </c>
      <c r="I2084" s="79" t="s">
        <v>7</v>
      </c>
      <c r="J2084" s="81">
        <v>120</v>
      </c>
      <c r="K2084" t="s">
        <v>47</v>
      </c>
    </row>
    <row r="2085" spans="2:11" x14ac:dyDescent="0.25">
      <c r="B2085" s="2">
        <v>48</v>
      </c>
      <c r="C2085" s="4">
        <v>3332.5940000000001</v>
      </c>
      <c r="D2085" s="4">
        <v>7259.723</v>
      </c>
      <c r="E2085" s="79">
        <v>0</v>
      </c>
      <c r="F2085" s="79">
        <f>SUM(BASE_DATOS[[#This Row],[Capital($)]:[Interés
Resarcitorio($)]])</f>
        <v>10592.316999999999</v>
      </c>
      <c r="G2085" s="8">
        <v>45428</v>
      </c>
      <c r="H2085" s="80" t="s">
        <v>51</v>
      </c>
      <c r="I2085" s="79" t="s">
        <v>9</v>
      </c>
      <c r="J2085" s="81">
        <v>120</v>
      </c>
      <c r="K2085" t="s">
        <v>47</v>
      </c>
    </row>
    <row r="2086" spans="2:11" x14ac:dyDescent="0.25">
      <c r="B2086" s="2">
        <f>+B2085</f>
        <v>48</v>
      </c>
      <c r="C2086" s="4">
        <v>3332.5940000000001</v>
      </c>
      <c r="D2086" s="4">
        <v>7259.723</v>
      </c>
      <c r="E2086" s="79">
        <v>4261.6400000000003</v>
      </c>
      <c r="F2086" s="79">
        <f>SUM(BASE_DATOS[[#This Row],[Capital($)]:[Interés
Resarcitorio($)]])</f>
        <v>14853.956999999999</v>
      </c>
      <c r="G2086" s="8">
        <v>45438</v>
      </c>
      <c r="H2086" s="80" t="s">
        <v>51</v>
      </c>
      <c r="I2086" s="79" t="s">
        <v>7</v>
      </c>
      <c r="J2086" s="81">
        <v>120</v>
      </c>
      <c r="K2086" t="s">
        <v>47</v>
      </c>
    </row>
    <row r="2087" spans="2:11" x14ac:dyDescent="0.25">
      <c r="B2087" s="2">
        <v>49</v>
      </c>
      <c r="C2087" s="4">
        <v>3332.5940000000001</v>
      </c>
      <c r="D2087" s="4">
        <v>7564.3220000000001</v>
      </c>
      <c r="E2087" s="79">
        <v>0</v>
      </c>
      <c r="F2087" s="79">
        <f>SUM(BASE_DATOS[[#This Row],[Capital($)]:[Interés
Resarcitorio($)]])</f>
        <v>10896.916000000001</v>
      </c>
      <c r="G2087" s="8">
        <v>45459</v>
      </c>
      <c r="H2087" s="80" t="s">
        <v>51</v>
      </c>
      <c r="I2087" s="79" t="s">
        <v>9</v>
      </c>
      <c r="J2087" s="81">
        <v>120</v>
      </c>
      <c r="K2087" t="s">
        <v>47</v>
      </c>
    </row>
    <row r="2088" spans="2:11" x14ac:dyDescent="0.25">
      <c r="B2088" s="2">
        <f>+B2087</f>
        <v>49</v>
      </c>
      <c r="C2088" s="4">
        <v>3332.5940000000001</v>
      </c>
      <c r="D2088" s="4">
        <v>7564.3220000000001</v>
      </c>
      <c r="E2088" s="79">
        <v>2328.31</v>
      </c>
      <c r="F2088" s="79">
        <f>SUM(BASE_DATOS[[#This Row],[Capital($)]:[Interés
Resarcitorio($)]])</f>
        <v>13225.226000000001</v>
      </c>
      <c r="G2088" s="8">
        <v>45469</v>
      </c>
      <c r="H2088" s="80" t="s">
        <v>51</v>
      </c>
      <c r="I2088" s="79" t="s">
        <v>7</v>
      </c>
      <c r="J2088" s="81">
        <v>120</v>
      </c>
      <c r="K2088" t="s">
        <v>47</v>
      </c>
    </row>
    <row r="2089" spans="2:11" x14ac:dyDescent="0.25">
      <c r="B2089" s="2">
        <v>50</v>
      </c>
      <c r="C2089" s="4">
        <v>3332.5940000000001</v>
      </c>
      <c r="D2089" s="4">
        <v>7868.9210000000003</v>
      </c>
      <c r="E2089" s="79">
        <v>0</v>
      </c>
      <c r="F2089" s="79">
        <f>SUM(BASE_DATOS[[#This Row],[Capital($)]:[Interés
Resarcitorio($)]])</f>
        <v>11201.514999999999</v>
      </c>
      <c r="G2089" s="8">
        <v>45489</v>
      </c>
      <c r="H2089" s="80" t="s">
        <v>51</v>
      </c>
      <c r="I2089" s="79" t="s">
        <v>9</v>
      </c>
      <c r="J2089" s="81">
        <v>120</v>
      </c>
      <c r="K2089" t="s">
        <v>47</v>
      </c>
    </row>
    <row r="2090" spans="2:11" x14ac:dyDescent="0.25">
      <c r="B2090" s="2">
        <f>+B2089</f>
        <v>50</v>
      </c>
      <c r="C2090" s="4">
        <v>3332.5940000000001</v>
      </c>
      <c r="D2090" s="4">
        <v>7868.9210000000003</v>
      </c>
      <c r="E2090" s="79">
        <v>2393.39</v>
      </c>
      <c r="F2090" s="79">
        <f>SUM(BASE_DATOS[[#This Row],[Capital($)]:[Interés
Resarcitorio($)]])</f>
        <v>13594.904999999999</v>
      </c>
      <c r="G2090" s="8">
        <v>45499</v>
      </c>
      <c r="H2090" s="80" t="s">
        <v>51</v>
      </c>
      <c r="I2090" s="79" t="s">
        <v>7</v>
      </c>
      <c r="J2090" s="81">
        <v>120</v>
      </c>
      <c r="K2090" t="s">
        <v>47</v>
      </c>
    </row>
    <row r="2091" spans="2:11" x14ac:dyDescent="0.25">
      <c r="B2091" s="2">
        <v>51</v>
      </c>
      <c r="C2091" s="4">
        <v>3332.5940000000001</v>
      </c>
      <c r="D2091" s="4">
        <v>5578.4290000000001</v>
      </c>
      <c r="E2091" s="79">
        <v>0</v>
      </c>
      <c r="F2091" s="79">
        <f>SUM(BASE_DATOS[[#This Row],[Capital($)]:[Interés
Resarcitorio($)]])</f>
        <v>8911.023000000001</v>
      </c>
      <c r="G2091" s="8">
        <v>45520</v>
      </c>
      <c r="H2091" s="80" t="s">
        <v>51</v>
      </c>
      <c r="I2091" s="79" t="s">
        <v>9</v>
      </c>
      <c r="J2091" s="81">
        <v>120</v>
      </c>
      <c r="K2091" t="s">
        <v>47</v>
      </c>
    </row>
    <row r="2092" spans="2:11" x14ac:dyDescent="0.25">
      <c r="B2092" s="2">
        <f>+B2091</f>
        <v>51</v>
      </c>
      <c r="C2092" s="4">
        <v>3332.5940000000001</v>
      </c>
      <c r="D2092" s="4">
        <v>5578.4290000000001</v>
      </c>
      <c r="E2092" s="79">
        <v>1903.99</v>
      </c>
      <c r="F2092" s="79">
        <f>SUM(BASE_DATOS[[#This Row],[Capital($)]:[Interés
Resarcitorio($)]])</f>
        <v>10815.013000000001</v>
      </c>
      <c r="G2092" s="8">
        <v>45530</v>
      </c>
      <c r="H2092" s="80" t="s">
        <v>51</v>
      </c>
      <c r="I2092" s="79" t="s">
        <v>7</v>
      </c>
      <c r="J2092" s="81">
        <v>120</v>
      </c>
      <c r="K2092" t="s">
        <v>47</v>
      </c>
    </row>
    <row r="2093" spans="2:11" x14ac:dyDescent="0.25">
      <c r="B2093" s="2">
        <v>52</v>
      </c>
      <c r="C2093" s="4">
        <v>3332.5940000000001</v>
      </c>
      <c r="D2093" s="4">
        <v>5683.4059999999999</v>
      </c>
      <c r="E2093" s="79">
        <v>0</v>
      </c>
      <c r="F2093" s="79">
        <f>SUM(BASE_DATOS[[#This Row],[Capital($)]:[Interés
Resarcitorio($)]])</f>
        <v>9016</v>
      </c>
      <c r="G2093" s="8">
        <v>45551</v>
      </c>
      <c r="H2093" s="80" t="s">
        <v>51</v>
      </c>
      <c r="I2093" s="79" t="s">
        <v>9</v>
      </c>
      <c r="J2093" s="81">
        <v>120</v>
      </c>
      <c r="K2093" t="s">
        <v>47</v>
      </c>
    </row>
    <row r="2094" spans="2:11" x14ac:dyDescent="0.25">
      <c r="B2094" s="2">
        <f>+B2093</f>
        <v>52</v>
      </c>
      <c r="C2094" s="4">
        <v>3332.5940000000001</v>
      </c>
      <c r="D2094" s="4">
        <v>5683.4059999999999</v>
      </c>
      <c r="E2094" s="79">
        <v>1926.42</v>
      </c>
      <c r="F2094" s="79">
        <f>SUM(BASE_DATOS[[#This Row],[Capital($)]:[Interés
Resarcitorio($)]])</f>
        <v>10942.42</v>
      </c>
      <c r="G2094" s="8">
        <v>45561</v>
      </c>
      <c r="H2094" s="80" t="s">
        <v>51</v>
      </c>
      <c r="I2094" s="79" t="s">
        <v>7</v>
      </c>
      <c r="J2094" s="81">
        <v>120</v>
      </c>
      <c r="K2094" t="s">
        <v>47</v>
      </c>
    </row>
    <row r="2095" spans="2:11" x14ac:dyDescent="0.25">
      <c r="B2095" s="2">
        <v>53</v>
      </c>
      <c r="C2095" s="4">
        <v>3332.5940000000001</v>
      </c>
      <c r="D2095" s="4">
        <v>5788.3829999999998</v>
      </c>
      <c r="E2095" s="79">
        <v>0</v>
      </c>
      <c r="F2095" s="79">
        <f>SUM(BASE_DATOS[[#This Row],[Capital($)]:[Interés
Resarcitorio($)]])</f>
        <v>9120.976999999999</v>
      </c>
      <c r="G2095" s="8">
        <v>45581</v>
      </c>
      <c r="H2095" s="80" t="s">
        <v>51</v>
      </c>
      <c r="I2095" s="79" t="s">
        <v>9</v>
      </c>
      <c r="J2095" s="81">
        <v>120</v>
      </c>
      <c r="K2095" t="s">
        <v>47</v>
      </c>
    </row>
    <row r="2096" spans="2:11" x14ac:dyDescent="0.25">
      <c r="B2096" s="2">
        <f>+B2095</f>
        <v>53</v>
      </c>
      <c r="C2096" s="4">
        <v>3332.5940000000001</v>
      </c>
      <c r="D2096" s="4">
        <v>5788.3829999999998</v>
      </c>
      <c r="E2096" s="79">
        <v>1948.85</v>
      </c>
      <c r="F2096" s="79">
        <f>SUM(BASE_DATOS[[#This Row],[Capital($)]:[Interés
Resarcitorio($)]])</f>
        <v>11069.826999999999</v>
      </c>
      <c r="G2096" s="8">
        <v>45591</v>
      </c>
      <c r="H2096" s="80" t="s">
        <v>51</v>
      </c>
      <c r="I2096" s="79" t="s">
        <v>7</v>
      </c>
      <c r="J2096" s="81">
        <v>120</v>
      </c>
      <c r="K2096" t="s">
        <v>47</v>
      </c>
    </row>
    <row r="2097" spans="2:11" x14ac:dyDescent="0.25">
      <c r="B2097" s="2">
        <v>54</v>
      </c>
      <c r="C2097" s="4">
        <v>3332.5940000000001</v>
      </c>
      <c r="D2097" s="4">
        <v>5893.3589999999995</v>
      </c>
      <c r="E2097" s="79">
        <v>0</v>
      </c>
      <c r="F2097" s="79">
        <f>SUM(BASE_DATOS[[#This Row],[Capital($)]:[Interés
Resarcitorio($)]])</f>
        <v>9225.9529999999995</v>
      </c>
      <c r="G2097" s="8">
        <v>45612</v>
      </c>
      <c r="H2097" s="80" t="s">
        <v>51</v>
      </c>
      <c r="I2097" s="79" t="s">
        <v>9</v>
      </c>
      <c r="J2097" s="81">
        <v>120</v>
      </c>
      <c r="K2097" t="s">
        <v>47</v>
      </c>
    </row>
    <row r="2098" spans="2:11" x14ac:dyDescent="0.25">
      <c r="B2098" s="2">
        <f>+B2097</f>
        <v>54</v>
      </c>
      <c r="C2098" s="4">
        <v>3332.5940000000001</v>
      </c>
      <c r="D2098" s="4">
        <v>5893.3589999999995</v>
      </c>
      <c r="E2098" s="79">
        <v>1971.28</v>
      </c>
      <c r="F2098" s="79">
        <f>SUM(BASE_DATOS[[#This Row],[Capital($)]:[Interés
Resarcitorio($)]])</f>
        <v>11197.233</v>
      </c>
      <c r="G2098" s="8">
        <v>45622</v>
      </c>
      <c r="H2098" s="80" t="s">
        <v>51</v>
      </c>
      <c r="I2098" s="79" t="s">
        <v>7</v>
      </c>
      <c r="J2098" s="81">
        <v>120</v>
      </c>
      <c r="K2098" t="s">
        <v>47</v>
      </c>
    </row>
    <row r="2099" spans="2:11" x14ac:dyDescent="0.25">
      <c r="B2099" s="2">
        <v>55</v>
      </c>
      <c r="C2099" s="4">
        <v>3332.5940000000001</v>
      </c>
      <c r="D2099" s="4">
        <v>5998.3360000000002</v>
      </c>
      <c r="E2099" s="79">
        <v>0</v>
      </c>
      <c r="F2099" s="79">
        <f>SUM(BASE_DATOS[[#This Row],[Capital($)]:[Interés
Resarcitorio($)]])</f>
        <v>9330.93</v>
      </c>
      <c r="G2099" s="8">
        <v>45642</v>
      </c>
      <c r="H2099" s="80" t="s">
        <v>51</v>
      </c>
      <c r="I2099" s="79" t="s">
        <v>9</v>
      </c>
      <c r="J2099" s="81">
        <v>120</v>
      </c>
      <c r="K2099" t="s">
        <v>47</v>
      </c>
    </row>
    <row r="2100" spans="2:11" x14ac:dyDescent="0.25">
      <c r="B2100" s="2">
        <f>+B2099</f>
        <v>55</v>
      </c>
      <c r="C2100" s="4">
        <v>3332.5940000000001</v>
      </c>
      <c r="D2100" s="4">
        <v>5998.3360000000002</v>
      </c>
      <c r="E2100" s="79">
        <v>2323.4</v>
      </c>
      <c r="F2100" s="79">
        <f>SUM(BASE_DATOS[[#This Row],[Capital($)]:[Interés
Resarcitorio($)]])</f>
        <v>11654.33</v>
      </c>
      <c r="G2100" s="8">
        <v>45652</v>
      </c>
      <c r="H2100" s="80" t="s">
        <v>51</v>
      </c>
      <c r="I2100" s="79" t="s">
        <v>7</v>
      </c>
      <c r="J2100" s="81">
        <v>120</v>
      </c>
      <c r="K2100" t="s">
        <v>47</v>
      </c>
    </row>
    <row r="2101" spans="2:11" x14ac:dyDescent="0.25">
      <c r="B2101" s="2">
        <v>56</v>
      </c>
      <c r="C2101" s="4">
        <v>3332.5940000000001</v>
      </c>
      <c r="D2101" s="4">
        <v>6103.3130000000001</v>
      </c>
      <c r="E2101" s="79">
        <v>0</v>
      </c>
      <c r="F2101" s="79">
        <f>SUM(BASE_DATOS[[#This Row],[Capital($)]:[Interés
Resarcitorio($)]])</f>
        <v>9435.9069999999992</v>
      </c>
      <c r="G2101" s="8">
        <v>45673</v>
      </c>
      <c r="H2101" s="80" t="s">
        <v>51</v>
      </c>
      <c r="I2101" s="79" t="s">
        <v>9</v>
      </c>
      <c r="J2101" s="81">
        <v>120</v>
      </c>
      <c r="K2101" t="s">
        <v>47</v>
      </c>
    </row>
    <row r="2102" spans="2:11" x14ac:dyDescent="0.25">
      <c r="B2102" s="2">
        <f>+B2101</f>
        <v>56</v>
      </c>
      <c r="C2102" s="4">
        <v>3332.5940000000001</v>
      </c>
      <c r="D2102" s="4">
        <v>6103.3130000000001</v>
      </c>
      <c r="E2102" s="79">
        <v>2349.54</v>
      </c>
      <c r="F2102" s="79">
        <f>SUM(BASE_DATOS[[#This Row],[Capital($)]:[Interés
Resarcitorio($)]])</f>
        <v>11785.447</v>
      </c>
      <c r="G2102" s="8">
        <v>45683</v>
      </c>
      <c r="H2102" s="80" t="s">
        <v>51</v>
      </c>
      <c r="I2102" s="79" t="s">
        <v>7</v>
      </c>
      <c r="J2102" s="81">
        <v>120</v>
      </c>
      <c r="K2102" t="s">
        <v>47</v>
      </c>
    </row>
    <row r="2103" spans="2:11" x14ac:dyDescent="0.25">
      <c r="B2103" s="2">
        <v>57</v>
      </c>
      <c r="C2103" s="4">
        <v>3332.5940000000001</v>
      </c>
      <c r="D2103" s="4">
        <v>6188.96</v>
      </c>
      <c r="E2103" s="79">
        <v>0</v>
      </c>
      <c r="F2103" s="79">
        <f>SUM(BASE_DATOS[[#This Row],[Capital($)]:[Interés
Resarcitorio($)]])</f>
        <v>9521.5540000000001</v>
      </c>
      <c r="G2103" s="8">
        <v>45704</v>
      </c>
      <c r="H2103" s="80" t="s">
        <v>51</v>
      </c>
      <c r="I2103" s="79" t="s">
        <v>9</v>
      </c>
      <c r="J2103" s="81">
        <v>120</v>
      </c>
      <c r="K2103" t="s">
        <v>47</v>
      </c>
    </row>
    <row r="2104" spans="2:11" x14ac:dyDescent="0.25">
      <c r="B2104" s="2">
        <f>+B2103</f>
        <v>57</v>
      </c>
      <c r="C2104" s="4">
        <v>3332.5940000000001</v>
      </c>
      <c r="D2104" s="4">
        <v>6188.96</v>
      </c>
      <c r="E2104" s="79">
        <v>2304.2199999999998</v>
      </c>
      <c r="F2104" s="79">
        <f>SUM(BASE_DATOS[[#This Row],[Capital($)]:[Interés
Resarcitorio($)]])</f>
        <v>11825.773999999999</v>
      </c>
      <c r="G2104" s="8">
        <v>45714</v>
      </c>
      <c r="H2104" s="80" t="s">
        <v>51</v>
      </c>
      <c r="I2104" s="79" t="s">
        <v>7</v>
      </c>
      <c r="J2104" s="81">
        <v>120</v>
      </c>
      <c r="K2104" t="s">
        <v>47</v>
      </c>
    </row>
    <row r="2105" spans="2:11" x14ac:dyDescent="0.25">
      <c r="B2105" s="2">
        <v>58</v>
      </c>
      <c r="C2105" s="4">
        <v>3332.5940000000001</v>
      </c>
      <c r="D2105" s="4">
        <v>6274.6080000000002</v>
      </c>
      <c r="E2105" s="79">
        <v>0</v>
      </c>
      <c r="F2105" s="79">
        <f>SUM(BASE_DATOS[[#This Row],[Capital($)]:[Interés
Resarcitorio($)]])</f>
        <v>9607.2020000000011</v>
      </c>
      <c r="G2105" s="8">
        <v>45732</v>
      </c>
      <c r="H2105" s="80" t="s">
        <v>51</v>
      </c>
      <c r="I2105" s="79" t="s">
        <v>9</v>
      </c>
      <c r="J2105" s="81">
        <v>120</v>
      </c>
      <c r="K2105" t="s">
        <v>47</v>
      </c>
    </row>
    <row r="2106" spans="2:11" x14ac:dyDescent="0.25">
      <c r="B2106" s="2">
        <f>+B2105</f>
        <v>58</v>
      </c>
      <c r="C2106" s="4">
        <v>3332.5940000000001</v>
      </c>
      <c r="D2106" s="4">
        <v>6274.6080000000002</v>
      </c>
      <c r="E2106" s="79">
        <v>1280.96</v>
      </c>
      <c r="F2106" s="79">
        <f>SUM(BASE_DATOS[[#This Row],[Capital($)]:[Interés
Resarcitorio($)]])</f>
        <v>10888.162</v>
      </c>
      <c r="G2106" s="8">
        <v>45742</v>
      </c>
      <c r="H2106" s="80" t="s">
        <v>51</v>
      </c>
      <c r="I2106" s="79" t="s">
        <v>7</v>
      </c>
      <c r="J2106" s="81">
        <v>120</v>
      </c>
      <c r="K2106" t="s">
        <v>47</v>
      </c>
    </row>
    <row r="2107" spans="2:11" x14ac:dyDescent="0.25">
      <c r="B2107" s="2">
        <v>59</v>
      </c>
      <c r="C2107" s="4">
        <v>3332.5940000000001</v>
      </c>
      <c r="D2107" s="4">
        <v>6360.2559999999994</v>
      </c>
      <c r="E2107" s="79">
        <v>0</v>
      </c>
      <c r="F2107" s="79">
        <f>SUM(BASE_DATOS[[#This Row],[Capital($)]:[Interés
Resarcitorio($)]])</f>
        <v>9692.8499999999985</v>
      </c>
      <c r="G2107" s="8">
        <v>45763</v>
      </c>
      <c r="H2107" s="80" t="s">
        <v>51</v>
      </c>
      <c r="I2107" s="79" t="s">
        <v>9</v>
      </c>
      <c r="J2107" s="81">
        <v>120</v>
      </c>
      <c r="K2107" t="s">
        <v>47</v>
      </c>
    </row>
    <row r="2108" spans="2:11" x14ac:dyDescent="0.25">
      <c r="B2108" s="2">
        <f>+B2107</f>
        <v>59</v>
      </c>
      <c r="C2108" s="4">
        <v>3332.5940000000001</v>
      </c>
      <c r="D2108" s="4">
        <v>6360.2559999999994</v>
      </c>
      <c r="E2108" s="79">
        <v>1292.3800000000001</v>
      </c>
      <c r="F2108" s="79">
        <f>SUM(BASE_DATOS[[#This Row],[Capital($)]:[Interés
Resarcitorio($)]])</f>
        <v>10985.23</v>
      </c>
      <c r="G2108" s="8">
        <v>45773</v>
      </c>
      <c r="H2108" s="80" t="s">
        <v>51</v>
      </c>
      <c r="I2108" s="79" t="s">
        <v>7</v>
      </c>
      <c r="J2108" s="81">
        <v>120</v>
      </c>
      <c r="K2108" t="s">
        <v>47</v>
      </c>
    </row>
    <row r="2109" spans="2:11" x14ac:dyDescent="0.25">
      <c r="B2109" s="2">
        <v>60</v>
      </c>
      <c r="C2109" s="4">
        <v>3332.5940000000001</v>
      </c>
      <c r="D2109" s="4">
        <v>6445.9030000000002</v>
      </c>
      <c r="E2109" s="79">
        <v>0</v>
      </c>
      <c r="F2109" s="79">
        <f>SUM(BASE_DATOS[[#This Row],[Capital($)]:[Interés
Resarcitorio($)]])</f>
        <v>9778.4969999999994</v>
      </c>
      <c r="G2109" s="8">
        <v>45793</v>
      </c>
      <c r="H2109" s="80" t="s">
        <v>51</v>
      </c>
      <c r="I2109" s="79" t="s">
        <v>9</v>
      </c>
      <c r="J2109" s="81">
        <v>120</v>
      </c>
      <c r="K2109" t="s">
        <v>47</v>
      </c>
    </row>
    <row r="2110" spans="2:11" x14ac:dyDescent="0.25">
      <c r="B2110" s="2">
        <f>+B2109</f>
        <v>60</v>
      </c>
      <c r="C2110" s="4">
        <v>3332.5940000000001</v>
      </c>
      <c r="D2110" s="4">
        <v>6445.9030000000002</v>
      </c>
      <c r="E2110" s="79">
        <v>1303.8</v>
      </c>
      <c r="F2110" s="79">
        <f>SUM(BASE_DATOS[[#This Row],[Capital($)]:[Interés
Resarcitorio($)]])</f>
        <v>11082.296999999999</v>
      </c>
      <c r="G2110" s="8">
        <v>45803</v>
      </c>
      <c r="H2110" s="80" t="s">
        <v>51</v>
      </c>
      <c r="I2110" s="79" t="s">
        <v>7</v>
      </c>
      <c r="J2110" s="81">
        <v>120</v>
      </c>
      <c r="K2110" t="s">
        <v>47</v>
      </c>
    </row>
    <row r="2111" spans="2:11" x14ac:dyDescent="0.25">
      <c r="B2111" s="2">
        <v>61</v>
      </c>
      <c r="C2111" s="4">
        <v>3332.5940000000001</v>
      </c>
      <c r="D2111" s="4">
        <v>6531.5510000000004</v>
      </c>
      <c r="E2111" s="79">
        <v>0</v>
      </c>
      <c r="F2111" s="79">
        <f>SUM(BASE_DATOS[[#This Row],[Capital($)]:[Interés
Resarcitorio($)]])</f>
        <v>9864.1450000000004</v>
      </c>
      <c r="G2111" s="8">
        <v>45824</v>
      </c>
      <c r="H2111" s="80" t="s">
        <v>51</v>
      </c>
      <c r="I2111" s="79" t="s">
        <v>9</v>
      </c>
      <c r="J2111" s="81">
        <v>120</v>
      </c>
      <c r="K2111" t="s">
        <v>47</v>
      </c>
    </row>
    <row r="2112" spans="2:11" x14ac:dyDescent="0.25">
      <c r="B2112" s="2">
        <f>+B2111</f>
        <v>61</v>
      </c>
      <c r="C2112" s="4">
        <v>3332.5940000000001</v>
      </c>
      <c r="D2112" s="4">
        <v>6531.5510000000004</v>
      </c>
      <c r="E2112" s="79">
        <v>1315.22</v>
      </c>
      <c r="F2112" s="79">
        <f>SUM(BASE_DATOS[[#This Row],[Capital($)]:[Interés
Resarcitorio($)]])</f>
        <v>11179.365</v>
      </c>
      <c r="G2112" s="8">
        <v>45834</v>
      </c>
      <c r="H2112" s="80" t="s">
        <v>51</v>
      </c>
      <c r="I2112" s="79" t="s">
        <v>7</v>
      </c>
      <c r="J2112" s="81">
        <v>120</v>
      </c>
      <c r="K2112" t="s">
        <v>47</v>
      </c>
    </row>
    <row r="2113" spans="2:11" x14ac:dyDescent="0.25">
      <c r="B2113" s="2">
        <v>62</v>
      </c>
      <c r="C2113" s="4">
        <v>3332.5940000000001</v>
      </c>
      <c r="D2113" s="4">
        <v>6617.1990000000005</v>
      </c>
      <c r="E2113" s="79">
        <v>0</v>
      </c>
      <c r="F2113" s="79">
        <f>SUM(BASE_DATOS[[#This Row],[Capital($)]:[Interés
Resarcitorio($)]])</f>
        <v>9949.7930000000015</v>
      </c>
      <c r="G2113" s="8">
        <v>45854</v>
      </c>
      <c r="H2113" s="80" t="s">
        <v>51</v>
      </c>
      <c r="I2113" s="79" t="s">
        <v>6</v>
      </c>
      <c r="J2113" s="81">
        <v>120</v>
      </c>
      <c r="K2113" t="s">
        <v>47</v>
      </c>
    </row>
    <row r="2114" spans="2:11" x14ac:dyDescent="0.25">
      <c r="B2114" s="2">
        <f>+B2113</f>
        <v>62</v>
      </c>
      <c r="C2114" s="4">
        <v>3332.5940000000001</v>
      </c>
      <c r="D2114" s="4">
        <v>6617.1990000000005</v>
      </c>
      <c r="E2114" s="79">
        <v>1326.64</v>
      </c>
      <c r="F2114" s="79">
        <f>SUM(BASE_DATOS[[#This Row],[Capital($)]:[Interés
Resarcitorio($)]])</f>
        <v>11276.433000000001</v>
      </c>
      <c r="G2114" s="8">
        <v>45864</v>
      </c>
      <c r="H2114" s="80" t="s">
        <v>51</v>
      </c>
      <c r="I2114" s="79" t="s">
        <v>7</v>
      </c>
      <c r="J2114" s="81">
        <v>120</v>
      </c>
      <c r="K2114" t="s">
        <v>47</v>
      </c>
    </row>
    <row r="2115" spans="2:11" x14ac:dyDescent="0.25">
      <c r="B2115" s="2">
        <v>63</v>
      </c>
      <c r="C2115" s="4">
        <v>3332.5940000000001</v>
      </c>
      <c r="D2115" s="4">
        <v>6702.8460000000005</v>
      </c>
      <c r="E2115" s="79">
        <v>0</v>
      </c>
      <c r="F2115" s="79">
        <f>SUM(BASE_DATOS[[#This Row],[Capital($)]:[Interés
Resarcitorio($)]])</f>
        <v>10035.44</v>
      </c>
      <c r="G2115" s="8">
        <v>45885</v>
      </c>
      <c r="H2115" s="80" t="s">
        <v>51</v>
      </c>
      <c r="I2115" s="79" t="s">
        <v>6</v>
      </c>
      <c r="J2115" s="81">
        <v>120</v>
      </c>
      <c r="K2115" t="s">
        <v>47</v>
      </c>
    </row>
    <row r="2116" spans="2:11" x14ac:dyDescent="0.25">
      <c r="B2116" s="2">
        <f>+B2115</f>
        <v>63</v>
      </c>
      <c r="C2116" s="4">
        <v>3332.5940000000001</v>
      </c>
      <c r="D2116" s="4">
        <v>6702.8460000000005</v>
      </c>
      <c r="E2116" s="79">
        <v>1338.06</v>
      </c>
      <c r="F2116" s="79">
        <f>SUM(BASE_DATOS[[#This Row],[Capital($)]:[Interés
Resarcitorio($)]])</f>
        <v>11373.5</v>
      </c>
      <c r="G2116" s="8">
        <v>45895</v>
      </c>
      <c r="H2116" s="80" t="s">
        <v>51</v>
      </c>
      <c r="I2116" s="79" t="s">
        <v>7</v>
      </c>
      <c r="J2116" s="81">
        <v>120</v>
      </c>
      <c r="K2116" t="s">
        <v>47</v>
      </c>
    </row>
    <row r="2117" spans="2:11" x14ac:dyDescent="0.25">
      <c r="B2117" s="2">
        <v>64</v>
      </c>
      <c r="C2117" s="4">
        <v>3332.5940000000001</v>
      </c>
      <c r="D2117" s="4">
        <v>6788.4940000000006</v>
      </c>
      <c r="E2117" s="79">
        <v>0</v>
      </c>
      <c r="F2117" s="79">
        <f>SUM(BASE_DATOS[[#This Row],[Capital($)]:[Interés
Resarcitorio($)]])</f>
        <v>10121.088</v>
      </c>
      <c r="G2117" s="8">
        <v>45916</v>
      </c>
      <c r="H2117" s="80" t="s">
        <v>51</v>
      </c>
      <c r="I2117" s="79" t="s">
        <v>6</v>
      </c>
      <c r="J2117" s="81">
        <v>120</v>
      </c>
      <c r="K2117" t="s">
        <v>47</v>
      </c>
    </row>
    <row r="2118" spans="2:11" x14ac:dyDescent="0.25">
      <c r="B2118" s="2">
        <f>+B2117</f>
        <v>64</v>
      </c>
      <c r="C2118" s="4">
        <v>3332.5940000000001</v>
      </c>
      <c r="D2118" s="4">
        <v>6788.4940000000006</v>
      </c>
      <c r="E2118" s="79">
        <v>1349.48</v>
      </c>
      <c r="F2118" s="79">
        <f>SUM(BASE_DATOS[[#This Row],[Capital($)]:[Interés
Resarcitorio($)]])</f>
        <v>11470.567999999999</v>
      </c>
      <c r="G2118" s="8">
        <v>45926</v>
      </c>
      <c r="H2118" s="80" t="s">
        <v>51</v>
      </c>
      <c r="I2118" s="79" t="s">
        <v>7</v>
      </c>
      <c r="J2118" s="81">
        <v>120</v>
      </c>
      <c r="K2118" t="s">
        <v>47</v>
      </c>
    </row>
    <row r="2119" spans="2:11" x14ac:dyDescent="0.25">
      <c r="B2119" s="2">
        <v>65</v>
      </c>
      <c r="C2119" s="4">
        <v>3332.5940000000001</v>
      </c>
      <c r="D2119" s="4">
        <v>6874.1419999999998</v>
      </c>
      <c r="E2119" s="79">
        <v>0</v>
      </c>
      <c r="F2119" s="79">
        <f>SUM(BASE_DATOS[[#This Row],[Capital($)]:[Interés
Resarcitorio($)]])</f>
        <v>10206.736000000001</v>
      </c>
      <c r="G2119" s="8">
        <v>45946</v>
      </c>
      <c r="H2119" s="80" t="s">
        <v>51</v>
      </c>
      <c r="I2119" s="79" t="s">
        <v>6</v>
      </c>
      <c r="J2119" s="81">
        <v>120</v>
      </c>
      <c r="K2119" t="s">
        <v>47</v>
      </c>
    </row>
    <row r="2120" spans="2:11" x14ac:dyDescent="0.25">
      <c r="B2120" s="2">
        <f>+B2119</f>
        <v>65</v>
      </c>
      <c r="C2120" s="4">
        <v>3332.5940000000001</v>
      </c>
      <c r="D2120" s="4">
        <v>6874.1419999999998</v>
      </c>
      <c r="E2120" s="79">
        <v>1360.9</v>
      </c>
      <c r="F2120" s="79">
        <f>SUM(BASE_DATOS[[#This Row],[Capital($)]:[Interés
Resarcitorio($)]])</f>
        <v>11567.636</v>
      </c>
      <c r="G2120" s="8">
        <v>45956</v>
      </c>
      <c r="H2120" s="80" t="s">
        <v>51</v>
      </c>
      <c r="I2120" s="79" t="s">
        <v>7</v>
      </c>
      <c r="J2120" s="81">
        <v>120</v>
      </c>
      <c r="K2120" t="s">
        <v>47</v>
      </c>
    </row>
    <row r="2121" spans="2:11" x14ac:dyDescent="0.25">
      <c r="B2121" s="2">
        <v>66</v>
      </c>
      <c r="C2121" s="4">
        <v>3332.5940000000001</v>
      </c>
      <c r="D2121" s="4">
        <v>6959.7889999999998</v>
      </c>
      <c r="E2121" s="79">
        <v>0</v>
      </c>
      <c r="F2121" s="79">
        <f>SUM(BASE_DATOS[[#This Row],[Capital($)]:[Interés
Resarcitorio($)]])</f>
        <v>10292.383</v>
      </c>
      <c r="G2121" s="8">
        <v>45977</v>
      </c>
      <c r="H2121" s="80" t="s">
        <v>51</v>
      </c>
      <c r="I2121" s="79" t="s">
        <v>6</v>
      </c>
      <c r="J2121" s="81">
        <v>120</v>
      </c>
      <c r="K2121" t="s">
        <v>47</v>
      </c>
    </row>
    <row r="2122" spans="2:11" x14ac:dyDescent="0.25">
      <c r="B2122" s="2">
        <f>+B2121</f>
        <v>66</v>
      </c>
      <c r="C2122" s="4">
        <v>3332.5940000000001</v>
      </c>
      <c r="D2122" s="4">
        <v>6959.7889999999998</v>
      </c>
      <c r="E2122" s="79">
        <v>1372.32</v>
      </c>
      <c r="F2122" s="79">
        <f>SUM(BASE_DATOS[[#This Row],[Capital($)]:[Interés
Resarcitorio($)]])</f>
        <v>11664.703</v>
      </c>
      <c r="G2122" s="8">
        <v>45987</v>
      </c>
      <c r="H2122" s="80" t="s">
        <v>51</v>
      </c>
      <c r="I2122" s="79" t="s">
        <v>7</v>
      </c>
      <c r="J2122" s="81">
        <v>120</v>
      </c>
      <c r="K2122" t="s">
        <v>47</v>
      </c>
    </row>
    <row r="2123" spans="2:11" x14ac:dyDescent="0.25">
      <c r="B2123" s="2">
        <v>67</v>
      </c>
      <c r="C2123" s="4">
        <v>3332.5940000000001</v>
      </c>
      <c r="D2123" s="4">
        <v>7045.4369999999999</v>
      </c>
      <c r="E2123" s="79">
        <v>0</v>
      </c>
      <c r="F2123" s="79">
        <f>SUM(BASE_DATOS[[#This Row],[Capital($)]:[Interés
Resarcitorio($)]])</f>
        <v>10378.030999999999</v>
      </c>
      <c r="G2123" s="8">
        <v>46007</v>
      </c>
      <c r="H2123" s="80" t="s">
        <v>51</v>
      </c>
      <c r="I2123" s="79" t="s">
        <v>6</v>
      </c>
      <c r="J2123" s="81">
        <v>120</v>
      </c>
      <c r="K2123" t="s">
        <v>47</v>
      </c>
    </row>
    <row r="2124" spans="2:11" x14ac:dyDescent="0.25">
      <c r="B2124" s="2">
        <f>+B2123</f>
        <v>67</v>
      </c>
      <c r="C2124" s="4">
        <v>3332.5940000000001</v>
      </c>
      <c r="D2124" s="4">
        <v>7045.4369999999999</v>
      </c>
      <c r="E2124" s="79">
        <v>1383.74</v>
      </c>
      <c r="F2124" s="79">
        <f>SUM(BASE_DATOS[[#This Row],[Capital($)]:[Interés
Resarcitorio($)]])</f>
        <v>11761.770999999999</v>
      </c>
      <c r="G2124" s="8">
        <v>46017</v>
      </c>
      <c r="H2124" s="80" t="s">
        <v>51</v>
      </c>
      <c r="I2124" s="79" t="s">
        <v>7</v>
      </c>
      <c r="J2124" s="81">
        <v>120</v>
      </c>
      <c r="K2124" t="s">
        <v>47</v>
      </c>
    </row>
    <row r="2125" spans="2:11" x14ac:dyDescent="0.25">
      <c r="B2125" s="2">
        <v>68</v>
      </c>
      <c r="C2125" s="4">
        <v>3332.5940000000001</v>
      </c>
      <c r="D2125" s="4">
        <v>7131.0850000000009</v>
      </c>
      <c r="E2125" s="79">
        <v>0</v>
      </c>
      <c r="F2125" s="79">
        <f>SUM(BASE_DATOS[[#This Row],[Capital($)]:[Interés
Resarcitorio($)]])</f>
        <v>10463.679</v>
      </c>
      <c r="G2125" s="8">
        <v>46038</v>
      </c>
      <c r="H2125" s="80" t="s">
        <v>51</v>
      </c>
      <c r="I2125" s="79" t="s">
        <v>6</v>
      </c>
      <c r="J2125" s="81">
        <v>120</v>
      </c>
      <c r="K2125" t="s">
        <v>47</v>
      </c>
    </row>
    <row r="2126" spans="2:11" x14ac:dyDescent="0.25">
      <c r="B2126" s="2">
        <f>+B2125</f>
        <v>68</v>
      </c>
      <c r="C2126" s="4">
        <v>3332.5940000000001</v>
      </c>
      <c r="D2126" s="4">
        <v>7131.0850000000009</v>
      </c>
      <c r="E2126" s="79">
        <v>1395.16</v>
      </c>
      <c r="F2126" s="79">
        <f>SUM(BASE_DATOS[[#This Row],[Capital($)]:[Interés
Resarcitorio($)]])</f>
        <v>11858.839</v>
      </c>
      <c r="G2126" s="8">
        <v>46048</v>
      </c>
      <c r="H2126" s="80" t="s">
        <v>51</v>
      </c>
      <c r="I2126" s="79" t="s">
        <v>7</v>
      </c>
      <c r="J2126" s="81">
        <v>120</v>
      </c>
      <c r="K2126" t="s">
        <v>47</v>
      </c>
    </row>
    <row r="2127" spans="2:11" x14ac:dyDescent="0.25">
      <c r="B2127" s="2">
        <v>69</v>
      </c>
      <c r="C2127" s="4">
        <v>3332.5940000000001</v>
      </c>
      <c r="D2127" s="4">
        <v>7216.7320000000009</v>
      </c>
      <c r="E2127" s="79">
        <v>0</v>
      </c>
      <c r="F2127" s="79">
        <f>SUM(BASE_DATOS[[#This Row],[Capital($)]:[Interés
Resarcitorio($)]])</f>
        <v>10549.326000000001</v>
      </c>
      <c r="G2127" s="8">
        <v>46069</v>
      </c>
      <c r="H2127" s="80" t="s">
        <v>51</v>
      </c>
      <c r="I2127" s="79" t="s">
        <v>6</v>
      </c>
      <c r="J2127" s="81">
        <v>120</v>
      </c>
      <c r="K2127" t="s">
        <v>47</v>
      </c>
    </row>
    <row r="2128" spans="2:11" x14ac:dyDescent="0.25">
      <c r="B2128" s="2">
        <f>+B2127</f>
        <v>69</v>
      </c>
      <c r="C2128" s="4">
        <v>3332.5940000000001</v>
      </c>
      <c r="D2128" s="4">
        <v>7216.7320000000009</v>
      </c>
      <c r="E2128" s="79">
        <v>1406.58</v>
      </c>
      <c r="F2128" s="79">
        <f>SUM(BASE_DATOS[[#This Row],[Capital($)]:[Interés
Resarcitorio($)]])</f>
        <v>11955.906000000001</v>
      </c>
      <c r="G2128" s="8">
        <v>46079</v>
      </c>
      <c r="H2128" s="80" t="s">
        <v>51</v>
      </c>
      <c r="I2128" s="79" t="s">
        <v>7</v>
      </c>
      <c r="J2128" s="81">
        <v>120</v>
      </c>
      <c r="K2128" t="s">
        <v>47</v>
      </c>
    </row>
    <row r="2129" spans="2:11" x14ac:dyDescent="0.25">
      <c r="B2129" s="2">
        <v>70</v>
      </c>
      <c r="C2129" s="4">
        <v>3332.5940000000001</v>
      </c>
      <c r="D2129" s="4">
        <v>7302.38</v>
      </c>
      <c r="E2129" s="79">
        <v>0</v>
      </c>
      <c r="F2129" s="79">
        <f>SUM(BASE_DATOS[[#This Row],[Capital($)]:[Interés
Resarcitorio($)]])</f>
        <v>10634.974</v>
      </c>
      <c r="G2129" s="8">
        <v>46097</v>
      </c>
      <c r="H2129" s="80" t="s">
        <v>51</v>
      </c>
      <c r="I2129" s="79" t="s">
        <v>6</v>
      </c>
      <c r="J2129" s="81">
        <v>120</v>
      </c>
      <c r="K2129" t="s">
        <v>47</v>
      </c>
    </row>
    <row r="2130" spans="2:11" x14ac:dyDescent="0.25">
      <c r="B2130" s="2">
        <f>+B2129</f>
        <v>70</v>
      </c>
      <c r="C2130" s="4">
        <v>3332.5940000000001</v>
      </c>
      <c r="D2130" s="4">
        <v>7302.38</v>
      </c>
      <c r="E2130" s="79">
        <v>1418</v>
      </c>
      <c r="F2130" s="79">
        <f>SUM(BASE_DATOS[[#This Row],[Capital($)]:[Interés
Resarcitorio($)]])</f>
        <v>12052.974</v>
      </c>
      <c r="G2130" s="8">
        <v>46107</v>
      </c>
      <c r="H2130" s="80" t="s">
        <v>51</v>
      </c>
      <c r="I2130" s="79" t="s">
        <v>7</v>
      </c>
      <c r="J2130" s="81">
        <v>120</v>
      </c>
      <c r="K2130" t="s">
        <v>47</v>
      </c>
    </row>
    <row r="2131" spans="2:11" x14ac:dyDescent="0.25">
      <c r="B2131" s="2">
        <v>71</v>
      </c>
      <c r="C2131" s="4">
        <v>3332.5940000000001</v>
      </c>
      <c r="D2131" s="4">
        <v>7388.0280000000002</v>
      </c>
      <c r="E2131" s="79">
        <v>0</v>
      </c>
      <c r="F2131" s="79">
        <f>SUM(BASE_DATOS[[#This Row],[Capital($)]:[Interés
Resarcitorio($)]])</f>
        <v>10720.621999999999</v>
      </c>
      <c r="G2131" s="8">
        <v>46128</v>
      </c>
      <c r="H2131" s="80" t="s">
        <v>51</v>
      </c>
      <c r="I2131" s="79" t="s">
        <v>6</v>
      </c>
      <c r="J2131" s="81">
        <v>120</v>
      </c>
      <c r="K2131" t="s">
        <v>47</v>
      </c>
    </row>
    <row r="2132" spans="2:11" x14ac:dyDescent="0.25">
      <c r="B2132" s="2">
        <f>+B2131</f>
        <v>71</v>
      </c>
      <c r="C2132" s="4">
        <v>3332.5940000000001</v>
      </c>
      <c r="D2132" s="4">
        <v>7388.0280000000002</v>
      </c>
      <c r="E2132" s="79">
        <v>1429.42</v>
      </c>
      <c r="F2132" s="79">
        <f>SUM(BASE_DATOS[[#This Row],[Capital($)]:[Interés
Resarcitorio($)]])</f>
        <v>12150.041999999999</v>
      </c>
      <c r="G2132" s="8">
        <v>46138</v>
      </c>
      <c r="H2132" s="80" t="s">
        <v>51</v>
      </c>
      <c r="I2132" s="79" t="s">
        <v>7</v>
      </c>
      <c r="J2132" s="81">
        <v>120</v>
      </c>
      <c r="K2132" t="s">
        <v>47</v>
      </c>
    </row>
    <row r="2133" spans="2:11" x14ac:dyDescent="0.25">
      <c r="B2133" s="2">
        <v>72</v>
      </c>
      <c r="C2133" s="4">
        <v>3332.5940000000001</v>
      </c>
      <c r="D2133" s="4">
        <v>7473.6750000000002</v>
      </c>
      <c r="E2133" s="79">
        <v>0</v>
      </c>
      <c r="F2133" s="79">
        <f>SUM(BASE_DATOS[[#This Row],[Capital($)]:[Interés
Resarcitorio($)]])</f>
        <v>10806.269</v>
      </c>
      <c r="G2133" s="8">
        <v>46158</v>
      </c>
      <c r="H2133" s="80" t="s">
        <v>51</v>
      </c>
      <c r="I2133" s="79" t="s">
        <v>6</v>
      </c>
      <c r="J2133" s="81">
        <v>120</v>
      </c>
      <c r="K2133" t="s">
        <v>47</v>
      </c>
    </row>
    <row r="2134" spans="2:11" x14ac:dyDescent="0.25">
      <c r="B2134" s="2">
        <f>+B2133</f>
        <v>72</v>
      </c>
      <c r="C2134" s="4">
        <v>3332.5940000000001</v>
      </c>
      <c r="D2134" s="4">
        <v>7473.6750000000002</v>
      </c>
      <c r="E2134" s="79">
        <v>1440.84</v>
      </c>
      <c r="F2134" s="79">
        <f>SUM(BASE_DATOS[[#This Row],[Capital($)]:[Interés
Resarcitorio($)]])</f>
        <v>12247.109</v>
      </c>
      <c r="G2134" s="8">
        <v>46168</v>
      </c>
      <c r="H2134" s="80" t="s">
        <v>51</v>
      </c>
      <c r="I2134" s="79" t="s">
        <v>7</v>
      </c>
      <c r="J2134" s="81">
        <v>120</v>
      </c>
      <c r="K2134" t="s">
        <v>47</v>
      </c>
    </row>
    <row r="2135" spans="2:11" x14ac:dyDescent="0.25">
      <c r="B2135" s="2">
        <v>73</v>
      </c>
      <c r="C2135" s="4">
        <v>3332.5940000000001</v>
      </c>
      <c r="D2135" s="4">
        <v>7559.3229999999994</v>
      </c>
      <c r="E2135" s="79">
        <v>0</v>
      </c>
      <c r="F2135" s="79">
        <f>SUM(BASE_DATOS[[#This Row],[Capital($)]:[Interés
Resarcitorio($)]])</f>
        <v>10891.916999999999</v>
      </c>
      <c r="G2135" s="8">
        <v>46189</v>
      </c>
      <c r="H2135" s="80" t="s">
        <v>51</v>
      </c>
      <c r="I2135" s="79" t="s">
        <v>6</v>
      </c>
      <c r="J2135" s="81">
        <v>120</v>
      </c>
      <c r="K2135" t="s">
        <v>47</v>
      </c>
    </row>
    <row r="2136" spans="2:11" x14ac:dyDescent="0.25">
      <c r="B2136" s="2">
        <f>+B2135</f>
        <v>73</v>
      </c>
      <c r="C2136" s="4">
        <v>3332.5940000000001</v>
      </c>
      <c r="D2136" s="4">
        <v>7559.3229999999994</v>
      </c>
      <c r="E2136" s="79">
        <v>1452.26</v>
      </c>
      <c r="F2136" s="79">
        <f>SUM(BASE_DATOS[[#This Row],[Capital($)]:[Interés
Resarcitorio($)]])</f>
        <v>12344.177</v>
      </c>
      <c r="G2136" s="8">
        <v>46199</v>
      </c>
      <c r="H2136" s="80" t="s">
        <v>51</v>
      </c>
      <c r="I2136" s="79" t="s">
        <v>7</v>
      </c>
      <c r="J2136" s="81">
        <v>120</v>
      </c>
      <c r="K2136" t="s">
        <v>47</v>
      </c>
    </row>
    <row r="2137" spans="2:11" x14ac:dyDescent="0.25">
      <c r="B2137" s="2">
        <v>74</v>
      </c>
      <c r="C2137" s="4">
        <v>3332.5940000000001</v>
      </c>
      <c r="D2137" s="4">
        <v>7644.9710000000005</v>
      </c>
      <c r="E2137" s="79">
        <v>0</v>
      </c>
      <c r="F2137" s="79">
        <f>SUM(BASE_DATOS[[#This Row],[Capital($)]:[Interés
Resarcitorio($)]])</f>
        <v>10977.565000000001</v>
      </c>
      <c r="G2137" s="8">
        <v>46219</v>
      </c>
      <c r="H2137" s="80" t="s">
        <v>51</v>
      </c>
      <c r="I2137" s="79" t="s">
        <v>6</v>
      </c>
      <c r="J2137" s="81">
        <v>120</v>
      </c>
      <c r="K2137" t="s">
        <v>47</v>
      </c>
    </row>
    <row r="2138" spans="2:11" x14ac:dyDescent="0.25">
      <c r="B2138" s="2">
        <f>+B2137</f>
        <v>74</v>
      </c>
      <c r="C2138" s="4">
        <v>3332.5940000000001</v>
      </c>
      <c r="D2138" s="4">
        <v>7644.9710000000005</v>
      </c>
      <c r="E2138" s="79">
        <v>1463.68</v>
      </c>
      <c r="F2138" s="79">
        <f>SUM(BASE_DATOS[[#This Row],[Capital($)]:[Interés
Resarcitorio($)]])</f>
        <v>12441.245000000001</v>
      </c>
      <c r="G2138" s="8">
        <v>46229</v>
      </c>
      <c r="H2138" s="80" t="s">
        <v>51</v>
      </c>
      <c r="I2138" s="79" t="s">
        <v>7</v>
      </c>
      <c r="J2138" s="81">
        <v>120</v>
      </c>
      <c r="K2138" t="s">
        <v>47</v>
      </c>
    </row>
    <row r="2139" spans="2:11" x14ac:dyDescent="0.25">
      <c r="B2139" s="2">
        <v>75</v>
      </c>
      <c r="C2139" s="4">
        <v>3332.5940000000001</v>
      </c>
      <c r="D2139" s="4">
        <v>7730.6179999999995</v>
      </c>
      <c r="E2139" s="79">
        <v>0</v>
      </c>
      <c r="F2139" s="79">
        <f>SUM(BASE_DATOS[[#This Row],[Capital($)]:[Interés
Resarcitorio($)]])</f>
        <v>11063.212</v>
      </c>
      <c r="G2139" s="8">
        <v>46250</v>
      </c>
      <c r="H2139" s="80" t="s">
        <v>51</v>
      </c>
      <c r="I2139" s="79" t="s">
        <v>6</v>
      </c>
      <c r="J2139" s="81">
        <v>120</v>
      </c>
      <c r="K2139" t="s">
        <v>47</v>
      </c>
    </row>
    <row r="2140" spans="2:11" x14ac:dyDescent="0.25">
      <c r="B2140" s="2">
        <f>+B2139</f>
        <v>75</v>
      </c>
      <c r="C2140" s="4">
        <v>3332.5940000000001</v>
      </c>
      <c r="D2140" s="4">
        <v>7730.6179999999995</v>
      </c>
      <c r="E2140" s="79">
        <v>1475.09</v>
      </c>
      <c r="F2140" s="79">
        <f>SUM(BASE_DATOS[[#This Row],[Capital($)]:[Interés
Resarcitorio($)]])</f>
        <v>12538.302</v>
      </c>
      <c r="G2140" s="8">
        <v>46260</v>
      </c>
      <c r="H2140" s="80" t="s">
        <v>51</v>
      </c>
      <c r="I2140" s="79" t="s">
        <v>7</v>
      </c>
      <c r="J2140" s="81">
        <v>120</v>
      </c>
      <c r="K2140" t="s">
        <v>47</v>
      </c>
    </row>
    <row r="2141" spans="2:11" x14ac:dyDescent="0.25">
      <c r="B2141" s="2">
        <v>76</v>
      </c>
      <c r="C2141" s="4">
        <v>3332.5940000000001</v>
      </c>
      <c r="D2141" s="4">
        <v>7816.2660000000005</v>
      </c>
      <c r="E2141" s="79">
        <v>0</v>
      </c>
      <c r="F2141" s="79">
        <f>SUM(BASE_DATOS[[#This Row],[Capital($)]:[Interés
Resarcitorio($)]])</f>
        <v>11148.86</v>
      </c>
      <c r="G2141" s="8">
        <v>46281</v>
      </c>
      <c r="H2141" s="80" t="s">
        <v>51</v>
      </c>
      <c r="I2141" s="79" t="s">
        <v>6</v>
      </c>
      <c r="J2141" s="81">
        <v>120</v>
      </c>
      <c r="K2141" t="s">
        <v>47</v>
      </c>
    </row>
    <row r="2142" spans="2:11" x14ac:dyDescent="0.25">
      <c r="B2142" s="2">
        <f>+B2141</f>
        <v>76</v>
      </c>
      <c r="C2142" s="4">
        <v>3332.5940000000001</v>
      </c>
      <c r="D2142" s="4">
        <v>7816.2660000000005</v>
      </c>
      <c r="E2142" s="79">
        <v>1486.51</v>
      </c>
      <c r="F2142" s="79">
        <f>SUM(BASE_DATOS[[#This Row],[Capital($)]:[Interés
Resarcitorio($)]])</f>
        <v>12635.37</v>
      </c>
      <c r="G2142" s="8">
        <v>46291</v>
      </c>
      <c r="H2142" s="80" t="s">
        <v>51</v>
      </c>
      <c r="I2142" s="79" t="s">
        <v>7</v>
      </c>
      <c r="J2142" s="81">
        <v>120</v>
      </c>
      <c r="K2142" t="s">
        <v>47</v>
      </c>
    </row>
    <row r="2143" spans="2:11" x14ac:dyDescent="0.25">
      <c r="B2143" s="2">
        <v>77</v>
      </c>
      <c r="C2143" s="4">
        <v>3332.5940000000001</v>
      </c>
      <c r="D2143" s="4">
        <v>7901.9139999999998</v>
      </c>
      <c r="E2143" s="79">
        <v>0</v>
      </c>
      <c r="F2143" s="79">
        <f>SUM(BASE_DATOS[[#This Row],[Capital($)]:[Interés
Resarcitorio($)]])</f>
        <v>11234.508</v>
      </c>
      <c r="G2143" s="8">
        <v>46311</v>
      </c>
      <c r="H2143" s="80" t="s">
        <v>51</v>
      </c>
      <c r="I2143" s="79" t="s">
        <v>6</v>
      </c>
      <c r="J2143" s="81">
        <v>120</v>
      </c>
      <c r="K2143" t="s">
        <v>47</v>
      </c>
    </row>
    <row r="2144" spans="2:11" x14ac:dyDescent="0.25">
      <c r="B2144" s="2">
        <f>+B2143</f>
        <v>77</v>
      </c>
      <c r="C2144" s="4">
        <v>3332.5940000000001</v>
      </c>
      <c r="D2144" s="4">
        <v>7901.9139999999998</v>
      </c>
      <c r="E2144" s="79">
        <v>1497.93</v>
      </c>
      <c r="F2144" s="79">
        <f>SUM(BASE_DATOS[[#This Row],[Capital($)]:[Interés
Resarcitorio($)]])</f>
        <v>12732.438</v>
      </c>
      <c r="G2144" s="8">
        <v>46321</v>
      </c>
      <c r="H2144" s="80" t="s">
        <v>51</v>
      </c>
      <c r="I2144" s="79" t="s">
        <v>7</v>
      </c>
      <c r="J2144" s="81">
        <v>120</v>
      </c>
      <c r="K2144" t="s">
        <v>47</v>
      </c>
    </row>
    <row r="2145" spans="2:11" x14ac:dyDescent="0.25">
      <c r="B2145" s="2">
        <v>78</v>
      </c>
      <c r="C2145" s="4">
        <v>3332.5940000000001</v>
      </c>
      <c r="D2145" s="4">
        <v>7987.5609999999997</v>
      </c>
      <c r="E2145" s="79">
        <v>0</v>
      </c>
      <c r="F2145" s="79">
        <f>SUM(BASE_DATOS[[#This Row],[Capital($)]:[Interés
Resarcitorio($)]])</f>
        <v>11320.154999999999</v>
      </c>
      <c r="G2145" s="8">
        <v>46342</v>
      </c>
      <c r="H2145" s="80" t="s">
        <v>51</v>
      </c>
      <c r="I2145" s="79" t="s">
        <v>6</v>
      </c>
      <c r="J2145" s="81">
        <v>120</v>
      </c>
      <c r="K2145" t="s">
        <v>47</v>
      </c>
    </row>
    <row r="2146" spans="2:11" x14ac:dyDescent="0.25">
      <c r="B2146" s="2">
        <f>+B2145</f>
        <v>78</v>
      </c>
      <c r="C2146" s="4">
        <v>3332.5940000000001</v>
      </c>
      <c r="D2146" s="4">
        <v>7987.5609999999997</v>
      </c>
      <c r="E2146" s="79">
        <v>1509.35</v>
      </c>
      <c r="F2146" s="79">
        <f>SUM(BASE_DATOS[[#This Row],[Capital($)]:[Interés
Resarcitorio($)]])</f>
        <v>12829.504999999999</v>
      </c>
      <c r="G2146" s="8">
        <v>46352</v>
      </c>
      <c r="H2146" s="80" t="s">
        <v>51</v>
      </c>
      <c r="I2146" s="79" t="s">
        <v>7</v>
      </c>
      <c r="J2146" s="81">
        <v>120</v>
      </c>
      <c r="K2146" t="s">
        <v>47</v>
      </c>
    </row>
    <row r="2147" spans="2:11" x14ac:dyDescent="0.25">
      <c r="B2147" s="2">
        <v>79</v>
      </c>
      <c r="C2147" s="4">
        <v>3332.5940000000001</v>
      </c>
      <c r="D2147" s="4">
        <v>8073.2089999999998</v>
      </c>
      <c r="E2147" s="79">
        <v>0</v>
      </c>
      <c r="F2147" s="79">
        <f>SUM(BASE_DATOS[[#This Row],[Capital($)]:[Interés
Resarcitorio($)]])</f>
        <v>11405.803</v>
      </c>
      <c r="G2147" s="8">
        <v>46372</v>
      </c>
      <c r="H2147" s="80" t="s">
        <v>51</v>
      </c>
      <c r="I2147" s="79" t="s">
        <v>6</v>
      </c>
      <c r="J2147" s="81">
        <v>120</v>
      </c>
      <c r="K2147" t="s">
        <v>47</v>
      </c>
    </row>
    <row r="2148" spans="2:11" x14ac:dyDescent="0.25">
      <c r="B2148" s="2">
        <f>+B2147</f>
        <v>79</v>
      </c>
      <c r="C2148" s="4">
        <v>3332.5940000000001</v>
      </c>
      <c r="D2148" s="4">
        <v>8073.2089999999998</v>
      </c>
      <c r="E2148" s="79">
        <v>1520.77</v>
      </c>
      <c r="F2148" s="79">
        <f>SUM(BASE_DATOS[[#This Row],[Capital($)]:[Interés
Resarcitorio($)]])</f>
        <v>12926.573</v>
      </c>
      <c r="G2148" s="8">
        <v>46382</v>
      </c>
      <c r="H2148" s="80" t="s">
        <v>51</v>
      </c>
      <c r="I2148" s="79" t="s">
        <v>7</v>
      </c>
      <c r="J2148" s="81">
        <v>120</v>
      </c>
      <c r="K2148" t="s">
        <v>47</v>
      </c>
    </row>
    <row r="2149" spans="2:11" x14ac:dyDescent="0.25">
      <c r="B2149" s="2">
        <v>80</v>
      </c>
      <c r="C2149" s="4">
        <v>3332.5940000000001</v>
      </c>
      <c r="D2149" s="4">
        <v>8158.8570000000009</v>
      </c>
      <c r="E2149" s="79">
        <v>0</v>
      </c>
      <c r="F2149" s="79">
        <f>SUM(BASE_DATOS[[#This Row],[Capital($)]:[Interés
Resarcitorio($)]])</f>
        <v>11491.451000000001</v>
      </c>
      <c r="G2149" s="8">
        <v>46403</v>
      </c>
      <c r="H2149" s="80" t="s">
        <v>51</v>
      </c>
      <c r="I2149" s="79" t="s">
        <v>6</v>
      </c>
      <c r="J2149" s="81">
        <v>120</v>
      </c>
      <c r="K2149" t="s">
        <v>47</v>
      </c>
    </row>
    <row r="2150" spans="2:11" x14ac:dyDescent="0.25">
      <c r="B2150" s="2">
        <f>+B2149</f>
        <v>80</v>
      </c>
      <c r="C2150" s="4">
        <v>3332.5940000000001</v>
      </c>
      <c r="D2150" s="4">
        <v>8158.8570000000009</v>
      </c>
      <c r="E2150" s="79">
        <v>1532.19</v>
      </c>
      <c r="F2150" s="79">
        <f>SUM(BASE_DATOS[[#This Row],[Capital($)]:[Interés
Resarcitorio($)]])</f>
        <v>13023.641000000001</v>
      </c>
      <c r="G2150" s="8">
        <v>46413</v>
      </c>
      <c r="H2150" s="80" t="s">
        <v>51</v>
      </c>
      <c r="I2150" s="79" t="s">
        <v>7</v>
      </c>
      <c r="J2150" s="81">
        <v>120</v>
      </c>
      <c r="K2150" t="s">
        <v>47</v>
      </c>
    </row>
    <row r="2151" spans="2:11" x14ac:dyDescent="0.25">
      <c r="B2151" s="2">
        <v>81</v>
      </c>
      <c r="C2151" s="4">
        <v>3332.5940000000001</v>
      </c>
      <c r="D2151" s="4">
        <v>8244.503999999999</v>
      </c>
      <c r="E2151" s="79">
        <v>0</v>
      </c>
      <c r="F2151" s="79">
        <f>SUM(BASE_DATOS[[#This Row],[Capital($)]:[Interés
Resarcitorio($)]])</f>
        <v>11577.097999999998</v>
      </c>
      <c r="G2151" s="8">
        <v>46434</v>
      </c>
      <c r="H2151" s="80" t="s">
        <v>51</v>
      </c>
      <c r="I2151" s="79" t="s">
        <v>6</v>
      </c>
      <c r="J2151" s="81">
        <v>120</v>
      </c>
      <c r="K2151" t="s">
        <v>47</v>
      </c>
    </row>
    <row r="2152" spans="2:11" x14ac:dyDescent="0.25">
      <c r="B2152" s="2">
        <f>+B2151</f>
        <v>81</v>
      </c>
      <c r="C2152" s="4">
        <v>3332.5940000000001</v>
      </c>
      <c r="D2152" s="4">
        <v>8244.503999999999</v>
      </c>
      <c r="E2152" s="79">
        <v>1543.61</v>
      </c>
      <c r="F2152" s="79">
        <f>SUM(BASE_DATOS[[#This Row],[Capital($)]:[Interés
Resarcitorio($)]])</f>
        <v>13120.707999999999</v>
      </c>
      <c r="G2152" s="8">
        <v>46444</v>
      </c>
      <c r="H2152" s="80" t="s">
        <v>51</v>
      </c>
      <c r="I2152" s="79" t="s">
        <v>7</v>
      </c>
      <c r="J2152" s="81">
        <v>120</v>
      </c>
      <c r="K2152" t="s">
        <v>47</v>
      </c>
    </row>
    <row r="2153" spans="2:11" x14ac:dyDescent="0.25">
      <c r="B2153" s="2">
        <v>82</v>
      </c>
      <c r="C2153" s="4">
        <v>3332.5940000000001</v>
      </c>
      <c r="D2153" s="4">
        <v>8330.152</v>
      </c>
      <c r="E2153" s="79">
        <v>0</v>
      </c>
      <c r="F2153" s="79">
        <f>SUM(BASE_DATOS[[#This Row],[Capital($)]:[Interés
Resarcitorio($)]])</f>
        <v>11662.745999999999</v>
      </c>
      <c r="G2153" s="8">
        <v>46462</v>
      </c>
      <c r="H2153" s="80" t="s">
        <v>51</v>
      </c>
      <c r="I2153" s="79" t="s">
        <v>6</v>
      </c>
      <c r="J2153" s="81">
        <v>120</v>
      </c>
      <c r="K2153" t="s">
        <v>47</v>
      </c>
    </row>
    <row r="2154" spans="2:11" x14ac:dyDescent="0.25">
      <c r="B2154" s="2">
        <f>+B2153</f>
        <v>82</v>
      </c>
      <c r="C2154" s="4">
        <v>3332.5940000000001</v>
      </c>
      <c r="D2154" s="4">
        <v>8330.152</v>
      </c>
      <c r="E2154" s="79">
        <v>1555.03</v>
      </c>
      <c r="F2154" s="79">
        <f>SUM(BASE_DATOS[[#This Row],[Capital($)]:[Interés
Resarcitorio($)]])</f>
        <v>13217.776</v>
      </c>
      <c r="G2154" s="8">
        <v>46472</v>
      </c>
      <c r="H2154" s="80" t="s">
        <v>51</v>
      </c>
      <c r="I2154" s="79" t="s">
        <v>7</v>
      </c>
      <c r="J2154" s="81">
        <v>120</v>
      </c>
      <c r="K2154" t="s">
        <v>47</v>
      </c>
    </row>
    <row r="2155" spans="2:11" x14ac:dyDescent="0.25">
      <c r="B2155" s="2">
        <v>83</v>
      </c>
      <c r="C2155" s="4">
        <v>3332.5940000000001</v>
      </c>
      <c r="D2155" s="4">
        <v>8415.7999999999993</v>
      </c>
      <c r="E2155" s="79">
        <v>0</v>
      </c>
      <c r="F2155" s="79">
        <f>SUM(BASE_DATOS[[#This Row],[Capital($)]:[Interés
Resarcitorio($)]])</f>
        <v>11748.394</v>
      </c>
      <c r="G2155" s="8">
        <v>46493</v>
      </c>
      <c r="H2155" s="80" t="s">
        <v>51</v>
      </c>
      <c r="I2155" s="79" t="s">
        <v>6</v>
      </c>
      <c r="J2155" s="81">
        <v>120</v>
      </c>
      <c r="K2155" t="s">
        <v>47</v>
      </c>
    </row>
    <row r="2156" spans="2:11" x14ac:dyDescent="0.25">
      <c r="B2156" s="2">
        <f>+B2155</f>
        <v>83</v>
      </c>
      <c r="C2156" s="4">
        <v>3332.5940000000001</v>
      </c>
      <c r="D2156" s="4">
        <v>8415.7999999999993</v>
      </c>
      <c r="E2156" s="79">
        <v>1566.45</v>
      </c>
      <c r="F2156" s="79">
        <f>SUM(BASE_DATOS[[#This Row],[Capital($)]:[Interés
Resarcitorio($)]])</f>
        <v>13314.844000000001</v>
      </c>
      <c r="G2156" s="8">
        <v>46503</v>
      </c>
      <c r="H2156" s="80" t="s">
        <v>51</v>
      </c>
      <c r="I2156" s="79" t="s">
        <v>7</v>
      </c>
      <c r="J2156" s="81">
        <v>120</v>
      </c>
      <c r="K2156" t="s">
        <v>47</v>
      </c>
    </row>
    <row r="2157" spans="2:11" x14ac:dyDescent="0.25">
      <c r="B2157" s="2">
        <v>84</v>
      </c>
      <c r="C2157" s="4">
        <v>3332.5940000000001</v>
      </c>
      <c r="D2157" s="4">
        <v>8501.4470000000001</v>
      </c>
      <c r="E2157" s="79">
        <v>0</v>
      </c>
      <c r="F2157" s="79">
        <f>SUM(BASE_DATOS[[#This Row],[Capital($)]:[Interés
Resarcitorio($)]])</f>
        <v>11834.041000000001</v>
      </c>
      <c r="G2157" s="8">
        <v>46523</v>
      </c>
      <c r="H2157" s="80" t="s">
        <v>51</v>
      </c>
      <c r="I2157" s="79" t="s">
        <v>6</v>
      </c>
      <c r="J2157" s="81">
        <v>120</v>
      </c>
      <c r="K2157" t="s">
        <v>47</v>
      </c>
    </row>
    <row r="2158" spans="2:11" x14ac:dyDescent="0.25">
      <c r="B2158" s="2">
        <f>+B2157</f>
        <v>84</v>
      </c>
      <c r="C2158" s="4">
        <v>3332.5940000000001</v>
      </c>
      <c r="D2158" s="4">
        <v>8501.4470000000001</v>
      </c>
      <c r="E2158" s="79">
        <v>1577.87</v>
      </c>
      <c r="F2158" s="79">
        <f>SUM(BASE_DATOS[[#This Row],[Capital($)]:[Interés
Resarcitorio($)]])</f>
        <v>13411.911</v>
      </c>
      <c r="G2158" s="8">
        <v>46533</v>
      </c>
      <c r="H2158" s="80" t="s">
        <v>51</v>
      </c>
      <c r="I2158" s="79" t="s">
        <v>7</v>
      </c>
      <c r="J2158" s="81">
        <v>120</v>
      </c>
      <c r="K2158" t="s">
        <v>47</v>
      </c>
    </row>
    <row r="2159" spans="2:11" x14ac:dyDescent="0.25">
      <c r="B2159" s="2">
        <v>85</v>
      </c>
      <c r="C2159" s="4">
        <v>3332.5940000000001</v>
      </c>
      <c r="D2159" s="4">
        <v>8587.0949999999993</v>
      </c>
      <c r="E2159" s="79">
        <v>0</v>
      </c>
      <c r="F2159" s="79">
        <f>SUM(BASE_DATOS[[#This Row],[Capital($)]:[Interés
Resarcitorio($)]])</f>
        <v>11919.688999999998</v>
      </c>
      <c r="G2159" s="8">
        <v>46554</v>
      </c>
      <c r="H2159" s="80" t="s">
        <v>51</v>
      </c>
      <c r="I2159" s="79" t="s">
        <v>6</v>
      </c>
      <c r="J2159" s="81">
        <v>120</v>
      </c>
      <c r="K2159" t="s">
        <v>47</v>
      </c>
    </row>
    <row r="2160" spans="2:11" x14ac:dyDescent="0.25">
      <c r="B2160" s="2">
        <f>+B2159</f>
        <v>85</v>
      </c>
      <c r="C2160" s="4">
        <v>3332.5940000000001</v>
      </c>
      <c r="D2160" s="4">
        <v>8587.0949999999993</v>
      </c>
      <c r="E2160" s="79">
        <v>1589.29</v>
      </c>
      <c r="F2160" s="79">
        <f>SUM(BASE_DATOS[[#This Row],[Capital($)]:[Interés
Resarcitorio($)]])</f>
        <v>13508.978999999999</v>
      </c>
      <c r="G2160" s="8">
        <v>46564</v>
      </c>
      <c r="H2160" s="80" t="s">
        <v>51</v>
      </c>
      <c r="I2160" s="79" t="s">
        <v>7</v>
      </c>
      <c r="J2160" s="81">
        <v>120</v>
      </c>
      <c r="K2160" t="s">
        <v>47</v>
      </c>
    </row>
    <row r="2161" spans="2:11" x14ac:dyDescent="0.25">
      <c r="B2161" s="2">
        <v>86</v>
      </c>
      <c r="C2161" s="4">
        <v>3332.5940000000001</v>
      </c>
      <c r="D2161" s="4">
        <v>8672.7429999999986</v>
      </c>
      <c r="E2161" s="79">
        <v>0</v>
      </c>
      <c r="F2161" s="79">
        <f>SUM(BASE_DATOS[[#This Row],[Capital($)]:[Interés
Resarcitorio($)]])</f>
        <v>12005.337</v>
      </c>
      <c r="G2161" s="8">
        <v>46584</v>
      </c>
      <c r="H2161" s="80" t="s">
        <v>51</v>
      </c>
      <c r="I2161" s="79" t="s">
        <v>6</v>
      </c>
      <c r="J2161" s="81">
        <v>120</v>
      </c>
      <c r="K2161" t="s">
        <v>47</v>
      </c>
    </row>
    <row r="2162" spans="2:11" x14ac:dyDescent="0.25">
      <c r="B2162" s="2">
        <f>+B2161</f>
        <v>86</v>
      </c>
      <c r="C2162" s="4">
        <v>3332.5940000000001</v>
      </c>
      <c r="D2162" s="4">
        <v>8672.7429999999986</v>
      </c>
      <c r="E2162" s="79">
        <v>1600.71</v>
      </c>
      <c r="F2162" s="79">
        <f>SUM(BASE_DATOS[[#This Row],[Capital($)]:[Interés
Resarcitorio($)]])</f>
        <v>13606.046999999999</v>
      </c>
      <c r="G2162" s="8">
        <v>46594</v>
      </c>
      <c r="H2162" s="80" t="s">
        <v>51</v>
      </c>
      <c r="I2162" s="79" t="s">
        <v>7</v>
      </c>
      <c r="J2162" s="81">
        <v>120</v>
      </c>
      <c r="K2162" t="s">
        <v>47</v>
      </c>
    </row>
    <row r="2163" spans="2:11" x14ac:dyDescent="0.25">
      <c r="B2163" s="2">
        <v>87</v>
      </c>
      <c r="C2163" s="4">
        <v>3332.5940000000001</v>
      </c>
      <c r="D2163" s="4">
        <v>8758.39</v>
      </c>
      <c r="E2163" s="79">
        <v>0</v>
      </c>
      <c r="F2163" s="79">
        <f>SUM(BASE_DATOS[[#This Row],[Capital($)]:[Interés
Resarcitorio($)]])</f>
        <v>12090.984</v>
      </c>
      <c r="G2163" s="8">
        <v>46615</v>
      </c>
      <c r="H2163" s="80" t="s">
        <v>51</v>
      </c>
      <c r="I2163" s="79" t="s">
        <v>6</v>
      </c>
      <c r="J2163" s="81">
        <v>120</v>
      </c>
      <c r="K2163" t="s">
        <v>47</v>
      </c>
    </row>
    <row r="2164" spans="2:11" x14ac:dyDescent="0.25">
      <c r="B2164" s="2">
        <f>+B2163</f>
        <v>87</v>
      </c>
      <c r="C2164" s="4">
        <v>3332.5940000000001</v>
      </c>
      <c r="D2164" s="4">
        <v>8758.39</v>
      </c>
      <c r="E2164" s="79">
        <v>1612.13</v>
      </c>
      <c r="F2164" s="79">
        <f>SUM(BASE_DATOS[[#This Row],[Capital($)]:[Interés
Resarcitorio($)]])</f>
        <v>13703.114000000001</v>
      </c>
      <c r="G2164" s="8">
        <v>46625</v>
      </c>
      <c r="H2164" s="80" t="s">
        <v>51</v>
      </c>
      <c r="I2164" s="79" t="s">
        <v>7</v>
      </c>
      <c r="J2164" s="81">
        <v>120</v>
      </c>
      <c r="K2164" t="s">
        <v>47</v>
      </c>
    </row>
    <row r="2165" spans="2:11" x14ac:dyDescent="0.25">
      <c r="B2165" s="2">
        <v>88</v>
      </c>
      <c r="C2165" s="4">
        <v>3332.5940000000001</v>
      </c>
      <c r="D2165" s="4">
        <v>8844.0380000000005</v>
      </c>
      <c r="E2165" s="79">
        <v>0</v>
      </c>
      <c r="F2165" s="79">
        <f>SUM(BASE_DATOS[[#This Row],[Capital($)]:[Interés
Resarcitorio($)]])</f>
        <v>12176.632000000001</v>
      </c>
      <c r="G2165" s="8">
        <v>46646</v>
      </c>
      <c r="H2165" s="80" t="s">
        <v>51</v>
      </c>
      <c r="I2165" s="79" t="s">
        <v>6</v>
      </c>
      <c r="J2165" s="81">
        <v>120</v>
      </c>
      <c r="K2165" t="s">
        <v>47</v>
      </c>
    </row>
    <row r="2166" spans="2:11" x14ac:dyDescent="0.25">
      <c r="B2166" s="2">
        <f>+B2165</f>
        <v>88</v>
      </c>
      <c r="C2166" s="4">
        <v>3332.5940000000001</v>
      </c>
      <c r="D2166" s="4">
        <v>8844.0380000000005</v>
      </c>
      <c r="E2166" s="79">
        <v>1623.55</v>
      </c>
      <c r="F2166" s="79">
        <f>SUM(BASE_DATOS[[#This Row],[Capital($)]:[Interés
Resarcitorio($)]])</f>
        <v>13800.182000000001</v>
      </c>
      <c r="G2166" s="8">
        <v>46656</v>
      </c>
      <c r="H2166" s="80" t="s">
        <v>51</v>
      </c>
      <c r="I2166" s="79" t="s">
        <v>7</v>
      </c>
      <c r="J2166" s="81">
        <v>120</v>
      </c>
      <c r="K2166" t="s">
        <v>47</v>
      </c>
    </row>
    <row r="2167" spans="2:11" x14ac:dyDescent="0.25">
      <c r="B2167" s="2">
        <v>89</v>
      </c>
      <c r="C2167" s="4">
        <v>3332.5940000000001</v>
      </c>
      <c r="D2167" s="4">
        <v>8929.6859999999997</v>
      </c>
      <c r="E2167" s="79">
        <v>0</v>
      </c>
      <c r="F2167" s="79">
        <f>SUM(BASE_DATOS[[#This Row],[Capital($)]:[Interés
Resarcitorio($)]])</f>
        <v>12262.279999999999</v>
      </c>
      <c r="G2167" s="8">
        <v>46676</v>
      </c>
      <c r="H2167" s="80" t="s">
        <v>51</v>
      </c>
      <c r="I2167" s="79" t="s">
        <v>6</v>
      </c>
      <c r="J2167" s="81">
        <v>120</v>
      </c>
      <c r="K2167" t="s">
        <v>47</v>
      </c>
    </row>
    <row r="2168" spans="2:11" x14ac:dyDescent="0.25">
      <c r="B2168" s="2">
        <f>+B2167</f>
        <v>89</v>
      </c>
      <c r="C2168" s="4">
        <v>3332.5940000000001</v>
      </c>
      <c r="D2168" s="4">
        <v>8929.6859999999997</v>
      </c>
      <c r="E2168" s="79">
        <v>1634.97</v>
      </c>
      <c r="F2168" s="79">
        <f>SUM(BASE_DATOS[[#This Row],[Capital($)]:[Interés
Resarcitorio($)]])</f>
        <v>13897.249999999998</v>
      </c>
      <c r="G2168" s="8">
        <v>46686</v>
      </c>
      <c r="H2168" s="80" t="s">
        <v>51</v>
      </c>
      <c r="I2168" s="79" t="s">
        <v>7</v>
      </c>
      <c r="J2168" s="81">
        <v>120</v>
      </c>
      <c r="K2168" t="s">
        <v>47</v>
      </c>
    </row>
    <row r="2169" spans="2:11" x14ac:dyDescent="0.25">
      <c r="B2169" s="2">
        <v>90</v>
      </c>
      <c r="C2169" s="4">
        <v>3332.5940000000001</v>
      </c>
      <c r="D2169" s="4">
        <v>9015.3330000000005</v>
      </c>
      <c r="E2169" s="79">
        <v>0</v>
      </c>
      <c r="F2169" s="79">
        <f>SUM(BASE_DATOS[[#This Row],[Capital($)]:[Interés
Resarcitorio($)]])</f>
        <v>12347.927</v>
      </c>
      <c r="G2169" s="8">
        <v>46707</v>
      </c>
      <c r="H2169" s="80" t="s">
        <v>51</v>
      </c>
      <c r="I2169" s="79" t="s">
        <v>6</v>
      </c>
      <c r="J2169" s="81">
        <v>120</v>
      </c>
      <c r="K2169" t="s">
        <v>47</v>
      </c>
    </row>
    <row r="2170" spans="2:11" x14ac:dyDescent="0.25">
      <c r="B2170" s="2">
        <f>+B2169</f>
        <v>90</v>
      </c>
      <c r="C2170" s="4">
        <v>3332.5940000000001</v>
      </c>
      <c r="D2170" s="4">
        <v>9015.3330000000005</v>
      </c>
      <c r="E2170" s="79">
        <v>1646.39</v>
      </c>
      <c r="F2170" s="79">
        <f>SUM(BASE_DATOS[[#This Row],[Capital($)]:[Interés
Resarcitorio($)]])</f>
        <v>13994.316999999999</v>
      </c>
      <c r="G2170" s="8">
        <v>46717</v>
      </c>
      <c r="H2170" s="80" t="s">
        <v>51</v>
      </c>
      <c r="I2170" s="79" t="s">
        <v>7</v>
      </c>
      <c r="J2170" s="81">
        <v>120</v>
      </c>
      <c r="K2170" t="s">
        <v>47</v>
      </c>
    </row>
    <row r="2171" spans="2:11" x14ac:dyDescent="0.25">
      <c r="B2171" s="2">
        <v>91</v>
      </c>
      <c r="C2171" s="4">
        <v>3332.5940000000001</v>
      </c>
      <c r="D2171" s="4">
        <v>9100.9809999999998</v>
      </c>
      <c r="E2171" s="79">
        <v>0</v>
      </c>
      <c r="F2171" s="79">
        <f>SUM(BASE_DATOS[[#This Row],[Capital($)]:[Interés
Resarcitorio($)]])</f>
        <v>12433.575000000001</v>
      </c>
      <c r="G2171" s="8">
        <v>46737</v>
      </c>
      <c r="H2171" s="80" t="s">
        <v>51</v>
      </c>
      <c r="I2171" s="79" t="s">
        <v>6</v>
      </c>
      <c r="J2171" s="81">
        <v>120</v>
      </c>
      <c r="K2171" t="s">
        <v>47</v>
      </c>
    </row>
    <row r="2172" spans="2:11" x14ac:dyDescent="0.25">
      <c r="B2172" s="2">
        <f>+B2171</f>
        <v>91</v>
      </c>
      <c r="C2172" s="4">
        <v>3332.5940000000001</v>
      </c>
      <c r="D2172" s="4">
        <v>9100.9809999999998</v>
      </c>
      <c r="E2172" s="79">
        <v>1657.81</v>
      </c>
      <c r="F2172" s="79">
        <f>SUM(BASE_DATOS[[#This Row],[Capital($)]:[Interés
Resarcitorio($)]])</f>
        <v>14091.385</v>
      </c>
      <c r="G2172" s="8">
        <v>46747</v>
      </c>
      <c r="H2172" s="80" t="s">
        <v>51</v>
      </c>
      <c r="I2172" s="79" t="s">
        <v>7</v>
      </c>
      <c r="J2172" s="81">
        <v>120</v>
      </c>
      <c r="K2172" t="s">
        <v>47</v>
      </c>
    </row>
    <row r="2173" spans="2:11" x14ac:dyDescent="0.25">
      <c r="B2173" s="2">
        <v>92</v>
      </c>
      <c r="C2173" s="4">
        <v>3332.5940000000001</v>
      </c>
      <c r="D2173" s="4">
        <v>9186.628999999999</v>
      </c>
      <c r="E2173" s="79">
        <v>0</v>
      </c>
      <c r="F2173" s="79">
        <f>SUM(BASE_DATOS[[#This Row],[Capital($)]:[Interés
Resarcitorio($)]])</f>
        <v>12519.222999999998</v>
      </c>
      <c r="G2173" s="8">
        <v>46768</v>
      </c>
      <c r="H2173" s="80" t="s">
        <v>51</v>
      </c>
      <c r="I2173" s="79" t="s">
        <v>6</v>
      </c>
      <c r="J2173" s="81">
        <v>120</v>
      </c>
      <c r="K2173" t="s">
        <v>47</v>
      </c>
    </row>
    <row r="2174" spans="2:11" x14ac:dyDescent="0.25">
      <c r="B2174" s="2">
        <f>+B2173</f>
        <v>92</v>
      </c>
      <c r="C2174" s="4">
        <v>3332.5940000000001</v>
      </c>
      <c r="D2174" s="4">
        <v>9186.628999999999</v>
      </c>
      <c r="E2174" s="79">
        <v>1669.23</v>
      </c>
      <c r="F2174" s="79">
        <f>SUM(BASE_DATOS[[#This Row],[Capital($)]:[Interés
Resarcitorio($)]])</f>
        <v>14188.452999999998</v>
      </c>
      <c r="G2174" s="8">
        <v>46778</v>
      </c>
      <c r="H2174" s="80" t="s">
        <v>51</v>
      </c>
      <c r="I2174" s="79" t="s">
        <v>7</v>
      </c>
      <c r="J2174" s="81">
        <v>120</v>
      </c>
      <c r="K2174" t="s">
        <v>47</v>
      </c>
    </row>
    <row r="2175" spans="2:11" x14ac:dyDescent="0.25">
      <c r="B2175" s="2">
        <v>93</v>
      </c>
      <c r="C2175" s="4">
        <v>3332.5940000000001</v>
      </c>
      <c r="D2175" s="4">
        <v>9272.2759999999998</v>
      </c>
      <c r="E2175" s="79">
        <v>0</v>
      </c>
      <c r="F2175" s="79">
        <f>SUM(BASE_DATOS[[#This Row],[Capital($)]:[Interés
Resarcitorio($)]])</f>
        <v>12604.869999999999</v>
      </c>
      <c r="G2175" s="8">
        <v>46799</v>
      </c>
      <c r="H2175" s="80" t="s">
        <v>51</v>
      </c>
      <c r="I2175" s="79" t="s">
        <v>6</v>
      </c>
      <c r="J2175" s="81">
        <v>120</v>
      </c>
      <c r="K2175" t="s">
        <v>47</v>
      </c>
    </row>
    <row r="2176" spans="2:11" x14ac:dyDescent="0.25">
      <c r="B2176" s="2">
        <f>+B2175</f>
        <v>93</v>
      </c>
      <c r="C2176" s="4">
        <v>3332.5940000000001</v>
      </c>
      <c r="D2176" s="4">
        <v>9272.2759999999998</v>
      </c>
      <c r="E2176" s="79">
        <v>1680.65</v>
      </c>
      <c r="F2176" s="79">
        <f>SUM(BASE_DATOS[[#This Row],[Capital($)]:[Interés
Resarcitorio($)]])</f>
        <v>14285.519999999999</v>
      </c>
      <c r="G2176" s="8">
        <v>46809</v>
      </c>
      <c r="H2176" s="80" t="s">
        <v>51</v>
      </c>
      <c r="I2176" s="79" t="s">
        <v>7</v>
      </c>
      <c r="J2176" s="81">
        <v>120</v>
      </c>
      <c r="K2176" t="s">
        <v>47</v>
      </c>
    </row>
    <row r="2177" spans="2:11" x14ac:dyDescent="0.25">
      <c r="B2177" s="2">
        <v>94</v>
      </c>
      <c r="C2177" s="4">
        <v>3332.5940000000001</v>
      </c>
      <c r="D2177" s="4">
        <v>9357.9240000000009</v>
      </c>
      <c r="E2177" s="79">
        <v>0</v>
      </c>
      <c r="F2177" s="79">
        <f>SUM(BASE_DATOS[[#This Row],[Capital($)]:[Interés
Resarcitorio($)]])</f>
        <v>12690.518</v>
      </c>
      <c r="G2177" s="8">
        <v>46828</v>
      </c>
      <c r="H2177" s="80" t="s">
        <v>51</v>
      </c>
      <c r="I2177" s="79" t="s">
        <v>6</v>
      </c>
      <c r="J2177" s="81">
        <v>120</v>
      </c>
      <c r="K2177" t="s">
        <v>47</v>
      </c>
    </row>
    <row r="2178" spans="2:11" x14ac:dyDescent="0.25">
      <c r="B2178" s="2">
        <f>+B2177</f>
        <v>94</v>
      </c>
      <c r="C2178" s="4">
        <v>3332.5940000000001</v>
      </c>
      <c r="D2178" s="4">
        <v>9357.9240000000009</v>
      </c>
      <c r="E2178" s="79">
        <v>1692.07</v>
      </c>
      <c r="F2178" s="79">
        <f>SUM(BASE_DATOS[[#This Row],[Capital($)]:[Interés
Resarcitorio($)]])</f>
        <v>14382.588</v>
      </c>
      <c r="G2178" s="8">
        <v>46838</v>
      </c>
      <c r="H2178" s="80" t="s">
        <v>51</v>
      </c>
      <c r="I2178" s="79" t="s">
        <v>7</v>
      </c>
      <c r="J2178" s="81">
        <v>120</v>
      </c>
      <c r="K2178" t="s">
        <v>47</v>
      </c>
    </row>
    <row r="2179" spans="2:11" x14ac:dyDescent="0.25">
      <c r="B2179" s="2">
        <v>95</v>
      </c>
      <c r="C2179" s="4">
        <v>3332.5940000000001</v>
      </c>
      <c r="D2179" s="4">
        <v>9443.5720000000001</v>
      </c>
      <c r="E2179" s="79">
        <v>0</v>
      </c>
      <c r="F2179" s="79">
        <f>SUM(BASE_DATOS[[#This Row],[Capital($)]:[Interés
Resarcitorio($)]])</f>
        <v>12776.166000000001</v>
      </c>
      <c r="G2179" s="8">
        <v>46859</v>
      </c>
      <c r="H2179" s="80" t="s">
        <v>51</v>
      </c>
      <c r="I2179" s="79" t="s">
        <v>6</v>
      </c>
      <c r="J2179" s="81">
        <v>120</v>
      </c>
      <c r="K2179" t="s">
        <v>47</v>
      </c>
    </row>
    <row r="2180" spans="2:11" x14ac:dyDescent="0.25">
      <c r="B2180" s="2">
        <f>+B2179</f>
        <v>95</v>
      </c>
      <c r="C2180" s="4">
        <v>3332.5940000000001</v>
      </c>
      <c r="D2180" s="4">
        <v>9443.5720000000001</v>
      </c>
      <c r="E2180" s="79">
        <v>1703.49</v>
      </c>
      <c r="F2180" s="79">
        <f>SUM(BASE_DATOS[[#This Row],[Capital($)]:[Interés
Resarcitorio($)]])</f>
        <v>14479.656000000001</v>
      </c>
      <c r="G2180" s="8">
        <v>46869</v>
      </c>
      <c r="H2180" s="80" t="s">
        <v>51</v>
      </c>
      <c r="I2180" s="79" t="s">
        <v>7</v>
      </c>
      <c r="J2180" s="81">
        <v>120</v>
      </c>
      <c r="K2180" t="s">
        <v>47</v>
      </c>
    </row>
    <row r="2181" spans="2:11" x14ac:dyDescent="0.25">
      <c r="B2181" s="2">
        <v>96</v>
      </c>
      <c r="C2181" s="4">
        <v>3332.5940000000001</v>
      </c>
      <c r="D2181" s="4">
        <v>9529.219000000001</v>
      </c>
      <c r="E2181" s="79">
        <v>0</v>
      </c>
      <c r="F2181" s="79">
        <f>SUM(BASE_DATOS[[#This Row],[Capital($)]:[Interés
Resarcitorio($)]])</f>
        <v>12861.813000000002</v>
      </c>
      <c r="G2181" s="8">
        <v>46889</v>
      </c>
      <c r="H2181" s="80" t="s">
        <v>51</v>
      </c>
      <c r="I2181" s="79" t="s">
        <v>6</v>
      </c>
      <c r="J2181" s="81">
        <v>120</v>
      </c>
      <c r="K2181" t="s">
        <v>47</v>
      </c>
    </row>
    <row r="2182" spans="2:11" x14ac:dyDescent="0.25">
      <c r="B2182" s="2">
        <f>+B2181</f>
        <v>96</v>
      </c>
      <c r="C2182" s="4">
        <v>3332.5940000000001</v>
      </c>
      <c r="D2182" s="4">
        <v>9529.219000000001</v>
      </c>
      <c r="E2182" s="79">
        <v>1714.91</v>
      </c>
      <c r="F2182" s="79">
        <f>SUM(BASE_DATOS[[#This Row],[Capital($)]:[Interés
Resarcitorio($)]])</f>
        <v>14576.723000000002</v>
      </c>
      <c r="G2182" s="8">
        <v>46899</v>
      </c>
      <c r="H2182" s="80" t="s">
        <v>51</v>
      </c>
      <c r="I2182" s="79" t="s">
        <v>7</v>
      </c>
      <c r="J2182" s="81">
        <v>120</v>
      </c>
      <c r="K2182" t="s">
        <v>47</v>
      </c>
    </row>
    <row r="2183" spans="2:11" x14ac:dyDescent="0.25">
      <c r="B2183" s="2">
        <v>97</v>
      </c>
      <c r="C2183" s="4">
        <v>3332.5940000000001</v>
      </c>
      <c r="D2183" s="4">
        <v>9614.8670000000002</v>
      </c>
      <c r="E2183" s="79">
        <v>0</v>
      </c>
      <c r="F2183" s="79">
        <f>SUM(BASE_DATOS[[#This Row],[Capital($)]:[Interés
Resarcitorio($)]])</f>
        <v>12947.460999999999</v>
      </c>
      <c r="G2183" s="8">
        <v>46920</v>
      </c>
      <c r="H2183" s="80" t="s">
        <v>51</v>
      </c>
      <c r="I2183" s="79" t="s">
        <v>6</v>
      </c>
      <c r="J2183" s="81">
        <v>120</v>
      </c>
      <c r="K2183" t="s">
        <v>47</v>
      </c>
    </row>
    <row r="2184" spans="2:11" x14ac:dyDescent="0.25">
      <c r="B2184" s="2">
        <f>+B2183</f>
        <v>97</v>
      </c>
      <c r="C2184" s="4">
        <v>3332.5940000000001</v>
      </c>
      <c r="D2184" s="4">
        <v>9614.8670000000002</v>
      </c>
      <c r="E2184" s="79">
        <v>1726.33</v>
      </c>
      <c r="F2184" s="79">
        <f>SUM(BASE_DATOS[[#This Row],[Capital($)]:[Interés
Resarcitorio($)]])</f>
        <v>14673.790999999999</v>
      </c>
      <c r="G2184" s="8">
        <v>46930</v>
      </c>
      <c r="H2184" s="80" t="s">
        <v>51</v>
      </c>
      <c r="I2184" s="79" t="s">
        <v>7</v>
      </c>
      <c r="J2184" s="81">
        <v>120</v>
      </c>
      <c r="K2184" t="s">
        <v>47</v>
      </c>
    </row>
    <row r="2185" spans="2:11" x14ac:dyDescent="0.25">
      <c r="B2185" s="2">
        <v>98</v>
      </c>
      <c r="C2185" s="4">
        <v>3332.5940000000001</v>
      </c>
      <c r="D2185" s="4">
        <v>9700.5149999999994</v>
      </c>
      <c r="E2185" s="79">
        <v>0</v>
      </c>
      <c r="F2185" s="79">
        <f>SUM(BASE_DATOS[[#This Row],[Capital($)]:[Interés
Resarcitorio($)]])</f>
        <v>13033.109</v>
      </c>
      <c r="G2185" s="8">
        <v>46950</v>
      </c>
      <c r="H2185" s="80" t="s">
        <v>51</v>
      </c>
      <c r="I2185" s="79" t="s">
        <v>6</v>
      </c>
      <c r="J2185" s="81">
        <v>120</v>
      </c>
      <c r="K2185" t="s">
        <v>47</v>
      </c>
    </row>
    <row r="2186" spans="2:11" x14ac:dyDescent="0.25">
      <c r="B2186" s="2">
        <f>+B2185</f>
        <v>98</v>
      </c>
      <c r="C2186" s="4">
        <v>3332.5940000000001</v>
      </c>
      <c r="D2186" s="4">
        <v>9700.5149999999994</v>
      </c>
      <c r="E2186" s="79">
        <v>1737.75</v>
      </c>
      <c r="F2186" s="79">
        <f>SUM(BASE_DATOS[[#This Row],[Capital($)]:[Interés
Resarcitorio($)]])</f>
        <v>14770.859</v>
      </c>
      <c r="G2186" s="8">
        <v>46960</v>
      </c>
      <c r="H2186" s="80" t="s">
        <v>51</v>
      </c>
      <c r="I2186" s="79" t="s">
        <v>7</v>
      </c>
      <c r="J2186" s="81">
        <v>120</v>
      </c>
      <c r="K2186" t="s">
        <v>47</v>
      </c>
    </row>
    <row r="2187" spans="2:11" x14ac:dyDescent="0.25">
      <c r="B2187" s="2">
        <v>99</v>
      </c>
      <c r="C2187" s="4">
        <v>3332.5940000000001</v>
      </c>
      <c r="D2187" s="4">
        <v>9786.1620000000003</v>
      </c>
      <c r="E2187" s="79">
        <v>0</v>
      </c>
      <c r="F2187" s="79">
        <f>SUM(BASE_DATOS[[#This Row],[Capital($)]:[Interés
Resarcitorio($)]])</f>
        <v>13118.756000000001</v>
      </c>
      <c r="G2187" s="8">
        <v>46981</v>
      </c>
      <c r="H2187" s="80" t="s">
        <v>51</v>
      </c>
      <c r="I2187" s="79" t="s">
        <v>6</v>
      </c>
      <c r="J2187" s="81">
        <v>120</v>
      </c>
      <c r="K2187" t="s">
        <v>47</v>
      </c>
    </row>
    <row r="2188" spans="2:11" x14ac:dyDescent="0.25">
      <c r="B2188" s="2">
        <f>+B2187</f>
        <v>99</v>
      </c>
      <c r="C2188" s="4">
        <v>3332.5940000000001</v>
      </c>
      <c r="D2188" s="4">
        <v>9786.1620000000003</v>
      </c>
      <c r="E2188" s="79">
        <v>1749.17</v>
      </c>
      <c r="F2188" s="79">
        <f>SUM(BASE_DATOS[[#This Row],[Capital($)]:[Interés
Resarcitorio($)]])</f>
        <v>14867.926000000001</v>
      </c>
      <c r="G2188" s="8">
        <v>46991</v>
      </c>
      <c r="H2188" s="80" t="s">
        <v>51</v>
      </c>
      <c r="I2188" s="79" t="s">
        <v>7</v>
      </c>
      <c r="J2188" s="81">
        <v>120</v>
      </c>
      <c r="K2188" t="s">
        <v>47</v>
      </c>
    </row>
    <row r="2189" spans="2:11" x14ac:dyDescent="0.25">
      <c r="B2189" s="2">
        <v>100</v>
      </c>
      <c r="C2189" s="4">
        <v>3332.5940000000001</v>
      </c>
      <c r="D2189" s="4">
        <v>9871.8100000000013</v>
      </c>
      <c r="E2189" s="79">
        <v>0</v>
      </c>
      <c r="F2189" s="79">
        <f>SUM(BASE_DATOS[[#This Row],[Capital($)]:[Interés
Resarcitorio($)]])</f>
        <v>13204.404000000002</v>
      </c>
      <c r="G2189" s="8">
        <v>47012</v>
      </c>
      <c r="H2189" s="80" t="s">
        <v>51</v>
      </c>
      <c r="I2189" s="79" t="s">
        <v>6</v>
      </c>
      <c r="J2189" s="81">
        <v>120</v>
      </c>
      <c r="K2189" t="s">
        <v>47</v>
      </c>
    </row>
    <row r="2190" spans="2:11" x14ac:dyDescent="0.25">
      <c r="B2190" s="2">
        <f>+B2189</f>
        <v>100</v>
      </c>
      <c r="C2190" s="4">
        <v>3332.5940000000001</v>
      </c>
      <c r="D2190" s="4">
        <v>9871.8100000000013</v>
      </c>
      <c r="E2190" s="79">
        <v>1760.59</v>
      </c>
      <c r="F2190" s="79">
        <f>SUM(BASE_DATOS[[#This Row],[Capital($)]:[Interés
Resarcitorio($)]])</f>
        <v>14964.994000000002</v>
      </c>
      <c r="G2190" s="8">
        <v>47022</v>
      </c>
      <c r="H2190" s="80" t="s">
        <v>51</v>
      </c>
      <c r="I2190" s="79" t="s">
        <v>7</v>
      </c>
      <c r="J2190" s="81">
        <v>120</v>
      </c>
      <c r="K2190" t="s">
        <v>47</v>
      </c>
    </row>
    <row r="2191" spans="2:11" x14ac:dyDescent="0.25">
      <c r="B2191" s="2">
        <v>101</v>
      </c>
      <c r="C2191" s="4">
        <v>3332.5940000000001</v>
      </c>
      <c r="D2191" s="4">
        <v>9957.4580000000005</v>
      </c>
      <c r="E2191" s="79">
        <v>0</v>
      </c>
      <c r="F2191" s="79">
        <f>SUM(BASE_DATOS[[#This Row],[Capital($)]:[Interés
Resarcitorio($)]])</f>
        <v>13290.052</v>
      </c>
      <c r="G2191" s="8">
        <v>47042</v>
      </c>
      <c r="H2191" s="80" t="s">
        <v>51</v>
      </c>
      <c r="I2191" s="79" t="s">
        <v>6</v>
      </c>
      <c r="J2191" s="81">
        <v>120</v>
      </c>
      <c r="K2191" t="s">
        <v>47</v>
      </c>
    </row>
    <row r="2192" spans="2:11" x14ac:dyDescent="0.25">
      <c r="B2192" s="2">
        <f>+B2191</f>
        <v>101</v>
      </c>
      <c r="C2192" s="4">
        <v>3332.5940000000001</v>
      </c>
      <c r="D2192" s="4">
        <v>9957.4580000000005</v>
      </c>
      <c r="E2192" s="79">
        <v>1772.01</v>
      </c>
      <c r="F2192" s="79">
        <f>SUM(BASE_DATOS[[#This Row],[Capital($)]:[Interés
Resarcitorio($)]])</f>
        <v>15062.062</v>
      </c>
      <c r="G2192" s="8">
        <v>47052</v>
      </c>
      <c r="H2192" s="80" t="s">
        <v>51</v>
      </c>
      <c r="I2192" s="79" t="s">
        <v>7</v>
      </c>
      <c r="J2192" s="81">
        <v>120</v>
      </c>
      <c r="K2192" t="s">
        <v>47</v>
      </c>
    </row>
    <row r="2193" spans="2:11" x14ac:dyDescent="0.25">
      <c r="B2193" s="2">
        <v>102</v>
      </c>
      <c r="C2193" s="4">
        <v>3332.5940000000001</v>
      </c>
      <c r="D2193" s="4">
        <v>10043.105</v>
      </c>
      <c r="E2193" s="79">
        <v>0</v>
      </c>
      <c r="F2193" s="79">
        <f>SUM(BASE_DATOS[[#This Row],[Capital($)]:[Interés
Resarcitorio($)]])</f>
        <v>13375.699000000001</v>
      </c>
      <c r="G2193" s="8">
        <v>47073</v>
      </c>
      <c r="H2193" s="80" t="s">
        <v>51</v>
      </c>
      <c r="I2193" s="79" t="s">
        <v>6</v>
      </c>
      <c r="J2193" s="81">
        <v>120</v>
      </c>
      <c r="K2193" t="s">
        <v>47</v>
      </c>
    </row>
    <row r="2194" spans="2:11" x14ac:dyDescent="0.25">
      <c r="B2194" s="2">
        <f>+B2193</f>
        <v>102</v>
      </c>
      <c r="C2194" s="4">
        <v>3332.5940000000001</v>
      </c>
      <c r="D2194" s="4">
        <v>10043.105</v>
      </c>
      <c r="E2194" s="79">
        <v>1783.43</v>
      </c>
      <c r="F2194" s="79">
        <f>SUM(BASE_DATOS[[#This Row],[Capital($)]:[Interés
Resarcitorio($)]])</f>
        <v>15159.129000000001</v>
      </c>
      <c r="G2194" s="8">
        <v>47083</v>
      </c>
      <c r="H2194" s="80" t="s">
        <v>51</v>
      </c>
      <c r="I2194" s="79" t="s">
        <v>7</v>
      </c>
      <c r="J2194" s="81">
        <v>120</v>
      </c>
      <c r="K2194" t="s">
        <v>47</v>
      </c>
    </row>
    <row r="2195" spans="2:11" x14ac:dyDescent="0.25">
      <c r="B2195" s="2">
        <v>103</v>
      </c>
      <c r="C2195" s="4">
        <v>3332.5940000000001</v>
      </c>
      <c r="D2195" s="4">
        <v>10128.753000000001</v>
      </c>
      <c r="E2195" s="79">
        <v>0</v>
      </c>
      <c r="F2195" s="79">
        <f>SUM(BASE_DATOS[[#This Row],[Capital($)]:[Interés
Resarcitorio($)]])</f>
        <v>13461.347000000002</v>
      </c>
      <c r="G2195" s="8">
        <v>47103</v>
      </c>
      <c r="H2195" s="80" t="s">
        <v>51</v>
      </c>
      <c r="I2195" s="79" t="s">
        <v>6</v>
      </c>
      <c r="J2195" s="81">
        <v>120</v>
      </c>
      <c r="K2195" t="s">
        <v>47</v>
      </c>
    </row>
    <row r="2196" spans="2:11" x14ac:dyDescent="0.25">
      <c r="B2196" s="2">
        <f>+B2195</f>
        <v>103</v>
      </c>
      <c r="C2196" s="4">
        <v>3332.5940000000001</v>
      </c>
      <c r="D2196" s="4">
        <v>10128.753000000001</v>
      </c>
      <c r="E2196" s="79">
        <v>1794.85</v>
      </c>
      <c r="F2196" s="79">
        <f>SUM(BASE_DATOS[[#This Row],[Capital($)]:[Interés
Resarcitorio($)]])</f>
        <v>15256.197000000002</v>
      </c>
      <c r="G2196" s="8">
        <v>47113</v>
      </c>
      <c r="H2196" s="80" t="s">
        <v>51</v>
      </c>
      <c r="I2196" s="79" t="s">
        <v>7</v>
      </c>
      <c r="J2196" s="81">
        <v>120</v>
      </c>
      <c r="K2196" t="s">
        <v>47</v>
      </c>
    </row>
    <row r="2197" spans="2:11" x14ac:dyDescent="0.25">
      <c r="B2197" s="2">
        <v>104</v>
      </c>
      <c r="C2197" s="4">
        <v>3332.5940000000001</v>
      </c>
      <c r="D2197" s="4">
        <v>10214.401</v>
      </c>
      <c r="E2197" s="79">
        <v>0</v>
      </c>
      <c r="F2197" s="79">
        <f>SUM(BASE_DATOS[[#This Row],[Capital($)]:[Interés
Resarcitorio($)]])</f>
        <v>13546.994999999999</v>
      </c>
      <c r="G2197" s="8">
        <v>47134</v>
      </c>
      <c r="H2197" s="80" t="s">
        <v>51</v>
      </c>
      <c r="I2197" s="79" t="s">
        <v>6</v>
      </c>
      <c r="J2197" s="81">
        <v>120</v>
      </c>
      <c r="K2197" t="s">
        <v>47</v>
      </c>
    </row>
    <row r="2198" spans="2:11" x14ac:dyDescent="0.25">
      <c r="B2198" s="2">
        <f>+B2197</f>
        <v>104</v>
      </c>
      <c r="C2198" s="4">
        <v>3332.5940000000001</v>
      </c>
      <c r="D2198" s="4">
        <v>10214.401</v>
      </c>
      <c r="E2198" s="79">
        <v>1806.27</v>
      </c>
      <c r="F2198" s="79">
        <f>SUM(BASE_DATOS[[#This Row],[Capital($)]:[Interés
Resarcitorio($)]])</f>
        <v>15353.264999999999</v>
      </c>
      <c r="G2198" s="8">
        <v>47144</v>
      </c>
      <c r="H2198" s="80" t="s">
        <v>51</v>
      </c>
      <c r="I2198" s="79" t="s">
        <v>7</v>
      </c>
      <c r="J2198" s="81">
        <v>120</v>
      </c>
      <c r="K2198" t="s">
        <v>47</v>
      </c>
    </row>
    <row r="2199" spans="2:11" x14ac:dyDescent="0.25">
      <c r="B2199" s="2">
        <v>105</v>
      </c>
      <c r="C2199" s="4">
        <v>3332.5940000000001</v>
      </c>
      <c r="D2199" s="4">
        <v>10300.047999999999</v>
      </c>
      <c r="E2199" s="79">
        <v>0</v>
      </c>
      <c r="F2199" s="79">
        <f>SUM(BASE_DATOS[[#This Row],[Capital($)]:[Interés
Resarcitorio($)]])</f>
        <v>13632.642</v>
      </c>
      <c r="G2199" s="8">
        <v>47165</v>
      </c>
      <c r="H2199" s="80" t="s">
        <v>51</v>
      </c>
      <c r="I2199" s="79" t="s">
        <v>6</v>
      </c>
      <c r="J2199" s="81">
        <v>120</v>
      </c>
      <c r="K2199" t="s">
        <v>47</v>
      </c>
    </row>
    <row r="2200" spans="2:11" x14ac:dyDescent="0.25">
      <c r="B2200" s="2">
        <f>+B2199</f>
        <v>105</v>
      </c>
      <c r="C2200" s="4">
        <v>3332.5940000000001</v>
      </c>
      <c r="D2200" s="4">
        <v>10300.047999999999</v>
      </c>
      <c r="E2200" s="79">
        <v>1817.69</v>
      </c>
      <c r="F2200" s="79">
        <f>SUM(BASE_DATOS[[#This Row],[Capital($)]:[Interés
Resarcitorio($)]])</f>
        <v>15450.332</v>
      </c>
      <c r="G2200" s="8">
        <v>47175</v>
      </c>
      <c r="H2200" s="80" t="s">
        <v>51</v>
      </c>
      <c r="I2200" s="79" t="s">
        <v>7</v>
      </c>
      <c r="J2200" s="81">
        <v>120</v>
      </c>
      <c r="K2200" t="s">
        <v>47</v>
      </c>
    </row>
    <row r="2201" spans="2:11" x14ac:dyDescent="0.25">
      <c r="B2201" s="2">
        <v>106</v>
      </c>
      <c r="C2201" s="4">
        <v>3332.5940000000001</v>
      </c>
      <c r="D2201" s="4">
        <v>10385.696</v>
      </c>
      <c r="E2201" s="79">
        <v>0</v>
      </c>
      <c r="F2201" s="79">
        <f>SUM(BASE_DATOS[[#This Row],[Capital($)]:[Interés
Resarcitorio($)]])</f>
        <v>13718.29</v>
      </c>
      <c r="G2201" s="8">
        <v>47193</v>
      </c>
      <c r="H2201" s="80" t="s">
        <v>51</v>
      </c>
      <c r="I2201" s="79" t="s">
        <v>6</v>
      </c>
      <c r="J2201" s="81">
        <v>120</v>
      </c>
      <c r="K2201" t="s">
        <v>47</v>
      </c>
    </row>
    <row r="2202" spans="2:11" x14ac:dyDescent="0.25">
      <c r="B2202" s="2">
        <f>+B2201</f>
        <v>106</v>
      </c>
      <c r="C2202" s="4">
        <v>3332.5940000000001</v>
      </c>
      <c r="D2202" s="4">
        <v>10385.696</v>
      </c>
      <c r="E2202" s="79">
        <v>1829.11</v>
      </c>
      <c r="F2202" s="79">
        <f>SUM(BASE_DATOS[[#This Row],[Capital($)]:[Interés
Resarcitorio($)]])</f>
        <v>15547.400000000001</v>
      </c>
      <c r="G2202" s="8">
        <v>47203</v>
      </c>
      <c r="H2202" s="80" t="s">
        <v>51</v>
      </c>
      <c r="I2202" s="79" t="s">
        <v>7</v>
      </c>
      <c r="J2202" s="81">
        <v>120</v>
      </c>
      <c r="K2202" t="s">
        <v>47</v>
      </c>
    </row>
    <row r="2203" spans="2:11" x14ac:dyDescent="0.25">
      <c r="B2203" s="2">
        <v>107</v>
      </c>
      <c r="C2203" s="4">
        <v>3332.5940000000001</v>
      </c>
      <c r="D2203" s="4">
        <v>10471.344000000001</v>
      </c>
      <c r="E2203" s="79">
        <v>0</v>
      </c>
      <c r="F2203" s="79">
        <f>SUM(BASE_DATOS[[#This Row],[Capital($)]:[Interés
Resarcitorio($)]])</f>
        <v>13803.938000000002</v>
      </c>
      <c r="G2203" s="8">
        <v>47224</v>
      </c>
      <c r="H2203" s="80" t="s">
        <v>51</v>
      </c>
      <c r="I2203" s="79" t="s">
        <v>6</v>
      </c>
      <c r="J2203" s="81">
        <v>120</v>
      </c>
      <c r="K2203" t="s">
        <v>47</v>
      </c>
    </row>
    <row r="2204" spans="2:11" x14ac:dyDescent="0.25">
      <c r="B2204" s="2">
        <f>+B2203</f>
        <v>107</v>
      </c>
      <c r="C2204" s="4">
        <v>3332.5940000000001</v>
      </c>
      <c r="D2204" s="4">
        <v>10471.344000000001</v>
      </c>
      <c r="E2204" s="79">
        <v>1840.53</v>
      </c>
      <c r="F2204" s="79">
        <f>SUM(BASE_DATOS[[#This Row],[Capital($)]:[Interés
Resarcitorio($)]])</f>
        <v>15644.468000000003</v>
      </c>
      <c r="G2204" s="8">
        <v>47234</v>
      </c>
      <c r="H2204" s="80" t="s">
        <v>51</v>
      </c>
      <c r="I2204" s="79" t="s">
        <v>7</v>
      </c>
      <c r="J2204" s="81">
        <v>120</v>
      </c>
      <c r="K2204" t="s">
        <v>47</v>
      </c>
    </row>
    <row r="2205" spans="2:11" x14ac:dyDescent="0.25">
      <c r="B2205" s="2">
        <v>108</v>
      </c>
      <c r="C2205" s="4">
        <v>3332.5940000000001</v>
      </c>
      <c r="D2205" s="4">
        <v>10556.991</v>
      </c>
      <c r="E2205" s="79">
        <v>0</v>
      </c>
      <c r="F2205" s="79">
        <f>SUM(BASE_DATOS[[#This Row],[Capital($)]:[Interés
Resarcitorio($)]])</f>
        <v>13889.584999999999</v>
      </c>
      <c r="G2205" s="8">
        <v>47254</v>
      </c>
      <c r="H2205" s="80" t="s">
        <v>51</v>
      </c>
      <c r="I2205" s="79" t="s">
        <v>6</v>
      </c>
      <c r="J2205" s="81">
        <v>120</v>
      </c>
      <c r="K2205" t="s">
        <v>47</v>
      </c>
    </row>
    <row r="2206" spans="2:11" x14ac:dyDescent="0.25">
      <c r="B2206" s="2">
        <f>+B2205</f>
        <v>108</v>
      </c>
      <c r="C2206" s="4">
        <v>3332.5940000000001</v>
      </c>
      <c r="D2206" s="4">
        <v>10556.991</v>
      </c>
      <c r="E2206" s="79">
        <v>1851.94</v>
      </c>
      <c r="F2206" s="79">
        <f>SUM(BASE_DATOS[[#This Row],[Capital($)]:[Interés
Resarcitorio($)]])</f>
        <v>15741.525</v>
      </c>
      <c r="G2206" s="8">
        <v>47264</v>
      </c>
      <c r="H2206" s="80" t="s">
        <v>51</v>
      </c>
      <c r="I2206" s="79" t="s">
        <v>7</v>
      </c>
      <c r="J2206" s="81">
        <v>120</v>
      </c>
      <c r="K2206" t="s">
        <v>47</v>
      </c>
    </row>
    <row r="2207" spans="2:11" x14ac:dyDescent="0.25">
      <c r="B2207" s="2">
        <v>109</v>
      </c>
      <c r="C2207" s="4">
        <v>3332.5940000000001</v>
      </c>
      <c r="D2207" s="4">
        <v>10642.638999999999</v>
      </c>
      <c r="E2207" s="79">
        <v>0</v>
      </c>
      <c r="F2207" s="79">
        <f>SUM(BASE_DATOS[[#This Row],[Capital($)]:[Interés
Resarcitorio($)]])</f>
        <v>13975.233</v>
      </c>
      <c r="G2207" s="8">
        <v>47285</v>
      </c>
      <c r="H2207" s="80" t="s">
        <v>51</v>
      </c>
      <c r="I2207" s="79" t="s">
        <v>6</v>
      </c>
      <c r="J2207" s="81">
        <v>120</v>
      </c>
      <c r="K2207" t="s">
        <v>47</v>
      </c>
    </row>
    <row r="2208" spans="2:11" x14ac:dyDescent="0.25">
      <c r="B2208" s="2">
        <f>+B2207</f>
        <v>109</v>
      </c>
      <c r="C2208" s="4">
        <v>3332.5940000000001</v>
      </c>
      <c r="D2208" s="4">
        <v>10642.638999999999</v>
      </c>
      <c r="E2208" s="79">
        <v>1863.36</v>
      </c>
      <c r="F2208" s="79">
        <f>SUM(BASE_DATOS[[#This Row],[Capital($)]:[Interés
Resarcitorio($)]])</f>
        <v>15838.593000000001</v>
      </c>
      <c r="G2208" s="8">
        <v>47295</v>
      </c>
      <c r="H2208" s="80" t="s">
        <v>51</v>
      </c>
      <c r="I2208" s="79" t="s">
        <v>7</v>
      </c>
      <c r="J2208" s="81">
        <v>120</v>
      </c>
      <c r="K2208" t="s">
        <v>47</v>
      </c>
    </row>
    <row r="2209" spans="2:11" x14ac:dyDescent="0.25">
      <c r="B2209" s="2">
        <v>110</v>
      </c>
      <c r="C2209" s="4">
        <v>3332.5940000000001</v>
      </c>
      <c r="D2209" s="4">
        <v>10728.287</v>
      </c>
      <c r="E2209" s="79">
        <v>0</v>
      </c>
      <c r="F2209" s="79">
        <f>SUM(BASE_DATOS[[#This Row],[Capital($)]:[Interés
Resarcitorio($)]])</f>
        <v>14060.881000000001</v>
      </c>
      <c r="G2209" s="8">
        <v>47315</v>
      </c>
      <c r="H2209" s="80" t="s">
        <v>51</v>
      </c>
      <c r="I2209" s="79" t="s">
        <v>6</v>
      </c>
      <c r="J2209" s="81">
        <v>120</v>
      </c>
      <c r="K2209" t="s">
        <v>47</v>
      </c>
    </row>
    <row r="2210" spans="2:11" x14ac:dyDescent="0.25">
      <c r="B2210" s="2">
        <f>+B2209</f>
        <v>110</v>
      </c>
      <c r="C2210" s="4">
        <v>3332.5940000000001</v>
      </c>
      <c r="D2210" s="4">
        <v>10728.287</v>
      </c>
      <c r="E2210" s="79">
        <v>1874.78</v>
      </c>
      <c r="F2210" s="79">
        <f>SUM(BASE_DATOS[[#This Row],[Capital($)]:[Interés
Resarcitorio($)]])</f>
        <v>15935.661000000002</v>
      </c>
      <c r="G2210" s="8">
        <v>47325</v>
      </c>
      <c r="H2210" s="80" t="s">
        <v>51</v>
      </c>
      <c r="I2210" s="79" t="s">
        <v>7</v>
      </c>
      <c r="J2210" s="81">
        <v>120</v>
      </c>
      <c r="K2210" t="s">
        <v>47</v>
      </c>
    </row>
    <row r="2211" spans="2:11" x14ac:dyDescent="0.25">
      <c r="B2211" s="2">
        <v>111</v>
      </c>
      <c r="C2211" s="4">
        <v>3332.5940000000001</v>
      </c>
      <c r="D2211" s="4">
        <v>10813.933999999999</v>
      </c>
      <c r="E2211" s="79">
        <v>0</v>
      </c>
      <c r="F2211" s="79">
        <f>SUM(BASE_DATOS[[#This Row],[Capital($)]:[Interés
Resarcitorio($)]])</f>
        <v>14146.527999999998</v>
      </c>
      <c r="G2211" s="8">
        <v>47346</v>
      </c>
      <c r="H2211" s="80" t="s">
        <v>51</v>
      </c>
      <c r="I2211" s="79" t="s">
        <v>6</v>
      </c>
      <c r="J2211" s="81">
        <v>120</v>
      </c>
      <c r="K2211" t="s">
        <v>47</v>
      </c>
    </row>
    <row r="2212" spans="2:11" x14ac:dyDescent="0.25">
      <c r="B2212" s="2">
        <f>+B2211</f>
        <v>111</v>
      </c>
      <c r="C2212" s="4">
        <v>3332.5940000000001</v>
      </c>
      <c r="D2212" s="4">
        <v>10813.933999999999</v>
      </c>
      <c r="E2212" s="79">
        <v>1886.2</v>
      </c>
      <c r="F2212" s="79">
        <f>SUM(BASE_DATOS[[#This Row],[Capital($)]:[Interés
Resarcitorio($)]])</f>
        <v>16032.727999999999</v>
      </c>
      <c r="G2212" s="8">
        <v>47356</v>
      </c>
      <c r="H2212" s="80" t="s">
        <v>51</v>
      </c>
      <c r="I2212" s="79" t="s">
        <v>7</v>
      </c>
      <c r="J2212" s="81">
        <v>120</v>
      </c>
      <c r="K2212" t="s">
        <v>47</v>
      </c>
    </row>
    <row r="2213" spans="2:11" x14ac:dyDescent="0.25">
      <c r="B2213" s="2">
        <v>112</v>
      </c>
      <c r="C2213" s="4">
        <v>3332.5940000000001</v>
      </c>
      <c r="D2213" s="4">
        <v>10899.582</v>
      </c>
      <c r="E2213" s="79">
        <v>0</v>
      </c>
      <c r="F2213" s="79">
        <f>SUM(BASE_DATOS[[#This Row],[Capital($)]:[Interés
Resarcitorio($)]])</f>
        <v>14232.175999999999</v>
      </c>
      <c r="G2213" s="8">
        <v>47377</v>
      </c>
      <c r="H2213" s="80" t="s">
        <v>51</v>
      </c>
      <c r="I2213" s="79" t="s">
        <v>6</v>
      </c>
      <c r="J2213" s="81">
        <v>120</v>
      </c>
      <c r="K2213" t="s">
        <v>47</v>
      </c>
    </row>
    <row r="2214" spans="2:11" x14ac:dyDescent="0.25">
      <c r="B2214" s="2">
        <f>+B2213</f>
        <v>112</v>
      </c>
      <c r="C2214" s="4">
        <v>3332.5940000000001</v>
      </c>
      <c r="D2214" s="4">
        <v>10899.582</v>
      </c>
      <c r="E2214" s="79">
        <v>1897.62</v>
      </c>
      <c r="F2214" s="79">
        <f>SUM(BASE_DATOS[[#This Row],[Capital($)]:[Interés
Resarcitorio($)]])</f>
        <v>16129.795999999998</v>
      </c>
      <c r="G2214" s="8">
        <v>47387</v>
      </c>
      <c r="H2214" s="80" t="s">
        <v>51</v>
      </c>
      <c r="I2214" s="79" t="s">
        <v>7</v>
      </c>
      <c r="J2214" s="81">
        <v>120</v>
      </c>
      <c r="K2214" t="s">
        <v>47</v>
      </c>
    </row>
    <row r="2215" spans="2:11" x14ac:dyDescent="0.25">
      <c r="B2215" s="2">
        <v>113</v>
      </c>
      <c r="C2215" s="4">
        <v>3332.5940000000001</v>
      </c>
      <c r="D2215" s="4">
        <v>10985.23</v>
      </c>
      <c r="E2215" s="79">
        <v>0</v>
      </c>
      <c r="F2215" s="79">
        <f>SUM(BASE_DATOS[[#This Row],[Capital($)]:[Interés
Resarcitorio($)]])</f>
        <v>14317.824000000001</v>
      </c>
      <c r="G2215" s="8">
        <v>47407</v>
      </c>
      <c r="H2215" s="80" t="s">
        <v>51</v>
      </c>
      <c r="I2215" s="79" t="s">
        <v>6</v>
      </c>
      <c r="J2215" s="81">
        <v>120</v>
      </c>
      <c r="K2215" t="s">
        <v>47</v>
      </c>
    </row>
    <row r="2216" spans="2:11" x14ac:dyDescent="0.25">
      <c r="B2216" s="2">
        <f>+B2215</f>
        <v>113</v>
      </c>
      <c r="C2216" s="4">
        <v>3332.5940000000001</v>
      </c>
      <c r="D2216" s="4">
        <v>10985.23</v>
      </c>
      <c r="E2216" s="79">
        <v>1909.04</v>
      </c>
      <c r="F2216" s="79">
        <f>SUM(BASE_DATOS[[#This Row],[Capital($)]:[Interés
Resarcitorio($)]])</f>
        <v>16226.864000000001</v>
      </c>
      <c r="G2216" s="8">
        <v>47417</v>
      </c>
      <c r="H2216" s="80" t="s">
        <v>51</v>
      </c>
      <c r="I2216" s="79" t="s">
        <v>7</v>
      </c>
      <c r="J2216" s="81">
        <v>120</v>
      </c>
      <c r="K2216" t="s">
        <v>47</v>
      </c>
    </row>
    <row r="2217" spans="2:11" x14ac:dyDescent="0.25">
      <c r="B2217" s="2">
        <v>114</v>
      </c>
      <c r="C2217" s="4">
        <v>3332.5940000000001</v>
      </c>
      <c r="D2217" s="4">
        <v>11070.877</v>
      </c>
      <c r="E2217" s="79">
        <v>0</v>
      </c>
      <c r="F2217" s="79">
        <f>SUM(BASE_DATOS[[#This Row],[Capital($)]:[Interés
Resarcitorio($)]])</f>
        <v>14403.471000000001</v>
      </c>
      <c r="G2217" s="8">
        <v>47438</v>
      </c>
      <c r="H2217" s="80" t="s">
        <v>51</v>
      </c>
      <c r="I2217" s="79" t="s">
        <v>6</v>
      </c>
      <c r="J2217" s="81">
        <v>120</v>
      </c>
      <c r="K2217" t="s">
        <v>47</v>
      </c>
    </row>
    <row r="2218" spans="2:11" x14ac:dyDescent="0.25">
      <c r="B2218" s="2">
        <f>+B2217</f>
        <v>114</v>
      </c>
      <c r="C2218" s="4">
        <v>3332.5940000000001</v>
      </c>
      <c r="D2218" s="4">
        <v>11070.877</v>
      </c>
      <c r="E2218" s="79">
        <v>1920.46</v>
      </c>
      <c r="F2218" s="79">
        <f>SUM(BASE_DATOS[[#This Row],[Capital($)]:[Interés
Resarcitorio($)]])</f>
        <v>16323.931</v>
      </c>
      <c r="G2218" s="8">
        <v>47448</v>
      </c>
      <c r="H2218" s="80" t="s">
        <v>51</v>
      </c>
      <c r="I2218" s="79" t="s">
        <v>7</v>
      </c>
      <c r="J2218" s="81">
        <v>120</v>
      </c>
      <c r="K2218" t="s">
        <v>47</v>
      </c>
    </row>
    <row r="2219" spans="2:11" x14ac:dyDescent="0.25">
      <c r="B2219" s="2">
        <v>115</v>
      </c>
      <c r="C2219" s="4">
        <v>3332.5940000000001</v>
      </c>
      <c r="D2219" s="4">
        <v>11156.525</v>
      </c>
      <c r="E2219" s="79">
        <v>0</v>
      </c>
      <c r="F2219" s="79">
        <f>SUM(BASE_DATOS[[#This Row],[Capital($)]:[Interés
Resarcitorio($)]])</f>
        <v>14489.118999999999</v>
      </c>
      <c r="G2219" s="8">
        <v>47468</v>
      </c>
      <c r="H2219" s="80" t="s">
        <v>51</v>
      </c>
      <c r="I2219" s="79" t="s">
        <v>6</v>
      </c>
      <c r="J2219" s="81">
        <v>120</v>
      </c>
      <c r="K2219" t="s">
        <v>47</v>
      </c>
    </row>
    <row r="2220" spans="2:11" x14ac:dyDescent="0.25">
      <c r="B2220" s="2">
        <f>+B2219</f>
        <v>115</v>
      </c>
      <c r="C2220" s="4">
        <v>3332.5940000000001</v>
      </c>
      <c r="D2220" s="4">
        <v>11156.525</v>
      </c>
      <c r="E2220" s="79">
        <v>1931.88</v>
      </c>
      <c r="F2220" s="79">
        <f>SUM(BASE_DATOS[[#This Row],[Capital($)]:[Interés
Resarcitorio($)]])</f>
        <v>16420.999</v>
      </c>
      <c r="G2220" s="8">
        <v>47478</v>
      </c>
      <c r="H2220" s="80" t="s">
        <v>51</v>
      </c>
      <c r="I2220" s="79" t="s">
        <v>7</v>
      </c>
      <c r="J2220" s="81">
        <v>120</v>
      </c>
      <c r="K2220" t="s">
        <v>47</v>
      </c>
    </row>
    <row r="2221" spans="2:11" x14ac:dyDescent="0.25">
      <c r="B2221" s="2">
        <v>116</v>
      </c>
      <c r="C2221" s="4">
        <v>3332.5940000000001</v>
      </c>
      <c r="D2221" s="4">
        <v>11242.172999999999</v>
      </c>
      <c r="E2221" s="79">
        <v>0</v>
      </c>
      <c r="F2221" s="79">
        <f>SUM(BASE_DATOS[[#This Row],[Capital($)]:[Interés
Resarcitorio($)]])</f>
        <v>14574.767</v>
      </c>
      <c r="G2221" s="8">
        <v>47499</v>
      </c>
      <c r="H2221" s="80" t="s">
        <v>51</v>
      </c>
      <c r="I2221" s="79" t="s">
        <v>6</v>
      </c>
      <c r="J2221" s="81">
        <v>120</v>
      </c>
      <c r="K2221" t="s">
        <v>47</v>
      </c>
    </row>
    <row r="2222" spans="2:11" x14ac:dyDescent="0.25">
      <c r="B2222" s="2">
        <f>+B2221</f>
        <v>116</v>
      </c>
      <c r="C2222" s="4">
        <v>3332.5940000000001</v>
      </c>
      <c r="D2222" s="4">
        <v>11242.172999999999</v>
      </c>
      <c r="E2222" s="79">
        <v>1943.3</v>
      </c>
      <c r="F2222" s="79">
        <f>SUM(BASE_DATOS[[#This Row],[Capital($)]:[Interés
Resarcitorio($)]])</f>
        <v>16518.066999999999</v>
      </c>
      <c r="G2222" s="8">
        <v>47509</v>
      </c>
      <c r="H2222" s="80" t="s">
        <v>51</v>
      </c>
      <c r="I2222" s="79" t="s">
        <v>7</v>
      </c>
      <c r="J2222" s="81">
        <v>120</v>
      </c>
      <c r="K2222" t="s">
        <v>47</v>
      </c>
    </row>
    <row r="2223" spans="2:11" x14ac:dyDescent="0.25">
      <c r="B2223" s="2">
        <v>117</v>
      </c>
      <c r="C2223" s="4">
        <v>3332.5940000000001</v>
      </c>
      <c r="D2223" s="4">
        <v>11327.82</v>
      </c>
      <c r="E2223" s="79">
        <v>0</v>
      </c>
      <c r="F2223" s="79">
        <f>SUM(BASE_DATOS[[#This Row],[Capital($)]:[Interés
Resarcitorio($)]])</f>
        <v>14660.414000000001</v>
      </c>
      <c r="G2223" s="8">
        <v>47530</v>
      </c>
      <c r="H2223" s="80" t="s">
        <v>51</v>
      </c>
      <c r="I2223" s="79" t="s">
        <v>6</v>
      </c>
      <c r="J2223" s="81">
        <v>120</v>
      </c>
      <c r="K2223" t="s">
        <v>47</v>
      </c>
    </row>
    <row r="2224" spans="2:11" x14ac:dyDescent="0.25">
      <c r="B2224" s="2">
        <f>+B2223</f>
        <v>117</v>
      </c>
      <c r="C2224" s="4">
        <v>3332.5940000000001</v>
      </c>
      <c r="D2224" s="4">
        <v>11327.82</v>
      </c>
      <c r="E2224" s="79">
        <v>1954.72</v>
      </c>
      <c r="F2224" s="79">
        <f>SUM(BASE_DATOS[[#This Row],[Capital($)]:[Interés
Resarcitorio($)]])</f>
        <v>16615.134000000002</v>
      </c>
      <c r="G2224" s="8">
        <v>47540</v>
      </c>
      <c r="H2224" s="80" t="s">
        <v>51</v>
      </c>
      <c r="I2224" s="79" t="s">
        <v>7</v>
      </c>
      <c r="J2224" s="81">
        <v>120</v>
      </c>
      <c r="K2224" t="s">
        <v>47</v>
      </c>
    </row>
    <row r="2225" spans="2:11" x14ac:dyDescent="0.25">
      <c r="B2225" s="2">
        <v>118</v>
      </c>
      <c r="C2225" s="4">
        <v>3332.5940000000001</v>
      </c>
      <c r="D2225" s="4">
        <v>11413.467999999999</v>
      </c>
      <c r="E2225" s="79">
        <v>0</v>
      </c>
      <c r="F2225" s="79">
        <f>SUM(BASE_DATOS[[#This Row],[Capital($)]:[Interés
Resarcitorio($)]])</f>
        <v>14746.061999999998</v>
      </c>
      <c r="G2225" s="8">
        <v>47558</v>
      </c>
      <c r="H2225" s="80" t="s">
        <v>51</v>
      </c>
      <c r="I2225" s="79" t="s">
        <v>6</v>
      </c>
      <c r="J2225" s="81">
        <v>120</v>
      </c>
      <c r="K2225" t="s">
        <v>47</v>
      </c>
    </row>
    <row r="2226" spans="2:11" x14ac:dyDescent="0.25">
      <c r="B2226" s="2">
        <f>+B2225</f>
        <v>118</v>
      </c>
      <c r="C2226" s="4">
        <v>3332.5940000000001</v>
      </c>
      <c r="D2226" s="4">
        <v>11413.467999999999</v>
      </c>
      <c r="E2226" s="79">
        <v>1966.14</v>
      </c>
      <c r="F2226" s="79">
        <f>SUM(BASE_DATOS[[#This Row],[Capital($)]:[Interés
Resarcitorio($)]])</f>
        <v>16712.201999999997</v>
      </c>
      <c r="G2226" s="8">
        <v>47568</v>
      </c>
      <c r="H2226" s="80" t="s">
        <v>51</v>
      </c>
      <c r="I2226" s="79" t="s">
        <v>7</v>
      </c>
      <c r="J2226" s="81">
        <v>120</v>
      </c>
      <c r="K2226" t="s">
        <v>47</v>
      </c>
    </row>
    <row r="2227" spans="2:11" x14ac:dyDescent="0.25">
      <c r="B2227" s="2">
        <v>119</v>
      </c>
      <c r="C2227" s="4">
        <v>3332.5940000000001</v>
      </c>
      <c r="D2227" s="4">
        <v>11499.116</v>
      </c>
      <c r="E2227" s="79">
        <v>0</v>
      </c>
      <c r="F2227" s="79">
        <f>SUM(BASE_DATOS[[#This Row],[Capital($)]:[Interés
Resarcitorio($)]])</f>
        <v>14831.71</v>
      </c>
      <c r="G2227" s="8">
        <v>47589</v>
      </c>
      <c r="H2227" s="80" t="s">
        <v>51</v>
      </c>
      <c r="I2227" s="79" t="s">
        <v>6</v>
      </c>
      <c r="J2227" s="81">
        <v>120</v>
      </c>
      <c r="K2227" t="s">
        <v>47</v>
      </c>
    </row>
    <row r="2228" spans="2:11" x14ac:dyDescent="0.25">
      <c r="B2228" s="2">
        <f>+B2227</f>
        <v>119</v>
      </c>
      <c r="C2228" s="4">
        <v>3332.5940000000001</v>
      </c>
      <c r="D2228" s="4">
        <v>11499.116</v>
      </c>
      <c r="E2228" s="79">
        <v>1977.56</v>
      </c>
      <c r="F2228" s="79">
        <f>SUM(BASE_DATOS[[#This Row],[Capital($)]:[Interés
Resarcitorio($)]])</f>
        <v>16809.27</v>
      </c>
      <c r="G2228" s="8">
        <v>47599</v>
      </c>
      <c r="H2228" s="80" t="s">
        <v>51</v>
      </c>
      <c r="I2228" s="79" t="s">
        <v>7</v>
      </c>
      <c r="J2228" s="81">
        <v>120</v>
      </c>
      <c r="K2228" t="s">
        <v>47</v>
      </c>
    </row>
    <row r="2229" spans="2:11" x14ac:dyDescent="0.25">
      <c r="B2229" s="2">
        <v>120</v>
      </c>
      <c r="C2229" s="4">
        <v>3332.614</v>
      </c>
      <c r="D2229" s="4">
        <v>11584.833000000001</v>
      </c>
      <c r="E2229" s="79">
        <v>0</v>
      </c>
      <c r="F2229" s="79">
        <f>SUM(BASE_DATOS[[#This Row],[Capital($)]:[Interés
Resarcitorio($)]])</f>
        <v>14917.447</v>
      </c>
      <c r="G2229" s="8">
        <v>47619</v>
      </c>
      <c r="H2229" s="80" t="s">
        <v>51</v>
      </c>
      <c r="I2229" s="79" t="s">
        <v>6</v>
      </c>
      <c r="J2229" s="81">
        <v>120</v>
      </c>
      <c r="K2229" t="s">
        <v>47</v>
      </c>
    </row>
    <row r="2230" spans="2:11" x14ac:dyDescent="0.25">
      <c r="B2230" s="2">
        <f>+B2229</f>
        <v>120</v>
      </c>
      <c r="C2230" s="4">
        <v>3332.614</v>
      </c>
      <c r="D2230" s="4">
        <v>11584.833000000001</v>
      </c>
      <c r="E2230" s="79">
        <v>1988.99</v>
      </c>
      <c r="F2230" s="79">
        <f>SUM(BASE_DATOS[[#This Row],[Capital($)]:[Interés
Resarcitorio($)]])</f>
        <v>16906.437000000002</v>
      </c>
      <c r="G2230" s="8">
        <v>47629</v>
      </c>
      <c r="H2230" s="80" t="s">
        <v>51</v>
      </c>
      <c r="I2230" s="79" t="s">
        <v>7</v>
      </c>
      <c r="J2230" s="81">
        <v>120</v>
      </c>
      <c r="K2230" t="s">
        <v>47</v>
      </c>
    </row>
    <row r="2231" spans="2:11" x14ac:dyDescent="0.25">
      <c r="B2231" s="2">
        <v>1</v>
      </c>
      <c r="C2231" s="4">
        <v>1722.1310000000001</v>
      </c>
      <c r="D2231" s="4">
        <v>34.442999999999998</v>
      </c>
      <c r="E2231" s="79">
        <v>0</v>
      </c>
      <c r="F2231" s="79">
        <f>SUM(BASE_DATOS[[#This Row],[Capital($)]:[Interés
Resarcitorio($)]])</f>
        <v>1756.5740000000001</v>
      </c>
      <c r="G2231" s="8">
        <v>43998</v>
      </c>
      <c r="H2231" s="80" t="s">
        <v>52</v>
      </c>
      <c r="I2231" s="79" t="s">
        <v>9</v>
      </c>
      <c r="J2231" s="81">
        <v>120</v>
      </c>
      <c r="K2231" t="s">
        <v>47</v>
      </c>
    </row>
    <row r="2232" spans="2:11" x14ac:dyDescent="0.25">
      <c r="B2232" s="2">
        <f>+B2231</f>
        <v>1</v>
      </c>
      <c r="C2232" s="4">
        <v>1722.1310000000001</v>
      </c>
      <c r="D2232" s="4">
        <v>34.442999999999998</v>
      </c>
      <c r="E2232" s="79">
        <v>146.38</v>
      </c>
      <c r="F2232" s="79">
        <f>SUM(BASE_DATOS[[#This Row],[Capital($)]:[Interés
Resarcitorio($)]])</f>
        <v>1902.9540000000002</v>
      </c>
      <c r="G2232" s="8">
        <v>44008</v>
      </c>
      <c r="H2232" s="80" t="s">
        <v>52</v>
      </c>
      <c r="I2232" s="79" t="s">
        <v>7</v>
      </c>
      <c r="J2232" s="81">
        <v>120</v>
      </c>
      <c r="K2232" t="s">
        <v>47</v>
      </c>
    </row>
    <row r="2233" spans="2:11" x14ac:dyDescent="0.25">
      <c r="B2233" s="2">
        <v>2</v>
      </c>
      <c r="C2233" s="4">
        <v>1722.1310000000001</v>
      </c>
      <c r="D2233" s="4">
        <v>84.384</v>
      </c>
      <c r="E2233" s="79">
        <v>0</v>
      </c>
      <c r="F2233" s="79">
        <f>SUM(BASE_DATOS[[#This Row],[Capital($)]:[Interés
Resarcitorio($)]])</f>
        <v>1806.5150000000001</v>
      </c>
      <c r="G2233" s="8">
        <v>44028</v>
      </c>
      <c r="H2233" s="80" t="s">
        <v>52</v>
      </c>
      <c r="I2233" s="79" t="s">
        <v>9</v>
      </c>
      <c r="J2233" s="81">
        <v>120</v>
      </c>
      <c r="K2233" t="s">
        <v>47</v>
      </c>
    </row>
    <row r="2234" spans="2:11" x14ac:dyDescent="0.25">
      <c r="B2234" s="2">
        <f>+B2233</f>
        <v>2</v>
      </c>
      <c r="C2234" s="4">
        <v>1722.1310000000001</v>
      </c>
      <c r="D2234" s="4">
        <v>84.384</v>
      </c>
      <c r="E2234" s="79">
        <v>166.2</v>
      </c>
      <c r="F2234" s="79">
        <f>SUM(BASE_DATOS[[#This Row],[Capital($)]:[Interés
Resarcitorio($)]])</f>
        <v>1972.7150000000001</v>
      </c>
      <c r="G2234" s="8">
        <v>44038</v>
      </c>
      <c r="H2234" s="80" t="s">
        <v>52</v>
      </c>
      <c r="I2234" s="79" t="s">
        <v>7</v>
      </c>
      <c r="J2234" s="81">
        <v>120</v>
      </c>
      <c r="K2234" t="s">
        <v>47</v>
      </c>
    </row>
    <row r="2235" spans="2:11" x14ac:dyDescent="0.25">
      <c r="B2235" s="2">
        <v>3</v>
      </c>
      <c r="C2235" s="4">
        <v>1722.1310000000001</v>
      </c>
      <c r="D2235" s="4">
        <v>137.77000000000001</v>
      </c>
      <c r="E2235" s="79">
        <v>0</v>
      </c>
      <c r="F2235" s="79">
        <f>SUM(BASE_DATOS[[#This Row],[Capital($)]:[Interés
Resarcitorio($)]])</f>
        <v>1859.9010000000001</v>
      </c>
      <c r="G2235" s="8">
        <v>44059</v>
      </c>
      <c r="H2235" s="80" t="s">
        <v>52</v>
      </c>
      <c r="I2235" s="79" t="s">
        <v>9</v>
      </c>
      <c r="J2235" s="81">
        <v>120</v>
      </c>
      <c r="K2235" t="s">
        <v>47</v>
      </c>
    </row>
    <row r="2236" spans="2:11" x14ac:dyDescent="0.25">
      <c r="B2236" s="2">
        <f>+B2235</f>
        <v>3</v>
      </c>
      <c r="C2236" s="4">
        <v>1722.1310000000001</v>
      </c>
      <c r="D2236" s="4">
        <v>137.77000000000001</v>
      </c>
      <c r="E2236" s="79">
        <v>171.11</v>
      </c>
      <c r="F2236" s="79">
        <f>SUM(BASE_DATOS[[#This Row],[Capital($)]:[Interés
Resarcitorio($)]])</f>
        <v>2031.011</v>
      </c>
      <c r="G2236" s="8">
        <v>44069</v>
      </c>
      <c r="H2236" s="80" t="s">
        <v>52</v>
      </c>
      <c r="I2236" s="79" t="s">
        <v>7</v>
      </c>
      <c r="J2236" s="81">
        <v>120</v>
      </c>
      <c r="K2236" t="s">
        <v>47</v>
      </c>
    </row>
    <row r="2237" spans="2:11" x14ac:dyDescent="0.25">
      <c r="B2237" s="2">
        <v>4</v>
      </c>
      <c r="C2237" s="4">
        <v>1722.1310000000001</v>
      </c>
      <c r="D2237" s="4">
        <v>189.434</v>
      </c>
      <c r="E2237" s="79">
        <v>0</v>
      </c>
      <c r="F2237" s="79">
        <f>SUM(BASE_DATOS[[#This Row],[Capital($)]:[Interés
Resarcitorio($)]])</f>
        <v>1911.5650000000001</v>
      </c>
      <c r="G2237" s="8">
        <v>44090</v>
      </c>
      <c r="H2237" s="80" t="s">
        <v>52</v>
      </c>
      <c r="I2237" s="79" t="s">
        <v>9</v>
      </c>
      <c r="J2237" s="81">
        <v>120</v>
      </c>
      <c r="K2237" t="s">
        <v>47</v>
      </c>
    </row>
    <row r="2238" spans="2:11" x14ac:dyDescent="0.25">
      <c r="B2238" s="2">
        <f>+B2237</f>
        <v>4</v>
      </c>
      <c r="C2238" s="4">
        <v>1722.1310000000001</v>
      </c>
      <c r="D2238" s="4">
        <v>189.434</v>
      </c>
      <c r="E2238" s="79">
        <v>175.86</v>
      </c>
      <c r="F2238" s="79">
        <f>SUM(BASE_DATOS[[#This Row],[Capital($)]:[Interés
Resarcitorio($)]])</f>
        <v>2087.4250000000002</v>
      </c>
      <c r="G2238" s="8">
        <v>44100</v>
      </c>
      <c r="H2238" s="80" t="s">
        <v>52</v>
      </c>
      <c r="I2238" s="79" t="s">
        <v>7</v>
      </c>
      <c r="J2238" s="81">
        <v>120</v>
      </c>
      <c r="K2238" t="s">
        <v>47</v>
      </c>
    </row>
    <row r="2239" spans="2:11" x14ac:dyDescent="0.25">
      <c r="B2239" s="2">
        <v>5</v>
      </c>
      <c r="C2239" s="4">
        <v>1722.1310000000001</v>
      </c>
      <c r="D2239" s="4">
        <v>239.37600000000003</v>
      </c>
      <c r="E2239" s="79">
        <v>0</v>
      </c>
      <c r="F2239" s="79">
        <f>SUM(BASE_DATOS[[#This Row],[Capital($)]:[Interés
Resarcitorio($)]])</f>
        <v>1961.5070000000001</v>
      </c>
      <c r="G2239" s="8">
        <v>44120</v>
      </c>
      <c r="H2239" s="80" t="s">
        <v>52</v>
      </c>
      <c r="I2239" s="79" t="s">
        <v>9</v>
      </c>
      <c r="J2239" s="81">
        <v>120</v>
      </c>
      <c r="K2239" t="s">
        <v>47</v>
      </c>
    </row>
    <row r="2240" spans="2:11" x14ac:dyDescent="0.25">
      <c r="B2240" s="2">
        <f>+B2239</f>
        <v>5</v>
      </c>
      <c r="C2240" s="4">
        <v>1722.1310000000001</v>
      </c>
      <c r="D2240" s="4">
        <v>239.37600000000003</v>
      </c>
      <c r="E2240" s="79">
        <v>197.46</v>
      </c>
      <c r="F2240" s="79">
        <f>SUM(BASE_DATOS[[#This Row],[Capital($)]:[Interés
Resarcitorio($)]])</f>
        <v>2158.9670000000001</v>
      </c>
      <c r="G2240" s="8">
        <v>44130</v>
      </c>
      <c r="H2240" s="80" t="s">
        <v>52</v>
      </c>
      <c r="I2240" s="79" t="s">
        <v>7</v>
      </c>
      <c r="J2240" s="81">
        <v>120</v>
      </c>
      <c r="K2240" t="s">
        <v>47</v>
      </c>
    </row>
    <row r="2241" spans="2:11" x14ac:dyDescent="0.25">
      <c r="B2241" s="2">
        <v>6</v>
      </c>
      <c r="C2241" s="4">
        <v>1722.1310000000001</v>
      </c>
      <c r="D2241" s="4">
        <v>292.762</v>
      </c>
      <c r="E2241" s="79">
        <v>0</v>
      </c>
      <c r="F2241" s="79">
        <f>SUM(BASE_DATOS[[#This Row],[Capital($)]:[Interés
Resarcitorio($)]])</f>
        <v>2014.893</v>
      </c>
      <c r="G2241" s="8">
        <v>44151</v>
      </c>
      <c r="H2241" s="80" t="s">
        <v>52</v>
      </c>
      <c r="I2241" s="79" t="s">
        <v>9</v>
      </c>
      <c r="J2241" s="81">
        <v>120</v>
      </c>
      <c r="K2241" t="s">
        <v>47</v>
      </c>
    </row>
    <row r="2242" spans="2:11" x14ac:dyDescent="0.25">
      <c r="B2242" s="2">
        <f>+B2241</f>
        <v>6</v>
      </c>
      <c r="C2242" s="4">
        <v>1722.1310000000001</v>
      </c>
      <c r="D2242" s="4">
        <v>292.762</v>
      </c>
      <c r="E2242" s="79">
        <v>202.83</v>
      </c>
      <c r="F2242" s="79">
        <f>SUM(BASE_DATOS[[#This Row],[Capital($)]:[Interés
Resarcitorio($)]])</f>
        <v>2217.723</v>
      </c>
      <c r="G2242" s="8">
        <v>44161</v>
      </c>
      <c r="H2242" s="80" t="s">
        <v>52</v>
      </c>
      <c r="I2242" s="79" t="s">
        <v>7</v>
      </c>
      <c r="J2242" s="81">
        <v>120</v>
      </c>
      <c r="K2242" t="s">
        <v>47</v>
      </c>
    </row>
    <row r="2243" spans="2:11" x14ac:dyDescent="0.25">
      <c r="B2243" s="2">
        <v>7</v>
      </c>
      <c r="C2243" s="4">
        <v>1722.1310000000001</v>
      </c>
      <c r="D2243" s="4">
        <v>342.70400000000001</v>
      </c>
      <c r="E2243" s="79">
        <v>0</v>
      </c>
      <c r="F2243" s="79">
        <f>SUM(BASE_DATOS[[#This Row],[Capital($)]:[Interés
Resarcitorio($)]])</f>
        <v>2064.835</v>
      </c>
      <c r="G2243" s="8">
        <v>44181</v>
      </c>
      <c r="H2243" s="80" t="s">
        <v>52</v>
      </c>
      <c r="I2243" s="79" t="s">
        <v>9</v>
      </c>
      <c r="J2243" s="81">
        <v>120</v>
      </c>
      <c r="K2243" t="s">
        <v>47</v>
      </c>
    </row>
    <row r="2244" spans="2:11" x14ac:dyDescent="0.25">
      <c r="B2244" s="2">
        <f>+B2243</f>
        <v>7</v>
      </c>
      <c r="C2244" s="4">
        <v>1722.1310000000001</v>
      </c>
      <c r="D2244" s="4">
        <v>342.70400000000001</v>
      </c>
      <c r="E2244" s="79">
        <v>207.86</v>
      </c>
      <c r="F2244" s="79">
        <f>SUM(BASE_DATOS[[#This Row],[Capital($)]:[Interés
Resarcitorio($)]])</f>
        <v>2272.6950000000002</v>
      </c>
      <c r="G2244" s="8">
        <v>44191</v>
      </c>
      <c r="H2244" s="80" t="s">
        <v>52</v>
      </c>
      <c r="I2244" s="79" t="s">
        <v>7</v>
      </c>
      <c r="J2244" s="81">
        <v>120</v>
      </c>
      <c r="K2244" t="s">
        <v>47</v>
      </c>
    </row>
    <row r="2245" spans="2:11" x14ac:dyDescent="0.25">
      <c r="B2245" s="2">
        <v>8</v>
      </c>
      <c r="C2245" s="4">
        <v>1722.1310000000001</v>
      </c>
      <c r="D2245" s="4">
        <v>396.09000000000003</v>
      </c>
      <c r="E2245" s="79">
        <v>0</v>
      </c>
      <c r="F2245" s="79">
        <f>SUM(BASE_DATOS[[#This Row],[Capital($)]:[Interés
Resarcitorio($)]])</f>
        <v>2118.221</v>
      </c>
      <c r="G2245" s="8">
        <v>44212</v>
      </c>
      <c r="H2245" s="80" t="s">
        <v>52</v>
      </c>
      <c r="I2245" s="79" t="s">
        <v>9</v>
      </c>
      <c r="J2245" s="81">
        <v>120</v>
      </c>
      <c r="K2245" t="s">
        <v>47</v>
      </c>
    </row>
    <row r="2246" spans="2:11" x14ac:dyDescent="0.25">
      <c r="B2246" s="2">
        <f>+B2245</f>
        <v>8</v>
      </c>
      <c r="C2246" s="4">
        <v>1722.1310000000001</v>
      </c>
      <c r="D2246" s="4">
        <v>396.09000000000003</v>
      </c>
      <c r="E2246" s="79">
        <v>236.53</v>
      </c>
      <c r="F2246" s="79">
        <f>SUM(BASE_DATOS[[#This Row],[Capital($)]:[Interés
Resarcitorio($)]])</f>
        <v>2354.7510000000002</v>
      </c>
      <c r="G2246" s="8">
        <v>44222</v>
      </c>
      <c r="H2246" s="80" t="s">
        <v>52</v>
      </c>
      <c r="I2246" s="79" t="s">
        <v>7</v>
      </c>
      <c r="J2246" s="81">
        <v>120</v>
      </c>
      <c r="K2246" t="s">
        <v>47</v>
      </c>
    </row>
    <row r="2247" spans="2:11" x14ac:dyDescent="0.25">
      <c r="B2247" s="2">
        <v>9</v>
      </c>
      <c r="C2247" s="4">
        <v>1722.1310000000001</v>
      </c>
      <c r="D2247" s="4">
        <v>445.17099999999999</v>
      </c>
      <c r="E2247" s="79">
        <v>0</v>
      </c>
      <c r="F2247" s="79">
        <f>SUM(BASE_DATOS[[#This Row],[Capital($)]:[Interés
Resarcitorio($)]])</f>
        <v>2167.3020000000001</v>
      </c>
      <c r="G2247" s="8">
        <v>44243</v>
      </c>
      <c r="H2247" s="80" t="s">
        <v>52</v>
      </c>
      <c r="I2247" s="79" t="s">
        <v>9</v>
      </c>
      <c r="J2247" s="81">
        <v>120</v>
      </c>
      <c r="K2247" t="s">
        <v>47</v>
      </c>
    </row>
    <row r="2248" spans="2:11" x14ac:dyDescent="0.25">
      <c r="B2248" s="2">
        <f>+B2247</f>
        <v>9</v>
      </c>
      <c r="C2248" s="4">
        <v>1722.1310000000001</v>
      </c>
      <c r="D2248" s="4">
        <v>445.17099999999999</v>
      </c>
      <c r="E2248" s="79">
        <v>242.02</v>
      </c>
      <c r="F2248" s="79">
        <f>SUM(BASE_DATOS[[#This Row],[Capital($)]:[Interés
Resarcitorio($)]])</f>
        <v>2409.3220000000001</v>
      </c>
      <c r="G2248" s="8">
        <v>44253</v>
      </c>
      <c r="H2248" s="80" t="s">
        <v>52</v>
      </c>
      <c r="I2248" s="79" t="s">
        <v>7</v>
      </c>
      <c r="J2248" s="81">
        <v>120</v>
      </c>
      <c r="K2248" t="s">
        <v>47</v>
      </c>
    </row>
    <row r="2249" spans="2:11" x14ac:dyDescent="0.25">
      <c r="B2249" s="2">
        <v>10</v>
      </c>
      <c r="C2249" s="4">
        <v>1722.1310000000001</v>
      </c>
      <c r="D2249" s="4">
        <v>494.25200000000007</v>
      </c>
      <c r="E2249" s="79">
        <v>0</v>
      </c>
      <c r="F2249" s="79">
        <f>SUM(BASE_DATOS[[#This Row],[Capital($)]:[Interés
Resarcitorio($)]])</f>
        <v>2216.3830000000003</v>
      </c>
      <c r="G2249" s="8">
        <v>44271</v>
      </c>
      <c r="H2249" s="80" t="s">
        <v>52</v>
      </c>
      <c r="I2249" s="79" t="s">
        <v>9</v>
      </c>
      <c r="J2249" s="81">
        <v>120</v>
      </c>
      <c r="K2249" t="s">
        <v>47</v>
      </c>
    </row>
    <row r="2250" spans="2:11" x14ac:dyDescent="0.25">
      <c r="B2250" s="2">
        <f>+B2249</f>
        <v>10</v>
      </c>
      <c r="C2250" s="4">
        <v>1722.1310000000001</v>
      </c>
      <c r="D2250" s="4">
        <v>494.25200000000007</v>
      </c>
      <c r="E2250" s="79">
        <v>247.5</v>
      </c>
      <c r="F2250" s="79">
        <f>SUM(BASE_DATOS[[#This Row],[Capital($)]:[Interés
Resarcitorio($)]])</f>
        <v>2463.8830000000003</v>
      </c>
      <c r="G2250" s="8">
        <v>44281</v>
      </c>
      <c r="H2250" s="80" t="s">
        <v>52</v>
      </c>
      <c r="I2250" s="79" t="s">
        <v>7</v>
      </c>
      <c r="J2250" s="81">
        <v>120</v>
      </c>
      <c r="K2250" t="s">
        <v>47</v>
      </c>
    </row>
    <row r="2251" spans="2:11" x14ac:dyDescent="0.25">
      <c r="B2251" s="2">
        <v>11</v>
      </c>
      <c r="C2251" s="4">
        <v>1722.1310000000001</v>
      </c>
      <c r="D2251" s="4">
        <v>543.33199999999999</v>
      </c>
      <c r="E2251" s="79">
        <v>0</v>
      </c>
      <c r="F2251" s="79">
        <f>SUM(BASE_DATOS[[#This Row],[Capital($)]:[Interés
Resarcitorio($)]])</f>
        <v>2265.4630000000002</v>
      </c>
      <c r="G2251" s="8">
        <v>44302</v>
      </c>
      <c r="H2251" s="80" t="s">
        <v>52</v>
      </c>
      <c r="I2251" s="79" t="s">
        <v>9</v>
      </c>
      <c r="J2251" s="81">
        <v>120</v>
      </c>
      <c r="K2251" t="s">
        <v>47</v>
      </c>
    </row>
    <row r="2252" spans="2:11" x14ac:dyDescent="0.25">
      <c r="B2252" s="2">
        <f>+B2251</f>
        <v>11</v>
      </c>
      <c r="C2252" s="4">
        <v>1722.1310000000001</v>
      </c>
      <c r="D2252" s="4">
        <v>543.33199999999999</v>
      </c>
      <c r="E2252" s="79">
        <v>252.98</v>
      </c>
      <c r="F2252" s="79">
        <f>SUM(BASE_DATOS[[#This Row],[Capital($)]:[Interés
Resarcitorio($)]])</f>
        <v>2518.4430000000002</v>
      </c>
      <c r="G2252" s="8">
        <v>44312</v>
      </c>
      <c r="H2252" s="80" t="s">
        <v>52</v>
      </c>
      <c r="I2252" s="79" t="s">
        <v>7</v>
      </c>
      <c r="J2252" s="81">
        <v>120</v>
      </c>
      <c r="K2252" t="s">
        <v>47</v>
      </c>
    </row>
    <row r="2253" spans="2:11" x14ac:dyDescent="0.25">
      <c r="B2253" s="2">
        <v>12</v>
      </c>
      <c r="C2253" s="4">
        <v>1722.1310000000001</v>
      </c>
      <c r="D2253" s="4">
        <v>592.41300000000001</v>
      </c>
      <c r="E2253" s="79">
        <v>0</v>
      </c>
      <c r="F2253" s="79">
        <f>SUM(BASE_DATOS[[#This Row],[Capital($)]:[Interés
Resarcitorio($)]])</f>
        <v>2314.5439999999999</v>
      </c>
      <c r="G2253" s="8">
        <v>44332</v>
      </c>
      <c r="H2253" s="80" t="s">
        <v>52</v>
      </c>
      <c r="I2253" s="79" t="s">
        <v>9</v>
      </c>
      <c r="J2253" s="81">
        <v>120</v>
      </c>
      <c r="K2253" t="s">
        <v>47</v>
      </c>
    </row>
    <row r="2254" spans="2:11" x14ac:dyDescent="0.25">
      <c r="B2254" s="2">
        <f>+B2253</f>
        <v>12</v>
      </c>
      <c r="C2254" s="4">
        <v>1722.1310000000001</v>
      </c>
      <c r="D2254" s="4">
        <v>592.41300000000001</v>
      </c>
      <c r="E2254" s="79">
        <v>258.45999999999998</v>
      </c>
      <c r="F2254" s="79">
        <f>SUM(BASE_DATOS[[#This Row],[Capital($)]:[Interés
Resarcitorio($)]])</f>
        <v>2573.0039999999999</v>
      </c>
      <c r="G2254" s="8">
        <v>44342</v>
      </c>
      <c r="H2254" s="80" t="s">
        <v>52</v>
      </c>
      <c r="I2254" s="79" t="s">
        <v>7</v>
      </c>
      <c r="J2254" s="81">
        <v>120</v>
      </c>
      <c r="K2254" t="s">
        <v>47</v>
      </c>
    </row>
    <row r="2255" spans="2:11" x14ac:dyDescent="0.25">
      <c r="B2255" s="2">
        <v>13</v>
      </c>
      <c r="C2255" s="4">
        <v>1722.1310000000001</v>
      </c>
      <c r="D2255" s="4">
        <v>641.49399999999991</v>
      </c>
      <c r="E2255" s="79">
        <v>0</v>
      </c>
      <c r="F2255" s="79">
        <f>SUM(BASE_DATOS[[#This Row],[Capital($)]:[Interés
Resarcitorio($)]])</f>
        <v>2363.625</v>
      </c>
      <c r="G2255" s="8">
        <v>44363</v>
      </c>
      <c r="H2255" s="80" t="s">
        <v>52</v>
      </c>
      <c r="I2255" s="79" t="s">
        <v>9</v>
      </c>
      <c r="J2255" s="81">
        <v>120</v>
      </c>
      <c r="K2255" t="s">
        <v>47</v>
      </c>
    </row>
    <row r="2256" spans="2:11" x14ac:dyDescent="0.25">
      <c r="B2256" s="2">
        <f>+B2255</f>
        <v>13</v>
      </c>
      <c r="C2256" s="4">
        <v>1722.1310000000001</v>
      </c>
      <c r="D2256" s="4">
        <v>641.49399999999991</v>
      </c>
      <c r="E2256" s="79">
        <v>263.94</v>
      </c>
      <c r="F2256" s="79">
        <f>SUM(BASE_DATOS[[#This Row],[Capital($)]:[Interés
Resarcitorio($)]])</f>
        <v>2627.5650000000001</v>
      </c>
      <c r="G2256" s="8">
        <v>44373</v>
      </c>
      <c r="H2256" s="80" t="s">
        <v>52</v>
      </c>
      <c r="I2256" s="79" t="s">
        <v>7</v>
      </c>
      <c r="J2256" s="81">
        <v>120</v>
      </c>
      <c r="K2256" t="s">
        <v>47</v>
      </c>
    </row>
    <row r="2257" spans="2:11" x14ac:dyDescent="0.25">
      <c r="B2257" s="2">
        <v>14</v>
      </c>
      <c r="C2257" s="4">
        <v>1722.1310000000001</v>
      </c>
      <c r="D2257" s="4">
        <v>690.57500000000005</v>
      </c>
      <c r="E2257" s="79">
        <v>0</v>
      </c>
      <c r="F2257" s="79">
        <f>SUM(BASE_DATOS[[#This Row],[Capital($)]:[Interés
Resarcitorio($)]])</f>
        <v>2412.7060000000001</v>
      </c>
      <c r="G2257" s="8">
        <v>44393</v>
      </c>
      <c r="H2257" s="80" t="s">
        <v>52</v>
      </c>
      <c r="I2257" s="79" t="s">
        <v>9</v>
      </c>
      <c r="J2257" s="81">
        <v>120</v>
      </c>
      <c r="K2257" t="s">
        <v>47</v>
      </c>
    </row>
    <row r="2258" spans="2:11" x14ac:dyDescent="0.25">
      <c r="B2258" s="2">
        <f>+B2257</f>
        <v>14</v>
      </c>
      <c r="C2258" s="4">
        <v>1722.1310000000001</v>
      </c>
      <c r="D2258" s="4">
        <v>690.57500000000005</v>
      </c>
      <c r="E2258" s="79">
        <v>269.42</v>
      </c>
      <c r="F2258" s="79">
        <f>SUM(BASE_DATOS[[#This Row],[Capital($)]:[Interés
Resarcitorio($)]])</f>
        <v>2682.1260000000002</v>
      </c>
      <c r="G2258" s="8">
        <v>44403</v>
      </c>
      <c r="H2258" s="80" t="s">
        <v>52</v>
      </c>
      <c r="I2258" s="79" t="s">
        <v>7</v>
      </c>
      <c r="J2258" s="81">
        <v>120</v>
      </c>
      <c r="K2258" t="s">
        <v>47</v>
      </c>
    </row>
    <row r="2259" spans="2:11" x14ac:dyDescent="0.25">
      <c r="B2259" s="2">
        <v>15</v>
      </c>
      <c r="C2259" s="4">
        <v>1722.1310000000001</v>
      </c>
      <c r="D2259" s="4">
        <v>739.48299999999995</v>
      </c>
      <c r="E2259" s="79">
        <v>0</v>
      </c>
      <c r="F2259" s="79">
        <f>SUM(BASE_DATOS[[#This Row],[Capital($)]:[Interés
Resarcitorio($)]])</f>
        <v>2461.614</v>
      </c>
      <c r="G2259" s="8">
        <v>44424</v>
      </c>
      <c r="H2259" s="80" t="s">
        <v>52</v>
      </c>
      <c r="I2259" s="79" t="s">
        <v>9</v>
      </c>
      <c r="J2259" s="81">
        <v>120</v>
      </c>
      <c r="K2259" t="s">
        <v>47</v>
      </c>
    </row>
    <row r="2260" spans="2:11" x14ac:dyDescent="0.25">
      <c r="B2260" s="2">
        <f>+B2259</f>
        <v>15</v>
      </c>
      <c r="C2260" s="4">
        <v>1722.1310000000001</v>
      </c>
      <c r="D2260" s="4">
        <v>739.48299999999995</v>
      </c>
      <c r="E2260" s="79">
        <v>274.88</v>
      </c>
      <c r="F2260" s="79">
        <f>SUM(BASE_DATOS[[#This Row],[Capital($)]:[Interés
Resarcitorio($)]])</f>
        <v>2736.4940000000001</v>
      </c>
      <c r="G2260" s="8">
        <v>44434</v>
      </c>
      <c r="H2260" s="80" t="s">
        <v>52</v>
      </c>
      <c r="I2260" s="79" t="s">
        <v>7</v>
      </c>
      <c r="J2260" s="81">
        <v>120</v>
      </c>
      <c r="K2260" t="s">
        <v>47</v>
      </c>
    </row>
    <row r="2261" spans="2:11" x14ac:dyDescent="0.25">
      <c r="B2261" s="2">
        <v>16</v>
      </c>
      <c r="C2261" s="4">
        <v>1722.1310000000001</v>
      </c>
      <c r="D2261" s="4">
        <v>788.39200000000005</v>
      </c>
      <c r="E2261" s="79">
        <v>0</v>
      </c>
      <c r="F2261" s="79">
        <f>SUM(BASE_DATOS[[#This Row],[Capital($)]:[Interés
Resarcitorio($)]])</f>
        <v>2510.5230000000001</v>
      </c>
      <c r="G2261" s="8">
        <v>44455</v>
      </c>
      <c r="H2261" s="80" t="s">
        <v>52</v>
      </c>
      <c r="I2261" s="79" t="s">
        <v>9</v>
      </c>
      <c r="J2261" s="81">
        <v>120</v>
      </c>
      <c r="K2261" t="s">
        <v>47</v>
      </c>
    </row>
    <row r="2262" spans="2:11" x14ac:dyDescent="0.25">
      <c r="B2262" s="2">
        <f>+B2261</f>
        <v>16</v>
      </c>
      <c r="C2262" s="4">
        <v>1722.1310000000001</v>
      </c>
      <c r="D2262" s="4">
        <v>788.39200000000005</v>
      </c>
      <c r="E2262" s="79">
        <v>280.33999999999997</v>
      </c>
      <c r="F2262" s="79">
        <f>SUM(BASE_DATOS[[#This Row],[Capital($)]:[Interés
Resarcitorio($)]])</f>
        <v>2790.8630000000003</v>
      </c>
      <c r="G2262" s="8">
        <v>44465</v>
      </c>
      <c r="H2262" s="80" t="s">
        <v>52</v>
      </c>
      <c r="I2262" s="79" t="s">
        <v>7</v>
      </c>
      <c r="J2262" s="81">
        <v>120</v>
      </c>
      <c r="K2262" t="s">
        <v>47</v>
      </c>
    </row>
    <row r="2263" spans="2:11" x14ac:dyDescent="0.25">
      <c r="B2263" s="2">
        <v>17</v>
      </c>
      <c r="C2263" s="4">
        <v>1722.1310000000001</v>
      </c>
      <c r="D2263" s="4">
        <v>837.3</v>
      </c>
      <c r="E2263" s="79">
        <v>0</v>
      </c>
      <c r="F2263" s="79">
        <f>SUM(BASE_DATOS[[#This Row],[Capital($)]:[Interés
Resarcitorio($)]])</f>
        <v>2559.431</v>
      </c>
      <c r="G2263" s="8">
        <v>44485</v>
      </c>
      <c r="H2263" s="80" t="s">
        <v>52</v>
      </c>
      <c r="I2263" s="79" t="s">
        <v>9</v>
      </c>
      <c r="J2263" s="81">
        <v>120</v>
      </c>
      <c r="K2263" t="s">
        <v>47</v>
      </c>
    </row>
    <row r="2264" spans="2:11" x14ac:dyDescent="0.25">
      <c r="B2264" s="2">
        <f>+B2263</f>
        <v>17</v>
      </c>
      <c r="C2264" s="4">
        <v>1722.1310000000001</v>
      </c>
      <c r="D2264" s="4">
        <v>837.3</v>
      </c>
      <c r="E2264" s="79">
        <v>285.8</v>
      </c>
      <c r="F2264" s="79">
        <f>SUM(BASE_DATOS[[#This Row],[Capital($)]:[Interés
Resarcitorio($)]])</f>
        <v>2845.2310000000002</v>
      </c>
      <c r="G2264" s="8">
        <v>44495</v>
      </c>
      <c r="H2264" s="80" t="s">
        <v>52</v>
      </c>
      <c r="I2264" s="79" t="s">
        <v>7</v>
      </c>
      <c r="J2264" s="81">
        <v>120</v>
      </c>
      <c r="K2264" t="s">
        <v>47</v>
      </c>
    </row>
    <row r="2265" spans="2:11" x14ac:dyDescent="0.25">
      <c r="B2265" s="2">
        <v>18</v>
      </c>
      <c r="C2265" s="4">
        <v>1722.1310000000001</v>
      </c>
      <c r="D2265" s="4">
        <v>886.20900000000006</v>
      </c>
      <c r="E2265" s="79">
        <v>0</v>
      </c>
      <c r="F2265" s="79">
        <f>SUM(BASE_DATOS[[#This Row],[Capital($)]:[Interés
Resarcitorio($)]])</f>
        <v>2608.34</v>
      </c>
      <c r="G2265" s="8">
        <v>44516</v>
      </c>
      <c r="H2265" s="80" t="s">
        <v>52</v>
      </c>
      <c r="I2265" s="79" t="s">
        <v>9</v>
      </c>
      <c r="J2265" s="81">
        <v>120</v>
      </c>
      <c r="K2265" t="s">
        <v>47</v>
      </c>
    </row>
    <row r="2266" spans="2:11" x14ac:dyDescent="0.25">
      <c r="B2266" s="2">
        <f>+B2265</f>
        <v>18</v>
      </c>
      <c r="C2266" s="4">
        <v>1722.1310000000001</v>
      </c>
      <c r="D2266" s="4">
        <v>886.20900000000006</v>
      </c>
      <c r="E2266" s="79">
        <v>291.26</v>
      </c>
      <c r="F2266" s="79">
        <f>SUM(BASE_DATOS[[#This Row],[Capital($)]:[Interés
Resarcitorio($)]])</f>
        <v>2899.6000000000004</v>
      </c>
      <c r="G2266" s="8">
        <v>44526</v>
      </c>
      <c r="H2266" s="80" t="s">
        <v>52</v>
      </c>
      <c r="I2266" s="79" t="s">
        <v>7</v>
      </c>
      <c r="J2266" s="81">
        <v>120</v>
      </c>
      <c r="K2266" t="s">
        <v>47</v>
      </c>
    </row>
    <row r="2267" spans="2:11" x14ac:dyDescent="0.25">
      <c r="B2267" s="2">
        <v>19</v>
      </c>
      <c r="C2267" s="4">
        <v>1722.1310000000001</v>
      </c>
      <c r="D2267" s="4">
        <v>935.11699999999996</v>
      </c>
      <c r="E2267" s="79">
        <v>0</v>
      </c>
      <c r="F2267" s="79">
        <f>SUM(BASE_DATOS[[#This Row],[Capital($)]:[Interés
Resarcitorio($)]])</f>
        <v>2657.248</v>
      </c>
      <c r="G2267" s="8">
        <v>44546</v>
      </c>
      <c r="H2267" s="80" t="s">
        <v>52</v>
      </c>
      <c r="I2267" s="79" t="s">
        <v>9</v>
      </c>
      <c r="J2267" s="81">
        <v>120</v>
      </c>
      <c r="K2267" t="s">
        <v>47</v>
      </c>
    </row>
    <row r="2268" spans="2:11" x14ac:dyDescent="0.25">
      <c r="B2268" s="2">
        <f>+B2267</f>
        <v>19</v>
      </c>
      <c r="C2268" s="4">
        <v>1722.1310000000001</v>
      </c>
      <c r="D2268" s="4">
        <v>935.11699999999996</v>
      </c>
      <c r="E2268" s="79">
        <v>296.73</v>
      </c>
      <c r="F2268" s="79">
        <f>SUM(BASE_DATOS[[#This Row],[Capital($)]:[Interés
Resarcitorio($)]])</f>
        <v>2953.9780000000001</v>
      </c>
      <c r="G2268" s="8">
        <v>44556</v>
      </c>
      <c r="H2268" s="80" t="s">
        <v>52</v>
      </c>
      <c r="I2268" s="79" t="s">
        <v>7</v>
      </c>
      <c r="J2268" s="81">
        <v>120</v>
      </c>
      <c r="K2268" t="s">
        <v>47</v>
      </c>
    </row>
    <row r="2269" spans="2:11" x14ac:dyDescent="0.25">
      <c r="B2269" s="2">
        <v>20</v>
      </c>
      <c r="C2269" s="4">
        <v>1722.1310000000001</v>
      </c>
      <c r="D2269" s="4">
        <v>984.02600000000007</v>
      </c>
      <c r="E2269" s="79">
        <v>0</v>
      </c>
      <c r="F2269" s="79">
        <f>SUM(BASE_DATOS[[#This Row],[Capital($)]:[Interés
Resarcitorio($)]])</f>
        <v>2706.1570000000002</v>
      </c>
      <c r="G2269" s="8">
        <v>44577</v>
      </c>
      <c r="H2269" s="80" t="s">
        <v>52</v>
      </c>
      <c r="I2269" s="79" t="s">
        <v>9</v>
      </c>
      <c r="J2269" s="81">
        <v>120</v>
      </c>
      <c r="K2269" t="s">
        <v>47</v>
      </c>
    </row>
    <row r="2270" spans="2:11" x14ac:dyDescent="0.25">
      <c r="B2270" s="2">
        <f>+B2269</f>
        <v>20</v>
      </c>
      <c r="C2270" s="4">
        <v>1722.1310000000001</v>
      </c>
      <c r="D2270" s="4">
        <v>984.02600000000007</v>
      </c>
      <c r="E2270" s="79">
        <v>302.19</v>
      </c>
      <c r="F2270" s="79">
        <f>SUM(BASE_DATOS[[#This Row],[Capital($)]:[Interés
Resarcitorio($)]])</f>
        <v>3008.3470000000002</v>
      </c>
      <c r="G2270" s="8">
        <v>44587</v>
      </c>
      <c r="H2270" s="80" t="s">
        <v>52</v>
      </c>
      <c r="I2270" s="79" t="s">
        <v>7</v>
      </c>
      <c r="J2270" s="81">
        <v>120</v>
      </c>
      <c r="K2270" t="s">
        <v>47</v>
      </c>
    </row>
    <row r="2271" spans="2:11" x14ac:dyDescent="0.25">
      <c r="B2271" s="2">
        <v>21</v>
      </c>
      <c r="C2271" s="4">
        <v>1722.1310000000001</v>
      </c>
      <c r="D2271" s="4">
        <v>1037.9280000000001</v>
      </c>
      <c r="E2271" s="79">
        <v>0</v>
      </c>
      <c r="F2271" s="79">
        <f>SUM(BASE_DATOS[[#This Row],[Capital($)]:[Interés
Resarcitorio($)]])</f>
        <v>2760.0590000000002</v>
      </c>
      <c r="G2271" s="8">
        <v>44608</v>
      </c>
      <c r="H2271" s="80" t="s">
        <v>52</v>
      </c>
      <c r="I2271" s="79" t="s">
        <v>9</v>
      </c>
      <c r="J2271" s="81">
        <v>120</v>
      </c>
      <c r="K2271" t="s">
        <v>47</v>
      </c>
    </row>
    <row r="2272" spans="2:11" x14ac:dyDescent="0.25">
      <c r="B2272" s="2">
        <f>+B2271</f>
        <v>21</v>
      </c>
      <c r="C2272" s="4">
        <v>1722.1310000000001</v>
      </c>
      <c r="D2272" s="4">
        <v>1037.9280000000001</v>
      </c>
      <c r="E2272" s="79">
        <v>308.20999999999998</v>
      </c>
      <c r="F2272" s="79">
        <f>SUM(BASE_DATOS[[#This Row],[Capital($)]:[Interés
Resarcitorio($)]])</f>
        <v>3068.2690000000002</v>
      </c>
      <c r="G2272" s="8">
        <v>44618</v>
      </c>
      <c r="H2272" s="80" t="s">
        <v>52</v>
      </c>
      <c r="I2272" s="79" t="s">
        <v>7</v>
      </c>
      <c r="J2272" s="81">
        <v>120</v>
      </c>
      <c r="K2272" t="s">
        <v>47</v>
      </c>
    </row>
    <row r="2273" spans="2:11" x14ac:dyDescent="0.25">
      <c r="B2273" s="2">
        <v>22</v>
      </c>
      <c r="C2273" s="4">
        <v>1722.1310000000001</v>
      </c>
      <c r="D2273" s="4">
        <v>1091.8309999999999</v>
      </c>
      <c r="E2273" s="79">
        <v>0</v>
      </c>
      <c r="F2273" s="79">
        <f>SUM(BASE_DATOS[[#This Row],[Capital($)]:[Interés
Resarcitorio($)]])</f>
        <v>2813.962</v>
      </c>
      <c r="G2273" s="8">
        <v>44636</v>
      </c>
      <c r="H2273" s="80" t="s">
        <v>52</v>
      </c>
      <c r="I2273" s="79" t="s">
        <v>9</v>
      </c>
      <c r="J2273" s="81">
        <v>120</v>
      </c>
      <c r="K2273" t="s">
        <v>47</v>
      </c>
    </row>
    <row r="2274" spans="2:11" x14ac:dyDescent="0.25">
      <c r="B2274" s="2">
        <f>+B2273</f>
        <v>22</v>
      </c>
      <c r="C2274" s="4">
        <v>1722.1310000000001</v>
      </c>
      <c r="D2274" s="4">
        <v>1091.8309999999999</v>
      </c>
      <c r="E2274" s="79">
        <v>314.23</v>
      </c>
      <c r="F2274" s="79">
        <f>SUM(BASE_DATOS[[#This Row],[Capital($)]:[Interés
Resarcitorio($)]])</f>
        <v>3128.192</v>
      </c>
      <c r="G2274" s="8">
        <v>44646</v>
      </c>
      <c r="H2274" s="80" t="s">
        <v>52</v>
      </c>
      <c r="I2274" s="79" t="s">
        <v>7</v>
      </c>
      <c r="J2274" s="81">
        <v>120</v>
      </c>
      <c r="K2274" t="s">
        <v>47</v>
      </c>
    </row>
    <row r="2275" spans="2:11" x14ac:dyDescent="0.25">
      <c r="B2275" s="2">
        <v>23</v>
      </c>
      <c r="C2275" s="4">
        <v>1722.1310000000001</v>
      </c>
      <c r="D2275" s="4">
        <v>1145.7339999999999</v>
      </c>
      <c r="E2275" s="79">
        <v>0</v>
      </c>
      <c r="F2275" s="79">
        <f>SUM(BASE_DATOS[[#This Row],[Capital($)]:[Interés
Resarcitorio($)]])</f>
        <v>2867.8649999999998</v>
      </c>
      <c r="G2275" s="8">
        <v>44667</v>
      </c>
      <c r="H2275" s="80" t="s">
        <v>52</v>
      </c>
      <c r="I2275" s="79" t="s">
        <v>9</v>
      </c>
      <c r="J2275" s="81">
        <v>120</v>
      </c>
      <c r="K2275" t="s">
        <v>47</v>
      </c>
    </row>
    <row r="2276" spans="2:11" x14ac:dyDescent="0.25">
      <c r="B2276" s="2">
        <f>+B2275</f>
        <v>23</v>
      </c>
      <c r="C2276" s="4">
        <v>1722.1310000000001</v>
      </c>
      <c r="D2276" s="4">
        <v>1145.7339999999999</v>
      </c>
      <c r="E2276" s="79">
        <v>355.62</v>
      </c>
      <c r="F2276" s="79">
        <f>SUM(BASE_DATOS[[#This Row],[Capital($)]:[Interés
Resarcitorio($)]])</f>
        <v>3223.4849999999997</v>
      </c>
      <c r="G2276" s="8">
        <v>44677</v>
      </c>
      <c r="H2276" s="80" t="s">
        <v>52</v>
      </c>
      <c r="I2276" s="79" t="s">
        <v>7</v>
      </c>
      <c r="J2276" s="81">
        <v>120</v>
      </c>
      <c r="K2276" t="s">
        <v>47</v>
      </c>
    </row>
    <row r="2277" spans="2:11" x14ac:dyDescent="0.25">
      <c r="B2277" s="2">
        <v>24</v>
      </c>
      <c r="C2277" s="4">
        <v>1722.1310000000001</v>
      </c>
      <c r="D2277" s="4">
        <v>1199.636</v>
      </c>
      <c r="E2277" s="79">
        <v>0</v>
      </c>
      <c r="F2277" s="79">
        <f>SUM(BASE_DATOS[[#This Row],[Capital($)]:[Interés
Resarcitorio($)]])</f>
        <v>2921.7669999999998</v>
      </c>
      <c r="G2277" s="8">
        <v>44697</v>
      </c>
      <c r="H2277" s="80" t="s">
        <v>52</v>
      </c>
      <c r="I2277" s="79" t="s">
        <v>9</v>
      </c>
      <c r="J2277" s="81">
        <v>120</v>
      </c>
      <c r="K2277" t="s">
        <v>47</v>
      </c>
    </row>
    <row r="2278" spans="2:11" x14ac:dyDescent="0.25">
      <c r="B2278" s="2">
        <f>+B2277</f>
        <v>24</v>
      </c>
      <c r="C2278" s="4">
        <v>1722.1310000000001</v>
      </c>
      <c r="D2278" s="4">
        <v>1199.636</v>
      </c>
      <c r="E2278" s="79">
        <v>362.3</v>
      </c>
      <c r="F2278" s="79">
        <f>SUM(BASE_DATOS[[#This Row],[Capital($)]:[Interés
Resarcitorio($)]])</f>
        <v>3284.067</v>
      </c>
      <c r="G2278" s="8">
        <v>44707</v>
      </c>
      <c r="H2278" s="80" t="s">
        <v>52</v>
      </c>
      <c r="I2278" s="79" t="s">
        <v>7</v>
      </c>
      <c r="J2278" s="81">
        <v>120</v>
      </c>
      <c r="K2278" t="s">
        <v>47</v>
      </c>
    </row>
    <row r="2279" spans="2:11" x14ac:dyDescent="0.25">
      <c r="B2279" s="2">
        <v>25</v>
      </c>
      <c r="C2279" s="4">
        <v>1722.1310000000001</v>
      </c>
      <c r="D2279" s="4">
        <v>1253.539</v>
      </c>
      <c r="E2279" s="79">
        <v>0</v>
      </c>
      <c r="F2279" s="79">
        <f>SUM(BASE_DATOS[[#This Row],[Capital($)]:[Interés
Resarcitorio($)]])</f>
        <v>2975.67</v>
      </c>
      <c r="G2279" s="8">
        <v>44728</v>
      </c>
      <c r="H2279" s="80" t="s">
        <v>52</v>
      </c>
      <c r="I2279" s="79" t="s">
        <v>9</v>
      </c>
      <c r="J2279" s="81">
        <v>120</v>
      </c>
      <c r="K2279" t="s">
        <v>47</v>
      </c>
    </row>
    <row r="2280" spans="2:11" x14ac:dyDescent="0.25">
      <c r="B2280" s="2">
        <f>+B2279</f>
        <v>25</v>
      </c>
      <c r="C2280" s="4">
        <v>1722.1310000000001</v>
      </c>
      <c r="D2280" s="4">
        <v>1253.539</v>
      </c>
      <c r="E2280" s="79">
        <v>368.98</v>
      </c>
      <c r="F2280" s="79">
        <f>SUM(BASE_DATOS[[#This Row],[Capital($)]:[Interés
Resarcitorio($)]])</f>
        <v>3344.65</v>
      </c>
      <c r="G2280" s="8">
        <v>44738</v>
      </c>
      <c r="H2280" s="80" t="s">
        <v>52</v>
      </c>
      <c r="I2280" s="79" t="s">
        <v>7</v>
      </c>
      <c r="J2280" s="81">
        <v>120</v>
      </c>
      <c r="K2280" t="s">
        <v>47</v>
      </c>
    </row>
    <row r="2281" spans="2:11" x14ac:dyDescent="0.25">
      <c r="B2281" s="2">
        <v>26</v>
      </c>
      <c r="C2281" s="4">
        <v>1722.1310000000001</v>
      </c>
      <c r="D2281" s="4">
        <v>1307.442</v>
      </c>
      <c r="E2281" s="79">
        <v>0</v>
      </c>
      <c r="F2281" s="79">
        <f>SUM(BASE_DATOS[[#This Row],[Capital($)]:[Interés
Resarcitorio($)]])</f>
        <v>3029.5730000000003</v>
      </c>
      <c r="G2281" s="8">
        <v>44758</v>
      </c>
      <c r="H2281" s="80" t="s">
        <v>52</v>
      </c>
      <c r="I2281" s="79" t="s">
        <v>9</v>
      </c>
      <c r="J2281" s="81">
        <v>120</v>
      </c>
      <c r="K2281" t="s">
        <v>47</v>
      </c>
    </row>
    <row r="2282" spans="2:11" x14ac:dyDescent="0.25">
      <c r="B2282" s="2">
        <f>+B2281</f>
        <v>26</v>
      </c>
      <c r="C2282" s="4">
        <v>1722.1310000000001</v>
      </c>
      <c r="D2282" s="4">
        <v>1307.442</v>
      </c>
      <c r="E2282" s="79">
        <v>429.19</v>
      </c>
      <c r="F2282" s="79">
        <f>SUM(BASE_DATOS[[#This Row],[Capital($)]:[Interés
Resarcitorio($)]])</f>
        <v>3458.7630000000004</v>
      </c>
      <c r="G2282" s="8">
        <v>44768</v>
      </c>
      <c r="H2282" s="80" t="s">
        <v>52</v>
      </c>
      <c r="I2282" s="79" t="s">
        <v>7</v>
      </c>
      <c r="J2282" s="81">
        <v>120</v>
      </c>
      <c r="K2282" t="s">
        <v>47</v>
      </c>
    </row>
    <row r="2283" spans="2:11" x14ac:dyDescent="0.25">
      <c r="B2283" s="2">
        <v>27</v>
      </c>
      <c r="C2283" s="4">
        <v>1722.1310000000001</v>
      </c>
      <c r="D2283" s="4">
        <v>1379.944</v>
      </c>
      <c r="E2283" s="79">
        <v>0</v>
      </c>
      <c r="F2283" s="79">
        <f>SUM(BASE_DATOS[[#This Row],[Capital($)]:[Interés
Resarcitorio($)]])</f>
        <v>3102.0749999999998</v>
      </c>
      <c r="G2283" s="8">
        <v>44789</v>
      </c>
      <c r="H2283" s="80" t="s">
        <v>52</v>
      </c>
      <c r="I2283" s="79" t="s">
        <v>9</v>
      </c>
      <c r="J2283" s="81">
        <v>120</v>
      </c>
      <c r="K2283" t="s">
        <v>47</v>
      </c>
    </row>
    <row r="2284" spans="2:11" x14ac:dyDescent="0.25">
      <c r="B2284" s="2">
        <f>+B2283</f>
        <v>27</v>
      </c>
      <c r="C2284" s="4">
        <v>1722.1310000000001</v>
      </c>
      <c r="D2284" s="4">
        <v>1379.944</v>
      </c>
      <c r="E2284" s="79">
        <v>439.46</v>
      </c>
      <c r="F2284" s="79">
        <f>SUM(BASE_DATOS[[#This Row],[Capital($)]:[Interés
Resarcitorio($)]])</f>
        <v>3541.5349999999999</v>
      </c>
      <c r="G2284" s="8">
        <v>44799</v>
      </c>
      <c r="H2284" s="80" t="s">
        <v>52</v>
      </c>
      <c r="I2284" s="79" t="s">
        <v>7</v>
      </c>
      <c r="J2284" s="81">
        <v>120</v>
      </c>
      <c r="K2284" t="s">
        <v>47</v>
      </c>
    </row>
    <row r="2285" spans="2:11" x14ac:dyDescent="0.25">
      <c r="B2285" s="2">
        <v>28</v>
      </c>
      <c r="C2285" s="4">
        <v>1722.1310000000001</v>
      </c>
      <c r="D2285" s="4">
        <v>1452.4450000000002</v>
      </c>
      <c r="E2285" s="79">
        <v>0</v>
      </c>
      <c r="F2285" s="79">
        <f>SUM(BASE_DATOS[[#This Row],[Capital($)]:[Interés
Resarcitorio($)]])</f>
        <v>3174.576</v>
      </c>
      <c r="G2285" s="8">
        <v>44820</v>
      </c>
      <c r="H2285" s="80" t="s">
        <v>52</v>
      </c>
      <c r="I2285" s="79" t="s">
        <v>9</v>
      </c>
      <c r="J2285" s="81">
        <v>120</v>
      </c>
      <c r="K2285" t="s">
        <v>47</v>
      </c>
    </row>
    <row r="2286" spans="2:11" x14ac:dyDescent="0.25">
      <c r="B2286" s="2">
        <f>+B2285</f>
        <v>28</v>
      </c>
      <c r="C2286" s="4">
        <v>1722.1310000000001</v>
      </c>
      <c r="D2286" s="4">
        <v>1452.4450000000002</v>
      </c>
      <c r="E2286" s="79">
        <v>625.39</v>
      </c>
      <c r="F2286" s="79">
        <f>SUM(BASE_DATOS[[#This Row],[Capital($)]:[Interés
Resarcitorio($)]])</f>
        <v>3799.9659999999999</v>
      </c>
      <c r="G2286" s="8">
        <v>44830</v>
      </c>
      <c r="H2286" s="80" t="s">
        <v>52</v>
      </c>
      <c r="I2286" s="79" t="s">
        <v>7</v>
      </c>
      <c r="J2286" s="81">
        <v>120</v>
      </c>
      <c r="K2286" t="s">
        <v>47</v>
      </c>
    </row>
    <row r="2287" spans="2:11" x14ac:dyDescent="0.25">
      <c r="B2287" s="2">
        <v>29</v>
      </c>
      <c r="C2287" s="4">
        <v>1722.1310000000001</v>
      </c>
      <c r="D2287" s="4">
        <v>1524.9469999999999</v>
      </c>
      <c r="E2287" s="79">
        <v>0</v>
      </c>
      <c r="F2287" s="79">
        <f>SUM(BASE_DATOS[[#This Row],[Capital($)]:[Interés
Resarcitorio($)]])</f>
        <v>3247.078</v>
      </c>
      <c r="G2287" s="8">
        <v>44850</v>
      </c>
      <c r="H2287" s="80" t="s">
        <v>52</v>
      </c>
      <c r="I2287" s="79" t="s">
        <v>9</v>
      </c>
      <c r="J2287" s="81">
        <v>120</v>
      </c>
      <c r="K2287" t="s">
        <v>47</v>
      </c>
    </row>
    <row r="2288" spans="2:11" x14ac:dyDescent="0.25">
      <c r="B2288" s="2">
        <f>+B2287</f>
        <v>29</v>
      </c>
      <c r="C2288" s="4">
        <v>1722.1310000000001</v>
      </c>
      <c r="D2288" s="4">
        <v>1524.9469999999999</v>
      </c>
      <c r="E2288" s="79">
        <v>639.66999999999996</v>
      </c>
      <c r="F2288" s="79">
        <f>SUM(BASE_DATOS[[#This Row],[Capital($)]:[Interés
Resarcitorio($)]])</f>
        <v>3886.748</v>
      </c>
      <c r="G2288" s="8">
        <v>44860</v>
      </c>
      <c r="H2288" s="80" t="s">
        <v>52</v>
      </c>
      <c r="I2288" s="79" t="s">
        <v>7</v>
      </c>
      <c r="J2288" s="81">
        <v>120</v>
      </c>
      <c r="K2288" t="s">
        <v>47</v>
      </c>
    </row>
    <row r="2289" spans="2:11" x14ac:dyDescent="0.25">
      <c r="B2289" s="2">
        <v>30</v>
      </c>
      <c r="C2289" s="4">
        <v>1722.1310000000001</v>
      </c>
      <c r="D2289" s="4">
        <v>1597.4490000000001</v>
      </c>
      <c r="E2289" s="79">
        <v>0</v>
      </c>
      <c r="F2289" s="79">
        <f>SUM(BASE_DATOS[[#This Row],[Capital($)]:[Interés
Resarcitorio($)]])</f>
        <v>3319.58</v>
      </c>
      <c r="G2289" s="8">
        <v>44881</v>
      </c>
      <c r="H2289" s="80" t="s">
        <v>52</v>
      </c>
      <c r="I2289" s="79" t="s">
        <v>9</v>
      </c>
      <c r="J2289" s="81">
        <v>120</v>
      </c>
      <c r="K2289" t="s">
        <v>47</v>
      </c>
    </row>
    <row r="2290" spans="2:11" x14ac:dyDescent="0.25">
      <c r="B2290" s="2">
        <f>+B2289</f>
        <v>30</v>
      </c>
      <c r="C2290" s="4">
        <v>1722.1310000000001</v>
      </c>
      <c r="D2290" s="4">
        <v>1597.4490000000001</v>
      </c>
      <c r="E2290" s="79">
        <v>653.96</v>
      </c>
      <c r="F2290" s="79">
        <f>SUM(BASE_DATOS[[#This Row],[Capital($)]:[Interés
Resarcitorio($)]])</f>
        <v>3973.54</v>
      </c>
      <c r="G2290" s="8">
        <v>44891</v>
      </c>
      <c r="H2290" s="80" t="s">
        <v>52</v>
      </c>
      <c r="I2290" s="79" t="s">
        <v>7</v>
      </c>
      <c r="J2290" s="81">
        <v>120</v>
      </c>
      <c r="K2290" t="s">
        <v>47</v>
      </c>
    </row>
    <row r="2291" spans="2:11" x14ac:dyDescent="0.25">
      <c r="B2291" s="2">
        <v>31</v>
      </c>
      <c r="C2291" s="4">
        <v>1722.1310000000001</v>
      </c>
      <c r="D2291" s="4">
        <v>1669.95</v>
      </c>
      <c r="E2291" s="79">
        <v>0</v>
      </c>
      <c r="F2291" s="79">
        <f>SUM(BASE_DATOS[[#This Row],[Capital($)]:[Interés
Resarcitorio($)]])</f>
        <v>3392.0810000000001</v>
      </c>
      <c r="G2291" s="8">
        <v>44911</v>
      </c>
      <c r="H2291" s="80" t="s">
        <v>52</v>
      </c>
      <c r="I2291" s="79" t="s">
        <v>9</v>
      </c>
      <c r="J2291" s="81">
        <v>120</v>
      </c>
      <c r="K2291" t="s">
        <v>47</v>
      </c>
    </row>
    <row r="2292" spans="2:11" x14ac:dyDescent="0.25">
      <c r="B2292" s="2">
        <f>+B2291</f>
        <v>31</v>
      </c>
      <c r="C2292" s="4">
        <v>1722.1310000000001</v>
      </c>
      <c r="D2292" s="4">
        <v>1669.95</v>
      </c>
      <c r="E2292" s="79">
        <v>668.24</v>
      </c>
      <c r="F2292" s="79">
        <f>SUM(BASE_DATOS[[#This Row],[Capital($)]:[Interés
Resarcitorio($)]])</f>
        <v>4060.3209999999999</v>
      </c>
      <c r="G2292" s="8">
        <v>44921</v>
      </c>
      <c r="H2292" s="80" t="s">
        <v>52</v>
      </c>
      <c r="I2292" s="79" t="s">
        <v>7</v>
      </c>
      <c r="J2292" s="81">
        <v>120</v>
      </c>
      <c r="K2292" t="s">
        <v>47</v>
      </c>
    </row>
    <row r="2293" spans="2:11" x14ac:dyDescent="0.25">
      <c r="B2293" s="2">
        <v>32</v>
      </c>
      <c r="C2293" s="4">
        <v>1722.1310000000001</v>
      </c>
      <c r="D2293" s="4">
        <v>1742.452</v>
      </c>
      <c r="E2293" s="79">
        <v>0</v>
      </c>
      <c r="F2293" s="79">
        <f>SUM(BASE_DATOS[[#This Row],[Capital($)]:[Interés
Resarcitorio($)]])</f>
        <v>3464.5830000000001</v>
      </c>
      <c r="G2293" s="8">
        <v>44942</v>
      </c>
      <c r="H2293" s="80" t="s">
        <v>52</v>
      </c>
      <c r="I2293" s="79" t="s">
        <v>9</v>
      </c>
      <c r="J2293" s="81">
        <v>120</v>
      </c>
      <c r="K2293" t="s">
        <v>47</v>
      </c>
    </row>
    <row r="2294" spans="2:11" x14ac:dyDescent="0.25">
      <c r="B2294" s="2">
        <f>+B2293</f>
        <v>32</v>
      </c>
      <c r="C2294" s="4">
        <v>1722.1310000000001</v>
      </c>
      <c r="D2294" s="4">
        <v>1742.452</v>
      </c>
      <c r="E2294" s="79">
        <v>682.52</v>
      </c>
      <c r="F2294" s="79">
        <f>SUM(BASE_DATOS[[#This Row],[Capital($)]:[Interés
Resarcitorio($)]])</f>
        <v>4147.1030000000001</v>
      </c>
      <c r="G2294" s="8">
        <v>44952</v>
      </c>
      <c r="H2294" s="80" t="s">
        <v>52</v>
      </c>
      <c r="I2294" s="79" t="s">
        <v>7</v>
      </c>
      <c r="J2294" s="81">
        <v>120</v>
      </c>
      <c r="K2294" t="s">
        <v>47</v>
      </c>
    </row>
    <row r="2295" spans="2:11" x14ac:dyDescent="0.25">
      <c r="B2295" s="2">
        <v>33</v>
      </c>
      <c r="C2295" s="4">
        <v>1722.1310000000001</v>
      </c>
      <c r="D2295" s="4">
        <v>1841.4749999999999</v>
      </c>
      <c r="E2295" s="79">
        <v>0</v>
      </c>
      <c r="F2295" s="79">
        <f>SUM(BASE_DATOS[[#This Row],[Capital($)]:[Interés
Resarcitorio($)]])</f>
        <v>3563.6059999999998</v>
      </c>
      <c r="G2295" s="8">
        <v>44973</v>
      </c>
      <c r="H2295" s="80" t="s">
        <v>52</v>
      </c>
      <c r="I2295" s="79" t="s">
        <v>9</v>
      </c>
      <c r="J2295" s="81">
        <v>120</v>
      </c>
      <c r="K2295" t="s">
        <v>47</v>
      </c>
    </row>
    <row r="2296" spans="2:11" x14ac:dyDescent="0.25">
      <c r="B2296" s="2">
        <f>+B2295</f>
        <v>33</v>
      </c>
      <c r="C2296" s="4">
        <v>1722.1310000000001</v>
      </c>
      <c r="D2296" s="4">
        <v>1841.4749999999999</v>
      </c>
      <c r="E2296" s="79">
        <v>702.03</v>
      </c>
      <c r="F2296" s="79">
        <f>SUM(BASE_DATOS[[#This Row],[Capital($)]:[Interés
Resarcitorio($)]])</f>
        <v>4265.6359999999995</v>
      </c>
      <c r="G2296" s="8">
        <v>44983</v>
      </c>
      <c r="H2296" s="80" t="s">
        <v>52</v>
      </c>
      <c r="I2296" s="79" t="s">
        <v>7</v>
      </c>
      <c r="J2296" s="81">
        <v>120</v>
      </c>
      <c r="K2296" t="s">
        <v>47</v>
      </c>
    </row>
    <row r="2297" spans="2:11" x14ac:dyDescent="0.25">
      <c r="B2297" s="2">
        <v>34</v>
      </c>
      <c r="C2297" s="4">
        <v>1722.1310000000001</v>
      </c>
      <c r="D2297" s="4">
        <v>1940.4970000000001</v>
      </c>
      <c r="E2297" s="79">
        <v>0</v>
      </c>
      <c r="F2297" s="79">
        <f>SUM(BASE_DATOS[[#This Row],[Capital($)]:[Interés
Resarcitorio($)]])</f>
        <v>3662.6280000000002</v>
      </c>
      <c r="G2297" s="8">
        <v>45001</v>
      </c>
      <c r="H2297" s="80" t="s">
        <v>52</v>
      </c>
      <c r="I2297" s="79" t="s">
        <v>9</v>
      </c>
      <c r="J2297" s="81">
        <v>120</v>
      </c>
      <c r="K2297" t="s">
        <v>47</v>
      </c>
    </row>
    <row r="2298" spans="2:11" x14ac:dyDescent="0.25">
      <c r="B2298" s="2">
        <f>+B2297</f>
        <v>34</v>
      </c>
      <c r="C2298" s="4">
        <v>1722.1310000000001</v>
      </c>
      <c r="D2298" s="4">
        <v>1940.4970000000001</v>
      </c>
      <c r="E2298" s="79">
        <v>721.54</v>
      </c>
      <c r="F2298" s="79">
        <f>SUM(BASE_DATOS[[#This Row],[Capital($)]:[Interés
Resarcitorio($)]])</f>
        <v>4384.1679999999997</v>
      </c>
      <c r="G2298" s="8">
        <v>45011</v>
      </c>
      <c r="H2298" s="80" t="s">
        <v>52</v>
      </c>
      <c r="I2298" s="79" t="s">
        <v>7</v>
      </c>
      <c r="J2298" s="81">
        <v>120</v>
      </c>
      <c r="K2298" t="s">
        <v>47</v>
      </c>
    </row>
    <row r="2299" spans="2:11" x14ac:dyDescent="0.25">
      <c r="B2299" s="2">
        <v>35</v>
      </c>
      <c r="C2299" s="4">
        <v>1722.1310000000001</v>
      </c>
      <c r="D2299" s="4">
        <v>2039.52</v>
      </c>
      <c r="E2299" s="79">
        <v>0</v>
      </c>
      <c r="F2299" s="79">
        <f>SUM(BASE_DATOS[[#This Row],[Capital($)]:[Interés
Resarcitorio($)]])</f>
        <v>3761.6509999999998</v>
      </c>
      <c r="G2299" s="8">
        <v>45032</v>
      </c>
      <c r="H2299" s="80" t="s">
        <v>52</v>
      </c>
      <c r="I2299" s="79" t="s">
        <v>9</v>
      </c>
      <c r="J2299" s="81">
        <v>120</v>
      </c>
      <c r="K2299" t="s">
        <v>47</v>
      </c>
    </row>
    <row r="2300" spans="2:11" x14ac:dyDescent="0.25">
      <c r="B2300" s="2">
        <f>+B2299</f>
        <v>35</v>
      </c>
      <c r="C2300" s="4">
        <v>1722.1310000000001</v>
      </c>
      <c r="D2300" s="4">
        <v>2039.52</v>
      </c>
      <c r="E2300" s="79">
        <v>741.05</v>
      </c>
      <c r="F2300" s="79">
        <f>SUM(BASE_DATOS[[#This Row],[Capital($)]:[Interés
Resarcitorio($)]])</f>
        <v>4502.701</v>
      </c>
      <c r="G2300" s="8">
        <v>45042</v>
      </c>
      <c r="H2300" s="80" t="s">
        <v>52</v>
      </c>
      <c r="I2300" s="79" t="s">
        <v>7</v>
      </c>
      <c r="J2300" s="81">
        <v>120</v>
      </c>
      <c r="K2300" t="s">
        <v>47</v>
      </c>
    </row>
    <row r="2301" spans="2:11" x14ac:dyDescent="0.25">
      <c r="B2301" s="2">
        <v>36</v>
      </c>
      <c r="C2301" s="4">
        <v>1722.1310000000001</v>
      </c>
      <c r="D2301" s="4">
        <v>2138.5419999999999</v>
      </c>
      <c r="E2301" s="79">
        <v>0</v>
      </c>
      <c r="F2301" s="79">
        <f>SUM(BASE_DATOS[[#This Row],[Capital($)]:[Interés
Resarcitorio($)]])</f>
        <v>3860.6729999999998</v>
      </c>
      <c r="G2301" s="8">
        <v>45062</v>
      </c>
      <c r="H2301" s="80" t="s">
        <v>52</v>
      </c>
      <c r="I2301" s="79" t="s">
        <v>9</v>
      </c>
      <c r="J2301" s="81">
        <v>120</v>
      </c>
      <c r="K2301" t="s">
        <v>47</v>
      </c>
    </row>
    <row r="2302" spans="2:11" x14ac:dyDescent="0.25">
      <c r="B2302" s="2">
        <f>+B2301</f>
        <v>36</v>
      </c>
      <c r="C2302" s="4">
        <v>1722.1310000000001</v>
      </c>
      <c r="D2302" s="4">
        <v>2138.5419999999999</v>
      </c>
      <c r="E2302" s="79">
        <v>760.55</v>
      </c>
      <c r="F2302" s="79">
        <f>SUM(BASE_DATOS[[#This Row],[Capital($)]:[Interés
Resarcitorio($)]])</f>
        <v>4621.223</v>
      </c>
      <c r="G2302" s="8">
        <v>45072</v>
      </c>
      <c r="H2302" s="80" t="s">
        <v>52</v>
      </c>
      <c r="I2302" s="79" t="s">
        <v>7</v>
      </c>
      <c r="J2302" s="81">
        <v>120</v>
      </c>
      <c r="K2302" t="s">
        <v>47</v>
      </c>
    </row>
    <row r="2303" spans="2:11" x14ac:dyDescent="0.25">
      <c r="B2303" s="2">
        <v>37</v>
      </c>
      <c r="C2303" s="4">
        <v>1722.1310000000001</v>
      </c>
      <c r="D2303" s="4">
        <v>2237.5650000000001</v>
      </c>
      <c r="E2303" s="79">
        <v>0</v>
      </c>
      <c r="F2303" s="79">
        <f>SUM(BASE_DATOS[[#This Row],[Capital($)]:[Interés
Resarcitorio($)]])</f>
        <v>3959.6959999999999</v>
      </c>
      <c r="G2303" s="8">
        <v>45093</v>
      </c>
      <c r="H2303" s="80" t="s">
        <v>52</v>
      </c>
      <c r="I2303" s="79" t="s">
        <v>9</v>
      </c>
      <c r="J2303" s="81">
        <v>120</v>
      </c>
      <c r="K2303" t="s">
        <v>47</v>
      </c>
    </row>
    <row r="2304" spans="2:11" x14ac:dyDescent="0.25">
      <c r="B2304" s="2">
        <f>+B2303</f>
        <v>37</v>
      </c>
      <c r="C2304" s="4">
        <v>1722.1310000000001</v>
      </c>
      <c r="D2304" s="4">
        <v>2237.5650000000001</v>
      </c>
      <c r="E2304" s="79">
        <v>780.06</v>
      </c>
      <c r="F2304" s="79">
        <f>SUM(BASE_DATOS[[#This Row],[Capital($)]:[Interés
Resarcitorio($)]])</f>
        <v>4739.7559999999994</v>
      </c>
      <c r="G2304" s="8">
        <v>45103</v>
      </c>
      <c r="H2304" s="80" t="s">
        <v>52</v>
      </c>
      <c r="I2304" s="79" t="s">
        <v>7</v>
      </c>
      <c r="J2304" s="81">
        <v>120</v>
      </c>
      <c r="K2304" t="s">
        <v>47</v>
      </c>
    </row>
    <row r="2305" spans="2:11" x14ac:dyDescent="0.25">
      <c r="B2305" s="2">
        <v>38</v>
      </c>
      <c r="C2305" s="4">
        <v>1722.1310000000001</v>
      </c>
      <c r="D2305" s="4">
        <v>2336.587</v>
      </c>
      <c r="E2305" s="79">
        <v>0</v>
      </c>
      <c r="F2305" s="79">
        <f>SUM(BASE_DATOS[[#This Row],[Capital($)]:[Interés
Resarcitorio($)]])</f>
        <v>4058.7179999999998</v>
      </c>
      <c r="G2305" s="8">
        <v>45123</v>
      </c>
      <c r="H2305" s="80" t="s">
        <v>52</v>
      </c>
      <c r="I2305" s="79" t="s">
        <v>9</v>
      </c>
      <c r="J2305" s="81">
        <v>120</v>
      </c>
      <c r="K2305" t="s">
        <v>47</v>
      </c>
    </row>
    <row r="2306" spans="2:11" x14ac:dyDescent="0.25">
      <c r="B2306" s="2">
        <f>+B2305</f>
        <v>38</v>
      </c>
      <c r="C2306" s="4">
        <v>1722.1310000000001</v>
      </c>
      <c r="D2306" s="4">
        <v>2336.587</v>
      </c>
      <c r="E2306" s="79">
        <v>799.57</v>
      </c>
      <c r="F2306" s="79">
        <f>SUM(BASE_DATOS[[#This Row],[Capital($)]:[Interés
Resarcitorio($)]])</f>
        <v>4858.2879999999996</v>
      </c>
      <c r="G2306" s="8">
        <v>45133</v>
      </c>
      <c r="H2306" s="80" t="s">
        <v>52</v>
      </c>
      <c r="I2306" s="79" t="s">
        <v>7</v>
      </c>
      <c r="J2306" s="81">
        <v>120</v>
      </c>
      <c r="K2306" t="s">
        <v>47</v>
      </c>
    </row>
    <row r="2307" spans="2:11" x14ac:dyDescent="0.25">
      <c r="B2307" s="2">
        <v>39</v>
      </c>
      <c r="C2307" s="4">
        <v>1722.1310000000001</v>
      </c>
      <c r="D2307" s="4">
        <v>2467.4690000000001</v>
      </c>
      <c r="E2307" s="79">
        <v>0</v>
      </c>
      <c r="F2307" s="79">
        <f>SUM(BASE_DATOS[[#This Row],[Capital($)]:[Interés
Resarcitorio($)]])</f>
        <v>4189.6000000000004</v>
      </c>
      <c r="G2307" s="8">
        <v>45154</v>
      </c>
      <c r="H2307" s="80" t="s">
        <v>52</v>
      </c>
      <c r="I2307" s="79" t="s">
        <v>9</v>
      </c>
      <c r="J2307" s="81">
        <v>120</v>
      </c>
      <c r="K2307" t="s">
        <v>47</v>
      </c>
    </row>
    <row r="2308" spans="2:11" x14ac:dyDescent="0.25">
      <c r="B2308" s="2">
        <f>+B2307</f>
        <v>39</v>
      </c>
      <c r="C2308" s="4">
        <v>1722.1310000000001</v>
      </c>
      <c r="D2308" s="4">
        <v>2467.4690000000001</v>
      </c>
      <c r="E2308" s="79">
        <v>825.35</v>
      </c>
      <c r="F2308" s="79">
        <f>SUM(BASE_DATOS[[#This Row],[Capital($)]:[Interés
Resarcitorio($)]])</f>
        <v>5014.9500000000007</v>
      </c>
      <c r="G2308" s="8">
        <v>45164</v>
      </c>
      <c r="H2308" s="80" t="s">
        <v>52</v>
      </c>
      <c r="I2308" s="79" t="s">
        <v>7</v>
      </c>
      <c r="J2308" s="81">
        <v>120</v>
      </c>
      <c r="K2308" t="s">
        <v>47</v>
      </c>
    </row>
    <row r="2309" spans="2:11" x14ac:dyDescent="0.25">
      <c r="B2309" s="2">
        <v>40</v>
      </c>
      <c r="C2309" s="4">
        <v>1722.1310000000001</v>
      </c>
      <c r="D2309" s="4">
        <v>2598.3509999999997</v>
      </c>
      <c r="E2309" s="79">
        <v>0</v>
      </c>
      <c r="F2309" s="79">
        <f>SUM(BASE_DATOS[[#This Row],[Capital($)]:[Interés
Resarcitorio($)]])</f>
        <v>4320.482</v>
      </c>
      <c r="G2309" s="8">
        <v>45185</v>
      </c>
      <c r="H2309" s="80" t="s">
        <v>52</v>
      </c>
      <c r="I2309" s="79" t="s">
        <v>9</v>
      </c>
      <c r="J2309" s="81">
        <v>120</v>
      </c>
      <c r="K2309" t="s">
        <v>47</v>
      </c>
    </row>
    <row r="2310" spans="2:11" x14ac:dyDescent="0.25">
      <c r="B2310" s="2">
        <f>+B2309</f>
        <v>40</v>
      </c>
      <c r="C2310" s="4">
        <v>1722.1310000000001</v>
      </c>
      <c r="D2310" s="4">
        <v>2598.3509999999997</v>
      </c>
      <c r="E2310" s="79">
        <v>851.13</v>
      </c>
      <c r="F2310" s="79">
        <f>SUM(BASE_DATOS[[#This Row],[Capital($)]:[Interés
Resarcitorio($)]])</f>
        <v>5171.6120000000001</v>
      </c>
      <c r="G2310" s="8">
        <v>45195</v>
      </c>
      <c r="H2310" s="80" t="s">
        <v>52</v>
      </c>
      <c r="I2310" s="79" t="s">
        <v>7</v>
      </c>
      <c r="J2310" s="81">
        <v>120</v>
      </c>
      <c r="K2310" t="s">
        <v>47</v>
      </c>
    </row>
    <row r="2311" spans="2:11" x14ac:dyDescent="0.25">
      <c r="B2311" s="2">
        <v>41</v>
      </c>
      <c r="C2311" s="4">
        <v>1722.1310000000001</v>
      </c>
      <c r="D2311" s="4">
        <v>2729.2330000000002</v>
      </c>
      <c r="E2311" s="79">
        <v>0</v>
      </c>
      <c r="F2311" s="79">
        <f>SUM(BASE_DATOS[[#This Row],[Capital($)]:[Interés
Resarcitorio($)]])</f>
        <v>4451.3640000000005</v>
      </c>
      <c r="G2311" s="8">
        <v>45215</v>
      </c>
      <c r="H2311" s="80" t="s">
        <v>52</v>
      </c>
      <c r="I2311" s="79" t="s">
        <v>9</v>
      </c>
      <c r="J2311" s="81">
        <v>120</v>
      </c>
      <c r="K2311" t="s">
        <v>47</v>
      </c>
    </row>
    <row r="2312" spans="2:11" x14ac:dyDescent="0.25">
      <c r="B2312" s="2">
        <f>+B2311</f>
        <v>41</v>
      </c>
      <c r="C2312" s="4">
        <v>1722.1310000000001</v>
      </c>
      <c r="D2312" s="4">
        <v>2729.2330000000002</v>
      </c>
      <c r="E2312" s="79">
        <v>876.92</v>
      </c>
      <c r="F2312" s="79">
        <f>SUM(BASE_DATOS[[#This Row],[Capital($)]:[Interés
Resarcitorio($)]])</f>
        <v>5328.2840000000006</v>
      </c>
      <c r="G2312" s="8">
        <v>45225</v>
      </c>
      <c r="H2312" s="80" t="s">
        <v>52</v>
      </c>
      <c r="I2312" s="79" t="s">
        <v>7</v>
      </c>
      <c r="J2312" s="81">
        <v>120</v>
      </c>
      <c r="K2312" t="s">
        <v>47</v>
      </c>
    </row>
    <row r="2313" spans="2:11" x14ac:dyDescent="0.25">
      <c r="B2313" s="2">
        <v>42</v>
      </c>
      <c r="C2313" s="4">
        <v>1722.1310000000001</v>
      </c>
      <c r="D2313" s="4">
        <v>2860.1150000000002</v>
      </c>
      <c r="E2313" s="79">
        <v>0</v>
      </c>
      <c r="F2313" s="79">
        <f>SUM(BASE_DATOS[[#This Row],[Capital($)]:[Interés
Resarcitorio($)]])</f>
        <v>4582.2460000000001</v>
      </c>
      <c r="G2313" s="8">
        <v>45246</v>
      </c>
      <c r="H2313" s="80" t="s">
        <v>52</v>
      </c>
      <c r="I2313" s="79" t="s">
        <v>9</v>
      </c>
      <c r="J2313" s="81">
        <v>120</v>
      </c>
      <c r="K2313" t="s">
        <v>47</v>
      </c>
    </row>
    <row r="2314" spans="2:11" x14ac:dyDescent="0.25">
      <c r="B2314" s="2">
        <f>+B2313</f>
        <v>42</v>
      </c>
      <c r="C2314" s="4">
        <v>1722.1310000000001</v>
      </c>
      <c r="D2314" s="4">
        <v>2860.1150000000002</v>
      </c>
      <c r="E2314" s="79">
        <v>902.7</v>
      </c>
      <c r="F2314" s="79">
        <f>SUM(BASE_DATOS[[#This Row],[Capital($)]:[Interés
Resarcitorio($)]])</f>
        <v>5484.9459999999999</v>
      </c>
      <c r="G2314" s="8">
        <v>45256</v>
      </c>
      <c r="H2314" s="80" t="s">
        <v>52</v>
      </c>
      <c r="I2314" s="79" t="s">
        <v>7</v>
      </c>
      <c r="J2314" s="81">
        <v>120</v>
      </c>
      <c r="K2314" t="s">
        <v>47</v>
      </c>
    </row>
    <row r="2315" spans="2:11" ht="4.5" customHeight="1" x14ac:dyDescent="0.25">
      <c r="B2315" s="2">
        <v>43</v>
      </c>
      <c r="C2315" s="4">
        <v>1722.1310000000001</v>
      </c>
      <c r="D2315" s="4">
        <v>2990.9970000000003</v>
      </c>
      <c r="E2315" s="79">
        <v>0</v>
      </c>
      <c r="F2315" s="79">
        <f>SUM(BASE_DATOS[[#This Row],[Capital($)]:[Interés
Resarcitorio($)]])</f>
        <v>4713.1280000000006</v>
      </c>
      <c r="G2315" s="8">
        <v>45276</v>
      </c>
      <c r="H2315" s="80" t="s">
        <v>52</v>
      </c>
      <c r="I2315" s="79" t="s">
        <v>9</v>
      </c>
      <c r="J2315" s="81">
        <v>120</v>
      </c>
      <c r="K2315" t="s">
        <v>47</v>
      </c>
    </row>
    <row r="2316" spans="2:11" x14ac:dyDescent="0.25">
      <c r="B2316" s="2">
        <f>+B2315</f>
        <v>43</v>
      </c>
      <c r="C2316" s="4">
        <v>1722.1310000000001</v>
      </c>
      <c r="D2316" s="4">
        <v>2990.9970000000003</v>
      </c>
      <c r="E2316" s="79">
        <v>928.49</v>
      </c>
      <c r="F2316" s="79">
        <f>SUM(BASE_DATOS[[#This Row],[Capital($)]:[Interés
Resarcitorio($)]])</f>
        <v>5641.6180000000004</v>
      </c>
      <c r="G2316" s="8">
        <v>45286</v>
      </c>
      <c r="H2316" s="80" t="s">
        <v>52</v>
      </c>
      <c r="I2316" s="79" t="s">
        <v>7</v>
      </c>
      <c r="J2316" s="81">
        <v>120</v>
      </c>
      <c r="K2316" t="s">
        <v>47</v>
      </c>
    </row>
    <row r="2317" spans="2:11" x14ac:dyDescent="0.25">
      <c r="B2317" s="2">
        <v>44</v>
      </c>
      <c r="C2317" s="4">
        <v>1722.1310000000001</v>
      </c>
      <c r="D2317" s="4">
        <v>3121.8789999999999</v>
      </c>
      <c r="E2317" s="79">
        <v>0</v>
      </c>
      <c r="F2317" s="79">
        <f>SUM(BASE_DATOS[[#This Row],[Capital($)]:[Interés
Resarcitorio($)]])</f>
        <v>4844.01</v>
      </c>
      <c r="G2317" s="8">
        <v>45307</v>
      </c>
      <c r="H2317" s="80" t="s">
        <v>52</v>
      </c>
      <c r="I2317" s="79" t="s">
        <v>9</v>
      </c>
      <c r="J2317" s="81">
        <v>120</v>
      </c>
      <c r="K2317" t="s">
        <v>47</v>
      </c>
    </row>
    <row r="2318" spans="2:11" x14ac:dyDescent="0.25">
      <c r="B2318" s="2">
        <f>+B2317</f>
        <v>44</v>
      </c>
      <c r="C2318" s="4">
        <v>1722.1310000000001</v>
      </c>
      <c r="D2318" s="4">
        <v>3121.8789999999999</v>
      </c>
      <c r="E2318" s="79">
        <v>954.27</v>
      </c>
      <c r="F2318" s="79">
        <f>SUM(BASE_DATOS[[#This Row],[Capital($)]:[Interés
Resarcitorio($)]])</f>
        <v>5798.2800000000007</v>
      </c>
      <c r="G2318" s="8">
        <v>45317</v>
      </c>
      <c r="H2318" s="80" t="s">
        <v>52</v>
      </c>
      <c r="I2318" s="79" t="s">
        <v>7</v>
      </c>
      <c r="J2318" s="81">
        <v>120</v>
      </c>
      <c r="K2318" t="s">
        <v>47</v>
      </c>
    </row>
    <row r="2319" spans="2:11" x14ac:dyDescent="0.25">
      <c r="B2319" s="2">
        <v>45</v>
      </c>
      <c r="C2319" s="4">
        <v>1722.1310000000001</v>
      </c>
      <c r="D2319" s="4">
        <v>3279.2820000000002</v>
      </c>
      <c r="E2319" s="79">
        <v>0</v>
      </c>
      <c r="F2319" s="79">
        <f>SUM(BASE_DATOS[[#This Row],[Capital($)]:[Interés
Resarcitorio($)]])</f>
        <v>5001.4130000000005</v>
      </c>
      <c r="G2319" s="8">
        <v>45338</v>
      </c>
      <c r="H2319" s="80" t="s">
        <v>52</v>
      </c>
      <c r="I2319" s="79" t="s">
        <v>9</v>
      </c>
      <c r="J2319" s="81">
        <v>120</v>
      </c>
      <c r="K2319" t="s">
        <v>47</v>
      </c>
    </row>
    <row r="2320" spans="2:11" x14ac:dyDescent="0.25">
      <c r="B2320" s="2">
        <f>+B2319</f>
        <v>45</v>
      </c>
      <c r="C2320" s="4">
        <v>1722.1310000000001</v>
      </c>
      <c r="D2320" s="4">
        <v>3279.2820000000002</v>
      </c>
      <c r="E2320" s="79">
        <v>2545.7199999999998</v>
      </c>
      <c r="F2320" s="79">
        <f>SUM(BASE_DATOS[[#This Row],[Capital($)]:[Interés
Resarcitorio($)]])</f>
        <v>7547.1329999999998</v>
      </c>
      <c r="G2320" s="8">
        <v>45348</v>
      </c>
      <c r="H2320" s="80" t="s">
        <v>52</v>
      </c>
      <c r="I2320" s="79" t="s">
        <v>7</v>
      </c>
      <c r="J2320" s="81">
        <v>120</v>
      </c>
      <c r="K2320" t="s">
        <v>47</v>
      </c>
    </row>
    <row r="2321" spans="2:11" x14ac:dyDescent="0.25">
      <c r="B2321" s="2">
        <v>46</v>
      </c>
      <c r="C2321" s="4">
        <v>1722.1310000000001</v>
      </c>
      <c r="D2321" s="4">
        <v>3436.6849999999999</v>
      </c>
      <c r="E2321" s="79">
        <v>0</v>
      </c>
      <c r="F2321" s="79">
        <f>SUM(BASE_DATOS[[#This Row],[Capital($)]:[Interés
Resarcitorio($)]])</f>
        <v>5158.8159999999998</v>
      </c>
      <c r="G2321" s="8">
        <v>45367</v>
      </c>
      <c r="H2321" s="80" t="s">
        <v>52</v>
      </c>
      <c r="I2321" s="79" t="s">
        <v>9</v>
      </c>
      <c r="J2321" s="81">
        <v>120</v>
      </c>
      <c r="K2321" t="s">
        <v>47</v>
      </c>
    </row>
    <row r="2322" spans="2:11" x14ac:dyDescent="0.25">
      <c r="B2322" s="2">
        <f>+B2321</f>
        <v>46</v>
      </c>
      <c r="C2322" s="4">
        <v>1722.1310000000001</v>
      </c>
      <c r="D2322" s="4">
        <v>3436.6849999999999</v>
      </c>
      <c r="E2322" s="79">
        <v>2625.84</v>
      </c>
      <c r="F2322" s="79">
        <f>SUM(BASE_DATOS[[#This Row],[Capital($)]:[Interés
Resarcitorio($)]])</f>
        <v>7784.6559999999999</v>
      </c>
      <c r="G2322" s="8">
        <v>45377</v>
      </c>
      <c r="H2322" s="80" t="s">
        <v>52</v>
      </c>
      <c r="I2322" s="79" t="s">
        <v>7</v>
      </c>
      <c r="J2322" s="81">
        <v>120</v>
      </c>
      <c r="K2322" t="s">
        <v>47</v>
      </c>
    </row>
    <row r="2323" spans="2:11" x14ac:dyDescent="0.25">
      <c r="B2323" s="2">
        <v>47</v>
      </c>
      <c r="C2323" s="4">
        <v>1722.1310000000001</v>
      </c>
      <c r="D2323" s="4">
        <v>3594.0870000000004</v>
      </c>
      <c r="E2323" s="79">
        <v>0</v>
      </c>
      <c r="F2323" s="79">
        <f>SUM(BASE_DATOS[[#This Row],[Capital($)]:[Interés
Resarcitorio($)]])</f>
        <v>5316.2180000000008</v>
      </c>
      <c r="G2323" s="8">
        <v>45398</v>
      </c>
      <c r="H2323" s="80" t="s">
        <v>52</v>
      </c>
      <c r="I2323" s="79" t="s">
        <v>9</v>
      </c>
      <c r="J2323" s="81">
        <v>120</v>
      </c>
      <c r="K2323" t="s">
        <v>47</v>
      </c>
    </row>
    <row r="2324" spans="2:11" x14ac:dyDescent="0.25">
      <c r="B2324" s="2">
        <f>+B2323</f>
        <v>47</v>
      </c>
      <c r="C2324" s="4">
        <v>1722.1310000000001</v>
      </c>
      <c r="D2324" s="4">
        <v>3594.0870000000004</v>
      </c>
      <c r="E2324" s="79">
        <v>2138.89</v>
      </c>
      <c r="F2324" s="79">
        <f>SUM(BASE_DATOS[[#This Row],[Capital($)]:[Interés
Resarcitorio($)]])</f>
        <v>7455.1080000000002</v>
      </c>
      <c r="G2324" s="8">
        <v>45408</v>
      </c>
      <c r="H2324" s="80" t="s">
        <v>52</v>
      </c>
      <c r="I2324" s="79" t="s">
        <v>7</v>
      </c>
      <c r="J2324" s="81">
        <v>120</v>
      </c>
      <c r="K2324" t="s">
        <v>47</v>
      </c>
    </row>
    <row r="2325" spans="2:11" x14ac:dyDescent="0.25">
      <c r="B2325" s="2">
        <v>48</v>
      </c>
      <c r="C2325" s="4">
        <v>1722.1310000000001</v>
      </c>
      <c r="D2325" s="4">
        <v>3751.4900000000002</v>
      </c>
      <c r="E2325" s="79">
        <v>0</v>
      </c>
      <c r="F2325" s="79">
        <f>SUM(BASE_DATOS[[#This Row],[Capital($)]:[Interés
Resarcitorio($)]])</f>
        <v>5473.6210000000001</v>
      </c>
      <c r="G2325" s="8">
        <v>45428</v>
      </c>
      <c r="H2325" s="80" t="s">
        <v>52</v>
      </c>
      <c r="I2325" s="79" t="s">
        <v>9</v>
      </c>
      <c r="J2325" s="81">
        <v>120</v>
      </c>
      <c r="K2325" t="s">
        <v>47</v>
      </c>
    </row>
    <row r="2326" spans="2:11" x14ac:dyDescent="0.25">
      <c r="B2326" s="2">
        <f>+B2325</f>
        <v>48</v>
      </c>
      <c r="C2326" s="4">
        <v>1722.1310000000001</v>
      </c>
      <c r="D2326" s="4">
        <v>3751.4900000000002</v>
      </c>
      <c r="E2326" s="79">
        <v>2202.2199999999998</v>
      </c>
      <c r="F2326" s="79">
        <f>SUM(BASE_DATOS[[#This Row],[Capital($)]:[Interés
Resarcitorio($)]])</f>
        <v>7675.8410000000003</v>
      </c>
      <c r="G2326" s="8">
        <v>45438</v>
      </c>
      <c r="H2326" s="80" t="s">
        <v>52</v>
      </c>
      <c r="I2326" s="79" t="s">
        <v>7</v>
      </c>
      <c r="J2326" s="81">
        <v>120</v>
      </c>
      <c r="K2326" t="s">
        <v>47</v>
      </c>
    </row>
    <row r="2327" spans="2:11" x14ac:dyDescent="0.25">
      <c r="B2327" s="2">
        <v>49</v>
      </c>
      <c r="C2327" s="4">
        <v>1722.1310000000001</v>
      </c>
      <c r="D2327" s="4">
        <v>3908.893</v>
      </c>
      <c r="E2327" s="79">
        <v>0</v>
      </c>
      <c r="F2327" s="79">
        <f>SUM(BASE_DATOS[[#This Row],[Capital($)]:[Interés
Resarcitorio($)]])</f>
        <v>5631.0240000000003</v>
      </c>
      <c r="G2327" s="8">
        <v>45459</v>
      </c>
      <c r="H2327" s="80" t="s">
        <v>52</v>
      </c>
      <c r="I2327" s="79" t="s">
        <v>9</v>
      </c>
      <c r="J2327" s="81">
        <v>120</v>
      </c>
      <c r="K2327" t="s">
        <v>47</v>
      </c>
    </row>
    <row r="2328" spans="2:11" x14ac:dyDescent="0.25">
      <c r="B2328" s="2">
        <f>+B2327</f>
        <v>49</v>
      </c>
      <c r="C2328" s="4">
        <v>1722.1310000000001</v>
      </c>
      <c r="D2328" s="4">
        <v>3908.893</v>
      </c>
      <c r="E2328" s="79">
        <v>1203.1600000000001</v>
      </c>
      <c r="F2328" s="79">
        <f>SUM(BASE_DATOS[[#This Row],[Capital($)]:[Interés
Resarcitorio($)]])</f>
        <v>6834.1840000000002</v>
      </c>
      <c r="G2328" s="8">
        <v>45469</v>
      </c>
      <c r="H2328" s="80" t="s">
        <v>52</v>
      </c>
      <c r="I2328" s="79" t="s">
        <v>7</v>
      </c>
      <c r="J2328" s="81">
        <v>120</v>
      </c>
      <c r="K2328" t="s">
        <v>47</v>
      </c>
    </row>
    <row r="2329" spans="2:11" x14ac:dyDescent="0.25">
      <c r="B2329" s="2">
        <v>50</v>
      </c>
      <c r="C2329" s="4">
        <v>1722.1310000000001</v>
      </c>
      <c r="D2329" s="4">
        <v>4066.2959999999998</v>
      </c>
      <c r="E2329" s="79">
        <v>0</v>
      </c>
      <c r="F2329" s="79">
        <f>SUM(BASE_DATOS[[#This Row],[Capital($)]:[Interés
Resarcitorio($)]])</f>
        <v>5788.4269999999997</v>
      </c>
      <c r="G2329" s="8">
        <v>45489</v>
      </c>
      <c r="H2329" s="80" t="s">
        <v>52</v>
      </c>
      <c r="I2329" s="79" t="s">
        <v>9</v>
      </c>
      <c r="J2329" s="81">
        <v>120</v>
      </c>
      <c r="K2329" t="s">
        <v>47</v>
      </c>
    </row>
    <row r="2330" spans="2:11" x14ac:dyDescent="0.25">
      <c r="B2330" s="2">
        <f>+B2329</f>
        <v>50</v>
      </c>
      <c r="C2330" s="4">
        <v>1722.1310000000001</v>
      </c>
      <c r="D2330" s="4">
        <v>4066.2959999999998</v>
      </c>
      <c r="E2330" s="79">
        <v>1236.79</v>
      </c>
      <c r="F2330" s="79">
        <f>SUM(BASE_DATOS[[#This Row],[Capital($)]:[Interés
Resarcitorio($)]])</f>
        <v>7025.2169999999996</v>
      </c>
      <c r="G2330" s="8">
        <v>45499</v>
      </c>
      <c r="H2330" s="80" t="s">
        <v>52</v>
      </c>
      <c r="I2330" s="79" t="s">
        <v>7</v>
      </c>
      <c r="J2330" s="81">
        <v>120</v>
      </c>
      <c r="K2330" t="s">
        <v>47</v>
      </c>
    </row>
    <row r="2331" spans="2:11" x14ac:dyDescent="0.25">
      <c r="B2331" s="2">
        <v>51</v>
      </c>
      <c r="C2331" s="4">
        <v>1722.1310000000001</v>
      </c>
      <c r="D2331" s="4">
        <v>2882.6750000000002</v>
      </c>
      <c r="E2331" s="79">
        <v>0</v>
      </c>
      <c r="F2331" s="79">
        <f>SUM(BASE_DATOS[[#This Row],[Capital($)]:[Interés
Resarcitorio($)]])</f>
        <v>4604.8060000000005</v>
      </c>
      <c r="G2331" s="8">
        <v>45520</v>
      </c>
      <c r="H2331" s="80" t="s">
        <v>52</v>
      </c>
      <c r="I2331" s="79" t="s">
        <v>9</v>
      </c>
      <c r="J2331" s="81">
        <v>120</v>
      </c>
      <c r="K2331" t="s">
        <v>47</v>
      </c>
    </row>
    <row r="2332" spans="2:11" x14ac:dyDescent="0.25">
      <c r="B2332" s="2">
        <f>+B2331</f>
        <v>51</v>
      </c>
      <c r="C2332" s="4">
        <v>1722.1310000000001</v>
      </c>
      <c r="D2332" s="4">
        <v>2882.6750000000002</v>
      </c>
      <c r="E2332" s="79">
        <v>983.89</v>
      </c>
      <c r="F2332" s="79">
        <f>SUM(BASE_DATOS[[#This Row],[Capital($)]:[Interés
Resarcitorio($)]])</f>
        <v>5588.6960000000008</v>
      </c>
      <c r="G2332" s="8">
        <v>45530</v>
      </c>
      <c r="H2332" s="80" t="s">
        <v>52</v>
      </c>
      <c r="I2332" s="79" t="s">
        <v>7</v>
      </c>
      <c r="J2332" s="81">
        <v>120</v>
      </c>
      <c r="K2332" t="s">
        <v>47</v>
      </c>
    </row>
    <row r="2333" spans="2:11" x14ac:dyDescent="0.25">
      <c r="B2333" s="2">
        <v>52</v>
      </c>
      <c r="C2333" s="4">
        <v>1722.1310000000001</v>
      </c>
      <c r="D2333" s="4">
        <v>2936.922</v>
      </c>
      <c r="E2333" s="79">
        <v>0</v>
      </c>
      <c r="F2333" s="79">
        <f>SUM(BASE_DATOS[[#This Row],[Capital($)]:[Interés
Resarcitorio($)]])</f>
        <v>4659.0529999999999</v>
      </c>
      <c r="G2333" s="8">
        <v>45551</v>
      </c>
      <c r="H2333" s="80" t="s">
        <v>52</v>
      </c>
      <c r="I2333" s="79" t="s">
        <v>9</v>
      </c>
      <c r="J2333" s="81">
        <v>120</v>
      </c>
      <c r="K2333" t="s">
        <v>47</v>
      </c>
    </row>
    <row r="2334" spans="2:11" x14ac:dyDescent="0.25">
      <c r="B2334" s="2">
        <f>+B2333</f>
        <v>52</v>
      </c>
      <c r="C2334" s="4">
        <v>1722.1310000000001</v>
      </c>
      <c r="D2334" s="4">
        <v>2936.922</v>
      </c>
      <c r="E2334" s="79">
        <v>995.48</v>
      </c>
      <c r="F2334" s="79">
        <f>SUM(BASE_DATOS[[#This Row],[Capital($)]:[Interés
Resarcitorio($)]])</f>
        <v>5654.5329999999994</v>
      </c>
      <c r="G2334" s="8">
        <v>45561</v>
      </c>
      <c r="H2334" s="80" t="s">
        <v>52</v>
      </c>
      <c r="I2334" s="79" t="s">
        <v>7</v>
      </c>
      <c r="J2334" s="81">
        <v>120</v>
      </c>
      <c r="K2334" t="s">
        <v>47</v>
      </c>
    </row>
    <row r="2335" spans="2:11" x14ac:dyDescent="0.25">
      <c r="B2335" s="2">
        <v>53</v>
      </c>
      <c r="C2335" s="4">
        <v>1722.1310000000001</v>
      </c>
      <c r="D2335" s="4">
        <v>2991.1689999999999</v>
      </c>
      <c r="E2335" s="79">
        <v>0</v>
      </c>
      <c r="F2335" s="79">
        <f>SUM(BASE_DATOS[[#This Row],[Capital($)]:[Interés
Resarcitorio($)]])</f>
        <v>4713.3</v>
      </c>
      <c r="G2335" s="8">
        <v>45581</v>
      </c>
      <c r="H2335" s="80" t="s">
        <v>52</v>
      </c>
      <c r="I2335" s="79" t="s">
        <v>9</v>
      </c>
      <c r="J2335" s="81">
        <v>120</v>
      </c>
      <c r="K2335" t="s">
        <v>47</v>
      </c>
    </row>
    <row r="2336" spans="2:11" x14ac:dyDescent="0.25">
      <c r="B2336" s="2">
        <f>+B2335</f>
        <v>53</v>
      </c>
      <c r="C2336" s="4">
        <v>1722.1310000000001</v>
      </c>
      <c r="D2336" s="4">
        <v>2991.1689999999999</v>
      </c>
      <c r="E2336" s="79">
        <v>1007.08</v>
      </c>
      <c r="F2336" s="79">
        <f>SUM(BASE_DATOS[[#This Row],[Capital($)]:[Interés
Resarcitorio($)]])</f>
        <v>5720.38</v>
      </c>
      <c r="G2336" s="8">
        <v>45591</v>
      </c>
      <c r="H2336" s="80" t="s">
        <v>52</v>
      </c>
      <c r="I2336" s="79" t="s">
        <v>7</v>
      </c>
      <c r="J2336" s="81">
        <v>120</v>
      </c>
      <c r="K2336" t="s">
        <v>47</v>
      </c>
    </row>
    <row r="2337" spans="2:11" x14ac:dyDescent="0.25">
      <c r="B2337" s="2">
        <v>54</v>
      </c>
      <c r="C2337" s="4">
        <v>1722.1310000000001</v>
      </c>
      <c r="D2337" s="4">
        <v>3045.4160000000002</v>
      </c>
      <c r="E2337" s="79">
        <v>0</v>
      </c>
      <c r="F2337" s="79">
        <f>SUM(BASE_DATOS[[#This Row],[Capital($)]:[Interés
Resarcitorio($)]])</f>
        <v>4767.5470000000005</v>
      </c>
      <c r="G2337" s="8">
        <v>45612</v>
      </c>
      <c r="H2337" s="80" t="s">
        <v>52</v>
      </c>
      <c r="I2337" s="79" t="s">
        <v>9</v>
      </c>
      <c r="J2337" s="81">
        <v>120</v>
      </c>
      <c r="K2337" t="s">
        <v>47</v>
      </c>
    </row>
    <row r="2338" spans="2:11" x14ac:dyDescent="0.25">
      <c r="B2338" s="2">
        <f>+B2337</f>
        <v>54</v>
      </c>
      <c r="C2338" s="4">
        <v>1722.1310000000001</v>
      </c>
      <c r="D2338" s="4">
        <v>3045.4160000000002</v>
      </c>
      <c r="E2338" s="79">
        <v>1018.67</v>
      </c>
      <c r="F2338" s="79">
        <f>SUM(BASE_DATOS[[#This Row],[Capital($)]:[Interés
Resarcitorio($)]])</f>
        <v>5786.2170000000006</v>
      </c>
      <c r="G2338" s="8">
        <v>45622</v>
      </c>
      <c r="H2338" s="80" t="s">
        <v>52</v>
      </c>
      <c r="I2338" s="79" t="s">
        <v>7</v>
      </c>
      <c r="J2338" s="81">
        <v>120</v>
      </c>
      <c r="K2338" t="s">
        <v>47</v>
      </c>
    </row>
    <row r="2339" spans="2:11" x14ac:dyDescent="0.25">
      <c r="B2339" s="2">
        <v>55</v>
      </c>
      <c r="C2339" s="4">
        <v>1722.1310000000001</v>
      </c>
      <c r="D2339" s="4">
        <v>3099.6639999999998</v>
      </c>
      <c r="E2339" s="79">
        <v>0</v>
      </c>
      <c r="F2339" s="79">
        <f>SUM(BASE_DATOS[[#This Row],[Capital($)]:[Interés
Resarcitorio($)]])</f>
        <v>4821.7950000000001</v>
      </c>
      <c r="G2339" s="8">
        <v>45642</v>
      </c>
      <c r="H2339" s="80" t="s">
        <v>52</v>
      </c>
      <c r="I2339" s="79" t="s">
        <v>9</v>
      </c>
      <c r="J2339" s="81">
        <v>120</v>
      </c>
      <c r="K2339" t="s">
        <v>47</v>
      </c>
    </row>
    <row r="2340" spans="2:11" x14ac:dyDescent="0.25">
      <c r="B2340" s="2">
        <f>+B2339</f>
        <v>55</v>
      </c>
      <c r="C2340" s="4">
        <v>1722.1310000000001</v>
      </c>
      <c r="D2340" s="4">
        <v>3099.6639999999998</v>
      </c>
      <c r="E2340" s="79">
        <v>1200.6300000000001</v>
      </c>
      <c r="F2340" s="79">
        <f>SUM(BASE_DATOS[[#This Row],[Capital($)]:[Interés
Resarcitorio($)]])</f>
        <v>6022.4250000000002</v>
      </c>
      <c r="G2340" s="8">
        <v>45652</v>
      </c>
      <c r="H2340" s="80" t="s">
        <v>52</v>
      </c>
      <c r="I2340" s="79" t="s">
        <v>7</v>
      </c>
      <c r="J2340" s="81">
        <v>120</v>
      </c>
      <c r="K2340" t="s">
        <v>47</v>
      </c>
    </row>
    <row r="2341" spans="2:11" x14ac:dyDescent="0.25">
      <c r="B2341" s="2">
        <v>56</v>
      </c>
      <c r="C2341" s="4">
        <v>1722.1310000000001</v>
      </c>
      <c r="D2341" s="4">
        <v>3153.9110000000001</v>
      </c>
      <c r="E2341" s="79">
        <v>0</v>
      </c>
      <c r="F2341" s="79">
        <f>SUM(BASE_DATOS[[#This Row],[Capital($)]:[Interés
Resarcitorio($)]])</f>
        <v>4876.0420000000004</v>
      </c>
      <c r="G2341" s="8">
        <v>45673</v>
      </c>
      <c r="H2341" s="80" t="s">
        <v>52</v>
      </c>
      <c r="I2341" s="79" t="s">
        <v>9</v>
      </c>
      <c r="J2341" s="81">
        <v>120</v>
      </c>
      <c r="K2341" t="s">
        <v>47</v>
      </c>
    </row>
    <row r="2342" spans="2:11" x14ac:dyDescent="0.25">
      <c r="B2342" s="2">
        <f>+B2341</f>
        <v>56</v>
      </c>
      <c r="C2342" s="4">
        <v>1722.1310000000001</v>
      </c>
      <c r="D2342" s="4">
        <v>3153.9110000000001</v>
      </c>
      <c r="E2342" s="79">
        <v>1214.1300000000001</v>
      </c>
      <c r="F2342" s="79">
        <f>SUM(BASE_DATOS[[#This Row],[Capital($)]:[Interés
Resarcitorio($)]])</f>
        <v>6090.1720000000005</v>
      </c>
      <c r="G2342" s="8">
        <v>45683</v>
      </c>
      <c r="H2342" s="80" t="s">
        <v>52</v>
      </c>
      <c r="I2342" s="79" t="s">
        <v>7</v>
      </c>
      <c r="J2342" s="81">
        <v>120</v>
      </c>
      <c r="K2342" t="s">
        <v>47</v>
      </c>
    </row>
    <row r="2343" spans="2:11" x14ac:dyDescent="0.25">
      <c r="B2343" s="2">
        <v>57</v>
      </c>
      <c r="C2343" s="4">
        <v>1722.1310000000001</v>
      </c>
      <c r="D2343" s="4">
        <v>3198.1689999999999</v>
      </c>
      <c r="E2343" s="79">
        <v>0</v>
      </c>
      <c r="F2343" s="79">
        <f>SUM(BASE_DATOS[[#This Row],[Capital($)]:[Interés
Resarcitorio($)]])</f>
        <v>4920.3</v>
      </c>
      <c r="G2343" s="8">
        <v>45704</v>
      </c>
      <c r="H2343" s="80" t="s">
        <v>52</v>
      </c>
      <c r="I2343" s="79" t="s">
        <v>9</v>
      </c>
      <c r="J2343" s="81">
        <v>120</v>
      </c>
      <c r="K2343" t="s">
        <v>47</v>
      </c>
    </row>
    <row r="2344" spans="2:11" x14ac:dyDescent="0.25">
      <c r="B2344" s="2">
        <f>+B2343</f>
        <v>57</v>
      </c>
      <c r="C2344" s="4">
        <v>1722.1310000000001</v>
      </c>
      <c r="D2344" s="4">
        <v>3198.1689999999999</v>
      </c>
      <c r="E2344" s="79">
        <v>1190.71</v>
      </c>
      <c r="F2344" s="79">
        <f>SUM(BASE_DATOS[[#This Row],[Capital($)]:[Interés
Resarcitorio($)]])</f>
        <v>6111.01</v>
      </c>
      <c r="G2344" s="8">
        <v>45714</v>
      </c>
      <c r="H2344" s="80" t="s">
        <v>52</v>
      </c>
      <c r="I2344" s="79" t="s">
        <v>7</v>
      </c>
      <c r="J2344" s="81">
        <v>120</v>
      </c>
      <c r="K2344" t="s">
        <v>47</v>
      </c>
    </row>
    <row r="2345" spans="2:11" x14ac:dyDescent="0.25">
      <c r="B2345" s="2">
        <v>58</v>
      </c>
      <c r="C2345" s="4">
        <v>1722.1310000000001</v>
      </c>
      <c r="D2345" s="4">
        <v>3242.4279999999999</v>
      </c>
      <c r="E2345" s="79">
        <v>0</v>
      </c>
      <c r="F2345" s="79">
        <f>SUM(BASE_DATOS[[#This Row],[Capital($)]:[Interés
Resarcitorio($)]])</f>
        <v>4964.5590000000002</v>
      </c>
      <c r="G2345" s="8">
        <v>45732</v>
      </c>
      <c r="H2345" s="80" t="s">
        <v>52</v>
      </c>
      <c r="I2345" s="79" t="s">
        <v>9</v>
      </c>
      <c r="J2345" s="81">
        <v>120</v>
      </c>
      <c r="K2345" t="s">
        <v>47</v>
      </c>
    </row>
    <row r="2346" spans="2:11" x14ac:dyDescent="0.25">
      <c r="B2346" s="2">
        <f>+B2345</f>
        <v>58</v>
      </c>
      <c r="C2346" s="4">
        <v>1722.1310000000001</v>
      </c>
      <c r="D2346" s="4">
        <v>3242.4279999999999</v>
      </c>
      <c r="E2346" s="79">
        <v>661.94</v>
      </c>
      <c r="F2346" s="79">
        <f>SUM(BASE_DATOS[[#This Row],[Capital($)]:[Interés
Resarcitorio($)]])</f>
        <v>5626.4989999999998</v>
      </c>
      <c r="G2346" s="8">
        <v>45742</v>
      </c>
      <c r="H2346" s="80" t="s">
        <v>52</v>
      </c>
      <c r="I2346" s="79" t="s">
        <v>7</v>
      </c>
      <c r="J2346" s="81">
        <v>120</v>
      </c>
      <c r="K2346" t="s">
        <v>47</v>
      </c>
    </row>
    <row r="2347" spans="2:11" x14ac:dyDescent="0.25">
      <c r="B2347" s="2">
        <v>59</v>
      </c>
      <c r="C2347" s="4">
        <v>1722.1310000000001</v>
      </c>
      <c r="D2347" s="4">
        <v>3286.6870000000004</v>
      </c>
      <c r="E2347" s="79">
        <v>0</v>
      </c>
      <c r="F2347" s="79">
        <f>SUM(BASE_DATOS[[#This Row],[Capital($)]:[Interés
Resarcitorio($)]])</f>
        <v>5008.8180000000002</v>
      </c>
      <c r="G2347" s="8">
        <v>45763</v>
      </c>
      <c r="H2347" s="80" t="s">
        <v>52</v>
      </c>
      <c r="I2347" s="79" t="s">
        <v>9</v>
      </c>
      <c r="J2347" s="81">
        <v>120</v>
      </c>
      <c r="K2347" t="s">
        <v>47</v>
      </c>
    </row>
    <row r="2348" spans="2:11" x14ac:dyDescent="0.25">
      <c r="B2348" s="2">
        <f>+B2347</f>
        <v>59</v>
      </c>
      <c r="C2348" s="4">
        <v>1722.1310000000001</v>
      </c>
      <c r="D2348" s="4">
        <v>3286.6870000000004</v>
      </c>
      <c r="E2348" s="79">
        <v>667.84</v>
      </c>
      <c r="F2348" s="79">
        <f>SUM(BASE_DATOS[[#This Row],[Capital($)]:[Interés
Resarcitorio($)]])</f>
        <v>5676.6580000000004</v>
      </c>
      <c r="G2348" s="8">
        <v>45773</v>
      </c>
      <c r="H2348" s="80" t="s">
        <v>52</v>
      </c>
      <c r="I2348" s="79" t="s">
        <v>7</v>
      </c>
      <c r="J2348" s="81">
        <v>120</v>
      </c>
      <c r="K2348" t="s">
        <v>47</v>
      </c>
    </row>
    <row r="2349" spans="2:11" x14ac:dyDescent="0.25">
      <c r="B2349" s="2">
        <v>60</v>
      </c>
      <c r="C2349" s="4">
        <v>1722.1310000000001</v>
      </c>
      <c r="D2349" s="4">
        <v>3330.9459999999999</v>
      </c>
      <c r="E2349" s="79">
        <v>0</v>
      </c>
      <c r="F2349" s="79">
        <f>SUM(BASE_DATOS[[#This Row],[Capital($)]:[Interés
Resarcitorio($)]])</f>
        <v>5053.0770000000002</v>
      </c>
      <c r="G2349" s="8">
        <v>45793</v>
      </c>
      <c r="H2349" s="80" t="s">
        <v>52</v>
      </c>
      <c r="I2349" s="79" t="s">
        <v>9</v>
      </c>
      <c r="J2349" s="81">
        <v>120</v>
      </c>
      <c r="K2349" t="s">
        <v>47</v>
      </c>
    </row>
    <row r="2350" spans="2:11" x14ac:dyDescent="0.25">
      <c r="B2350" s="2">
        <f>+B2349</f>
        <v>60</v>
      </c>
      <c r="C2350" s="4">
        <v>1722.1310000000001</v>
      </c>
      <c r="D2350" s="4">
        <v>3330.9459999999999</v>
      </c>
      <c r="E2350" s="79">
        <v>673.74</v>
      </c>
      <c r="F2350" s="79">
        <f>SUM(BASE_DATOS[[#This Row],[Capital($)]:[Interés
Resarcitorio($)]])</f>
        <v>5726.817</v>
      </c>
      <c r="G2350" s="8">
        <v>45803</v>
      </c>
      <c r="H2350" s="80" t="s">
        <v>52</v>
      </c>
      <c r="I2350" s="79" t="s">
        <v>7</v>
      </c>
      <c r="J2350" s="81">
        <v>120</v>
      </c>
      <c r="K2350" t="s">
        <v>47</v>
      </c>
    </row>
    <row r="2351" spans="2:11" x14ac:dyDescent="0.25">
      <c r="B2351" s="2">
        <v>61</v>
      </c>
      <c r="C2351" s="4">
        <v>1722.1310000000001</v>
      </c>
      <c r="D2351" s="4">
        <v>3375.2050000000004</v>
      </c>
      <c r="E2351" s="79">
        <v>0</v>
      </c>
      <c r="F2351" s="79">
        <f>SUM(BASE_DATOS[[#This Row],[Capital($)]:[Interés
Resarcitorio($)]])</f>
        <v>5097.3360000000002</v>
      </c>
      <c r="G2351" s="8">
        <v>45824</v>
      </c>
      <c r="H2351" s="80" t="s">
        <v>52</v>
      </c>
      <c r="I2351" s="79" t="s">
        <v>9</v>
      </c>
      <c r="J2351" s="81">
        <v>120</v>
      </c>
      <c r="K2351" t="s">
        <v>47</v>
      </c>
    </row>
    <row r="2352" spans="2:11" x14ac:dyDescent="0.25">
      <c r="B2352" s="2">
        <f>+B2351</f>
        <v>61</v>
      </c>
      <c r="C2352" s="4">
        <v>1722.1310000000001</v>
      </c>
      <c r="D2352" s="4">
        <v>3375.2050000000004</v>
      </c>
      <c r="E2352" s="79">
        <v>679.64</v>
      </c>
      <c r="F2352" s="79">
        <f>SUM(BASE_DATOS[[#This Row],[Capital($)]:[Interés
Resarcitorio($)]])</f>
        <v>5776.9760000000006</v>
      </c>
      <c r="G2352" s="8">
        <v>45834</v>
      </c>
      <c r="H2352" s="80" t="s">
        <v>52</v>
      </c>
      <c r="I2352" s="79" t="s">
        <v>7</v>
      </c>
      <c r="J2352" s="81">
        <v>120</v>
      </c>
      <c r="K2352" t="s">
        <v>47</v>
      </c>
    </row>
    <row r="2353" spans="2:11" x14ac:dyDescent="0.25">
      <c r="B2353" s="2">
        <v>62</v>
      </c>
      <c r="C2353" s="4">
        <v>1722.1310000000001</v>
      </c>
      <c r="D2353" s="4">
        <v>3419.4629999999997</v>
      </c>
      <c r="E2353" s="79">
        <v>0</v>
      </c>
      <c r="F2353" s="79">
        <f>SUM(BASE_DATOS[[#This Row],[Capital($)]:[Interés
Resarcitorio($)]])</f>
        <v>5141.5940000000001</v>
      </c>
      <c r="G2353" s="8">
        <v>45854</v>
      </c>
      <c r="H2353" s="80" t="s">
        <v>52</v>
      </c>
      <c r="I2353" s="79" t="s">
        <v>6</v>
      </c>
      <c r="J2353" s="81">
        <v>120</v>
      </c>
      <c r="K2353" t="s">
        <v>47</v>
      </c>
    </row>
    <row r="2354" spans="2:11" x14ac:dyDescent="0.25">
      <c r="B2354" s="2">
        <f>+B2353</f>
        <v>62</v>
      </c>
      <c r="C2354" s="4">
        <v>1722.1310000000001</v>
      </c>
      <c r="D2354" s="4">
        <v>3419.4629999999997</v>
      </c>
      <c r="E2354" s="79">
        <v>685.55</v>
      </c>
      <c r="F2354" s="79">
        <f>SUM(BASE_DATOS[[#This Row],[Capital($)]:[Interés
Resarcitorio($)]])</f>
        <v>5827.1440000000002</v>
      </c>
      <c r="G2354" s="8">
        <v>45864</v>
      </c>
      <c r="H2354" s="80" t="s">
        <v>52</v>
      </c>
      <c r="I2354" s="79" t="s">
        <v>7</v>
      </c>
      <c r="J2354" s="81">
        <v>120</v>
      </c>
      <c r="K2354" t="s">
        <v>47</v>
      </c>
    </row>
    <row r="2355" spans="2:11" x14ac:dyDescent="0.25">
      <c r="B2355" s="2">
        <v>63</v>
      </c>
      <c r="C2355" s="4">
        <v>1722.1310000000001</v>
      </c>
      <c r="D2355" s="4">
        <v>3463.7220000000002</v>
      </c>
      <c r="E2355" s="79">
        <v>0</v>
      </c>
      <c r="F2355" s="79">
        <f>SUM(BASE_DATOS[[#This Row],[Capital($)]:[Interés
Resarcitorio($)]])</f>
        <v>5185.8530000000001</v>
      </c>
      <c r="G2355" s="8">
        <v>45885</v>
      </c>
      <c r="H2355" s="80" t="s">
        <v>52</v>
      </c>
      <c r="I2355" s="79" t="s">
        <v>6</v>
      </c>
      <c r="J2355" s="81">
        <v>120</v>
      </c>
      <c r="K2355" t="s">
        <v>47</v>
      </c>
    </row>
    <row r="2356" spans="2:11" x14ac:dyDescent="0.25">
      <c r="B2356" s="2">
        <f>+B2355</f>
        <v>63</v>
      </c>
      <c r="C2356" s="4">
        <v>1722.1310000000001</v>
      </c>
      <c r="D2356" s="4">
        <v>3463.7220000000002</v>
      </c>
      <c r="E2356" s="79">
        <v>691.45</v>
      </c>
      <c r="F2356" s="79">
        <f>SUM(BASE_DATOS[[#This Row],[Capital($)]:[Interés
Resarcitorio($)]])</f>
        <v>5877.3029999999999</v>
      </c>
      <c r="G2356" s="8">
        <v>45895</v>
      </c>
      <c r="H2356" s="80" t="s">
        <v>52</v>
      </c>
      <c r="I2356" s="79" t="s">
        <v>7</v>
      </c>
      <c r="J2356" s="81">
        <v>120</v>
      </c>
      <c r="K2356" t="s">
        <v>47</v>
      </c>
    </row>
    <row r="2357" spans="2:11" x14ac:dyDescent="0.25">
      <c r="B2357" s="2">
        <v>64</v>
      </c>
      <c r="C2357" s="4">
        <v>1722.1310000000001</v>
      </c>
      <c r="D2357" s="4">
        <v>3507.9809999999998</v>
      </c>
      <c r="E2357" s="79">
        <v>0</v>
      </c>
      <c r="F2357" s="79">
        <f>SUM(BASE_DATOS[[#This Row],[Capital($)]:[Interés
Resarcitorio($)]])</f>
        <v>5230.1120000000001</v>
      </c>
      <c r="G2357" s="8">
        <v>45916</v>
      </c>
      <c r="H2357" s="80" t="s">
        <v>52</v>
      </c>
      <c r="I2357" s="79" t="s">
        <v>6</v>
      </c>
      <c r="J2357" s="81">
        <v>120</v>
      </c>
      <c r="K2357" t="s">
        <v>47</v>
      </c>
    </row>
    <row r="2358" spans="2:11" x14ac:dyDescent="0.25">
      <c r="B2358" s="2">
        <f>+B2357</f>
        <v>64</v>
      </c>
      <c r="C2358" s="4">
        <v>1722.1310000000001</v>
      </c>
      <c r="D2358" s="4">
        <v>3507.9809999999998</v>
      </c>
      <c r="E2358" s="79">
        <v>697.35</v>
      </c>
      <c r="F2358" s="79">
        <f>SUM(BASE_DATOS[[#This Row],[Capital($)]:[Interés
Resarcitorio($)]])</f>
        <v>5927.4620000000004</v>
      </c>
      <c r="G2358" s="8">
        <v>45926</v>
      </c>
      <c r="H2358" s="80" t="s">
        <v>52</v>
      </c>
      <c r="I2358" s="79" t="s">
        <v>7</v>
      </c>
      <c r="J2358" s="81">
        <v>120</v>
      </c>
      <c r="K2358" t="s">
        <v>47</v>
      </c>
    </row>
    <row r="2359" spans="2:11" x14ac:dyDescent="0.25">
      <c r="B2359" s="2">
        <v>65</v>
      </c>
      <c r="C2359" s="4">
        <v>1722.1310000000001</v>
      </c>
      <c r="D2359" s="4">
        <v>3552.2400000000002</v>
      </c>
      <c r="E2359" s="79">
        <v>0</v>
      </c>
      <c r="F2359" s="79">
        <f>SUM(BASE_DATOS[[#This Row],[Capital($)]:[Interés
Resarcitorio($)]])</f>
        <v>5274.3710000000001</v>
      </c>
      <c r="G2359" s="8">
        <v>45946</v>
      </c>
      <c r="H2359" s="80" t="s">
        <v>52</v>
      </c>
      <c r="I2359" s="79" t="s">
        <v>6</v>
      </c>
      <c r="J2359" s="81">
        <v>120</v>
      </c>
      <c r="K2359" t="s">
        <v>47</v>
      </c>
    </row>
    <row r="2360" spans="2:11" x14ac:dyDescent="0.25">
      <c r="B2360" s="2">
        <f>+B2359</f>
        <v>65</v>
      </c>
      <c r="C2360" s="4">
        <v>1722.1310000000001</v>
      </c>
      <c r="D2360" s="4">
        <v>3552.2400000000002</v>
      </c>
      <c r="E2360" s="79">
        <v>703.25</v>
      </c>
      <c r="F2360" s="79">
        <f>SUM(BASE_DATOS[[#This Row],[Capital($)]:[Interés
Resarcitorio($)]])</f>
        <v>5977.6210000000001</v>
      </c>
      <c r="G2360" s="8">
        <v>45956</v>
      </c>
      <c r="H2360" s="80" t="s">
        <v>52</v>
      </c>
      <c r="I2360" s="79" t="s">
        <v>7</v>
      </c>
      <c r="J2360" s="81">
        <v>120</v>
      </c>
      <c r="K2360" t="s">
        <v>47</v>
      </c>
    </row>
    <row r="2361" spans="2:11" x14ac:dyDescent="0.25">
      <c r="B2361" s="2">
        <v>66</v>
      </c>
      <c r="C2361" s="4">
        <v>1722.1310000000001</v>
      </c>
      <c r="D2361" s="4">
        <v>3596.4980000000005</v>
      </c>
      <c r="E2361" s="79">
        <v>0</v>
      </c>
      <c r="F2361" s="79">
        <f>SUM(BASE_DATOS[[#This Row],[Capital($)]:[Interés
Resarcitorio($)]])</f>
        <v>5318.6290000000008</v>
      </c>
      <c r="G2361" s="8">
        <v>45977</v>
      </c>
      <c r="H2361" s="80" t="s">
        <v>52</v>
      </c>
      <c r="I2361" s="79" t="s">
        <v>6</v>
      </c>
      <c r="J2361" s="81">
        <v>120</v>
      </c>
      <c r="K2361" t="s">
        <v>47</v>
      </c>
    </row>
    <row r="2362" spans="2:11" x14ac:dyDescent="0.25">
      <c r="B2362" s="2">
        <f>+B2361</f>
        <v>66</v>
      </c>
      <c r="C2362" s="4">
        <v>1722.1310000000001</v>
      </c>
      <c r="D2362" s="4">
        <v>3596.4980000000005</v>
      </c>
      <c r="E2362" s="79">
        <v>709.15</v>
      </c>
      <c r="F2362" s="79">
        <f>SUM(BASE_DATOS[[#This Row],[Capital($)]:[Interés
Resarcitorio($)]])</f>
        <v>6027.7790000000005</v>
      </c>
      <c r="G2362" s="8">
        <v>45987</v>
      </c>
      <c r="H2362" s="80" t="s">
        <v>52</v>
      </c>
      <c r="I2362" s="79" t="s">
        <v>7</v>
      </c>
      <c r="J2362" s="81">
        <v>120</v>
      </c>
      <c r="K2362" t="s">
        <v>47</v>
      </c>
    </row>
    <row r="2363" spans="2:11" x14ac:dyDescent="0.25">
      <c r="B2363" s="2">
        <v>67</v>
      </c>
      <c r="C2363" s="4">
        <v>1722.1310000000001</v>
      </c>
      <c r="D2363" s="4">
        <v>3640.7570000000001</v>
      </c>
      <c r="E2363" s="79">
        <v>0</v>
      </c>
      <c r="F2363" s="79">
        <f>SUM(BASE_DATOS[[#This Row],[Capital($)]:[Interés
Resarcitorio($)]])</f>
        <v>5362.8879999999999</v>
      </c>
      <c r="G2363" s="8">
        <v>46007</v>
      </c>
      <c r="H2363" s="80" t="s">
        <v>52</v>
      </c>
      <c r="I2363" s="79" t="s">
        <v>6</v>
      </c>
      <c r="J2363" s="81">
        <v>120</v>
      </c>
      <c r="K2363" t="s">
        <v>47</v>
      </c>
    </row>
    <row r="2364" spans="2:11" x14ac:dyDescent="0.25">
      <c r="B2364" s="2">
        <f>+B2363</f>
        <v>67</v>
      </c>
      <c r="C2364" s="4">
        <v>1722.1310000000001</v>
      </c>
      <c r="D2364" s="4">
        <v>3640.7570000000001</v>
      </c>
      <c r="E2364" s="79">
        <v>715.05</v>
      </c>
      <c r="F2364" s="79">
        <f>SUM(BASE_DATOS[[#This Row],[Capital($)]:[Interés
Resarcitorio($)]])</f>
        <v>6077.9380000000001</v>
      </c>
      <c r="G2364" s="8">
        <v>46017</v>
      </c>
      <c r="H2364" s="80" t="s">
        <v>52</v>
      </c>
      <c r="I2364" s="79" t="s">
        <v>7</v>
      </c>
      <c r="J2364" s="81">
        <v>120</v>
      </c>
      <c r="K2364" t="s">
        <v>47</v>
      </c>
    </row>
    <row r="2365" spans="2:11" x14ac:dyDescent="0.25">
      <c r="B2365" s="2">
        <v>68</v>
      </c>
      <c r="C2365" s="4">
        <v>1722.1310000000001</v>
      </c>
      <c r="D2365" s="4">
        <v>3685.0160000000005</v>
      </c>
      <c r="E2365" s="79">
        <v>0</v>
      </c>
      <c r="F2365" s="79">
        <f>SUM(BASE_DATOS[[#This Row],[Capital($)]:[Interés
Resarcitorio($)]])</f>
        <v>5407.1470000000008</v>
      </c>
      <c r="G2365" s="8">
        <v>46038</v>
      </c>
      <c r="H2365" s="80" t="s">
        <v>52</v>
      </c>
      <c r="I2365" s="79" t="s">
        <v>6</v>
      </c>
      <c r="J2365" s="81">
        <v>120</v>
      </c>
      <c r="K2365" t="s">
        <v>47</v>
      </c>
    </row>
    <row r="2366" spans="2:11" x14ac:dyDescent="0.25">
      <c r="B2366" s="2">
        <f>+B2365</f>
        <v>68</v>
      </c>
      <c r="C2366" s="4">
        <v>1722.1310000000001</v>
      </c>
      <c r="D2366" s="4">
        <v>3685.0160000000005</v>
      </c>
      <c r="E2366" s="79">
        <v>720.95</v>
      </c>
      <c r="F2366" s="79">
        <f>SUM(BASE_DATOS[[#This Row],[Capital($)]:[Interés
Resarcitorio($)]])</f>
        <v>6128.0970000000007</v>
      </c>
      <c r="G2366" s="8">
        <v>46048</v>
      </c>
      <c r="H2366" s="80" t="s">
        <v>52</v>
      </c>
      <c r="I2366" s="79" t="s">
        <v>7</v>
      </c>
      <c r="J2366" s="81">
        <v>120</v>
      </c>
      <c r="K2366" t="s">
        <v>47</v>
      </c>
    </row>
    <row r="2367" spans="2:11" x14ac:dyDescent="0.25">
      <c r="B2367" s="2">
        <v>69</v>
      </c>
      <c r="C2367" s="4">
        <v>1722.1310000000001</v>
      </c>
      <c r="D2367" s="4">
        <v>3729.2750000000001</v>
      </c>
      <c r="E2367" s="79">
        <v>0</v>
      </c>
      <c r="F2367" s="79">
        <f>SUM(BASE_DATOS[[#This Row],[Capital($)]:[Interés
Resarcitorio($)]])</f>
        <v>5451.4059999999999</v>
      </c>
      <c r="G2367" s="8">
        <v>46069</v>
      </c>
      <c r="H2367" s="80" t="s">
        <v>52</v>
      </c>
      <c r="I2367" s="79" t="s">
        <v>6</v>
      </c>
      <c r="J2367" s="81">
        <v>120</v>
      </c>
      <c r="K2367" t="s">
        <v>47</v>
      </c>
    </row>
    <row r="2368" spans="2:11" x14ac:dyDescent="0.25">
      <c r="B2368" s="2">
        <f>+B2367</f>
        <v>69</v>
      </c>
      <c r="C2368" s="4">
        <v>1722.1310000000001</v>
      </c>
      <c r="D2368" s="4">
        <v>3729.2750000000001</v>
      </c>
      <c r="E2368" s="79">
        <v>726.85</v>
      </c>
      <c r="F2368" s="79">
        <f>SUM(BASE_DATOS[[#This Row],[Capital($)]:[Interés
Resarcitorio($)]])</f>
        <v>6178.2560000000003</v>
      </c>
      <c r="G2368" s="8">
        <v>46079</v>
      </c>
      <c r="H2368" s="80" t="s">
        <v>52</v>
      </c>
      <c r="I2368" s="79" t="s">
        <v>7</v>
      </c>
      <c r="J2368" s="81">
        <v>120</v>
      </c>
      <c r="K2368" t="s">
        <v>47</v>
      </c>
    </row>
    <row r="2369" spans="2:11" x14ac:dyDescent="0.25">
      <c r="B2369" s="2">
        <v>70</v>
      </c>
      <c r="C2369" s="4">
        <v>1722.1310000000001</v>
      </c>
      <c r="D2369" s="4">
        <v>3773.5330000000004</v>
      </c>
      <c r="E2369" s="79">
        <v>0</v>
      </c>
      <c r="F2369" s="79">
        <f>SUM(BASE_DATOS[[#This Row],[Capital($)]:[Interés
Resarcitorio($)]])</f>
        <v>5495.6640000000007</v>
      </c>
      <c r="G2369" s="8">
        <v>46097</v>
      </c>
      <c r="H2369" s="80" t="s">
        <v>52</v>
      </c>
      <c r="I2369" s="79" t="s">
        <v>6</v>
      </c>
      <c r="J2369" s="81">
        <v>120</v>
      </c>
      <c r="K2369" t="s">
        <v>47</v>
      </c>
    </row>
    <row r="2370" spans="2:11" x14ac:dyDescent="0.25">
      <c r="B2370" s="2">
        <f>+B2369</f>
        <v>70</v>
      </c>
      <c r="C2370" s="4">
        <v>1722.1310000000001</v>
      </c>
      <c r="D2370" s="4">
        <v>3773.5330000000004</v>
      </c>
      <c r="E2370" s="79">
        <v>732.76</v>
      </c>
      <c r="F2370" s="79">
        <f>SUM(BASE_DATOS[[#This Row],[Capital($)]:[Interés
Resarcitorio($)]])</f>
        <v>6228.4240000000009</v>
      </c>
      <c r="G2370" s="8">
        <v>46107</v>
      </c>
      <c r="H2370" s="80" t="s">
        <v>52</v>
      </c>
      <c r="I2370" s="79" t="s">
        <v>7</v>
      </c>
      <c r="J2370" s="81">
        <v>120</v>
      </c>
      <c r="K2370" t="s">
        <v>47</v>
      </c>
    </row>
    <row r="2371" spans="2:11" x14ac:dyDescent="0.25">
      <c r="B2371" s="2">
        <v>71</v>
      </c>
      <c r="C2371" s="4">
        <v>1722.1310000000001</v>
      </c>
      <c r="D2371" s="4">
        <v>3817.7919999999999</v>
      </c>
      <c r="E2371" s="79">
        <v>0</v>
      </c>
      <c r="F2371" s="79">
        <f>SUM(BASE_DATOS[[#This Row],[Capital($)]:[Interés
Resarcitorio($)]])</f>
        <v>5539.9229999999998</v>
      </c>
      <c r="G2371" s="8">
        <v>46128</v>
      </c>
      <c r="H2371" s="80" t="s">
        <v>52</v>
      </c>
      <c r="I2371" s="79" t="s">
        <v>6</v>
      </c>
      <c r="J2371" s="81">
        <v>120</v>
      </c>
      <c r="K2371" t="s">
        <v>47</v>
      </c>
    </row>
    <row r="2372" spans="2:11" x14ac:dyDescent="0.25">
      <c r="B2372" s="2">
        <f>+B2371</f>
        <v>71</v>
      </c>
      <c r="C2372" s="4">
        <v>1722.1310000000001</v>
      </c>
      <c r="D2372" s="4">
        <v>3817.7919999999999</v>
      </c>
      <c r="E2372" s="79">
        <v>738.66</v>
      </c>
      <c r="F2372" s="79">
        <f>SUM(BASE_DATOS[[#This Row],[Capital($)]:[Interés
Resarcitorio($)]])</f>
        <v>6278.5829999999996</v>
      </c>
      <c r="G2372" s="8">
        <v>46138</v>
      </c>
      <c r="H2372" s="80" t="s">
        <v>52</v>
      </c>
      <c r="I2372" s="79" t="s">
        <v>7</v>
      </c>
      <c r="J2372" s="81">
        <v>120</v>
      </c>
      <c r="K2372" t="s">
        <v>47</v>
      </c>
    </row>
    <row r="2373" spans="2:11" x14ac:dyDescent="0.25">
      <c r="B2373" s="2">
        <v>72</v>
      </c>
      <c r="C2373" s="4">
        <v>1722.1310000000001</v>
      </c>
      <c r="D2373" s="4">
        <v>3862.0510000000004</v>
      </c>
      <c r="E2373" s="79">
        <v>0</v>
      </c>
      <c r="F2373" s="79">
        <f>SUM(BASE_DATOS[[#This Row],[Capital($)]:[Interés
Resarcitorio($)]])</f>
        <v>5584.1820000000007</v>
      </c>
      <c r="G2373" s="8">
        <v>46158</v>
      </c>
      <c r="H2373" s="80" t="s">
        <v>52</v>
      </c>
      <c r="I2373" s="79" t="s">
        <v>6</v>
      </c>
      <c r="J2373" s="81">
        <v>120</v>
      </c>
      <c r="K2373" t="s">
        <v>47</v>
      </c>
    </row>
    <row r="2374" spans="2:11" x14ac:dyDescent="0.25">
      <c r="B2374" s="2">
        <f>+B2373</f>
        <v>72</v>
      </c>
      <c r="C2374" s="4">
        <v>1722.1310000000001</v>
      </c>
      <c r="D2374" s="4">
        <v>3862.0510000000004</v>
      </c>
      <c r="E2374" s="79">
        <v>744.56</v>
      </c>
      <c r="F2374" s="79">
        <f>SUM(BASE_DATOS[[#This Row],[Capital($)]:[Interés
Resarcitorio($)]])</f>
        <v>6328.7420000000002</v>
      </c>
      <c r="G2374" s="8">
        <v>46168</v>
      </c>
      <c r="H2374" s="80" t="s">
        <v>52</v>
      </c>
      <c r="I2374" s="79" t="s">
        <v>7</v>
      </c>
      <c r="J2374" s="81">
        <v>120</v>
      </c>
      <c r="K2374" t="s">
        <v>47</v>
      </c>
    </row>
    <row r="2375" spans="2:11" x14ac:dyDescent="0.25">
      <c r="B2375" s="2">
        <v>73</v>
      </c>
      <c r="C2375" s="4">
        <v>1722.1310000000001</v>
      </c>
      <c r="D2375" s="4">
        <v>3906.31</v>
      </c>
      <c r="E2375" s="79">
        <v>0</v>
      </c>
      <c r="F2375" s="79">
        <f>SUM(BASE_DATOS[[#This Row],[Capital($)]:[Interés
Resarcitorio($)]])</f>
        <v>5628.4409999999998</v>
      </c>
      <c r="G2375" s="8">
        <v>46189</v>
      </c>
      <c r="H2375" s="80" t="s">
        <v>52</v>
      </c>
      <c r="I2375" s="79" t="s">
        <v>6</v>
      </c>
      <c r="J2375" s="81">
        <v>120</v>
      </c>
      <c r="K2375" t="s">
        <v>47</v>
      </c>
    </row>
    <row r="2376" spans="2:11" x14ac:dyDescent="0.25">
      <c r="B2376" s="2">
        <f>+B2375</f>
        <v>73</v>
      </c>
      <c r="C2376" s="4">
        <v>1722.1310000000001</v>
      </c>
      <c r="D2376" s="4">
        <v>3906.31</v>
      </c>
      <c r="E2376" s="79">
        <v>750.46</v>
      </c>
      <c r="F2376" s="79">
        <f>SUM(BASE_DATOS[[#This Row],[Capital($)]:[Interés
Resarcitorio($)]])</f>
        <v>6378.9009999999998</v>
      </c>
      <c r="G2376" s="8">
        <v>46199</v>
      </c>
      <c r="H2376" s="80" t="s">
        <v>52</v>
      </c>
      <c r="I2376" s="79" t="s">
        <v>7</v>
      </c>
      <c r="J2376" s="81">
        <v>120</v>
      </c>
      <c r="K2376" t="s">
        <v>47</v>
      </c>
    </row>
    <row r="2377" spans="2:11" x14ac:dyDescent="0.25">
      <c r="B2377" s="2">
        <v>74</v>
      </c>
      <c r="C2377" s="4">
        <v>1722.1310000000001</v>
      </c>
      <c r="D2377" s="4">
        <v>3950.5690000000004</v>
      </c>
      <c r="E2377" s="79">
        <v>0</v>
      </c>
      <c r="F2377" s="79">
        <f>SUM(BASE_DATOS[[#This Row],[Capital($)]:[Interés
Resarcitorio($)]])</f>
        <v>5672.7000000000007</v>
      </c>
      <c r="G2377" s="8">
        <v>46219</v>
      </c>
      <c r="H2377" s="80" t="s">
        <v>52</v>
      </c>
      <c r="I2377" s="79" t="s">
        <v>6</v>
      </c>
      <c r="J2377" s="81">
        <v>120</v>
      </c>
      <c r="K2377" t="s">
        <v>47</v>
      </c>
    </row>
    <row r="2378" spans="2:11" x14ac:dyDescent="0.25">
      <c r="B2378" s="2">
        <f>+B2377</f>
        <v>74</v>
      </c>
      <c r="C2378" s="4">
        <v>1722.1310000000001</v>
      </c>
      <c r="D2378" s="4">
        <v>3950.5690000000004</v>
      </c>
      <c r="E2378" s="79">
        <v>756.36</v>
      </c>
      <c r="F2378" s="79">
        <f>SUM(BASE_DATOS[[#This Row],[Capital($)]:[Interés
Resarcitorio($)]])</f>
        <v>6429.06</v>
      </c>
      <c r="G2378" s="8">
        <v>46229</v>
      </c>
      <c r="H2378" s="80" t="s">
        <v>52</v>
      </c>
      <c r="I2378" s="79" t="s">
        <v>7</v>
      </c>
      <c r="J2378" s="81">
        <v>120</v>
      </c>
      <c r="K2378" t="s">
        <v>47</v>
      </c>
    </row>
    <row r="2379" spans="2:11" x14ac:dyDescent="0.25">
      <c r="B2379" s="2">
        <v>75</v>
      </c>
      <c r="C2379" s="4">
        <v>1722.1310000000001</v>
      </c>
      <c r="D2379" s="4">
        <v>3994.8269999999998</v>
      </c>
      <c r="E2379" s="79">
        <v>0</v>
      </c>
      <c r="F2379" s="79">
        <f>SUM(BASE_DATOS[[#This Row],[Capital($)]:[Interés
Resarcitorio($)]])</f>
        <v>5716.9579999999996</v>
      </c>
      <c r="G2379" s="8">
        <v>46250</v>
      </c>
      <c r="H2379" s="80" t="s">
        <v>52</v>
      </c>
      <c r="I2379" s="79" t="s">
        <v>6</v>
      </c>
      <c r="J2379" s="81">
        <v>120</v>
      </c>
      <c r="K2379" t="s">
        <v>47</v>
      </c>
    </row>
    <row r="2380" spans="2:11" x14ac:dyDescent="0.25">
      <c r="B2380" s="2">
        <f>+B2379</f>
        <v>75</v>
      </c>
      <c r="C2380" s="4">
        <v>1722.1310000000001</v>
      </c>
      <c r="D2380" s="4">
        <v>3994.8269999999998</v>
      </c>
      <c r="E2380" s="79">
        <v>762.26</v>
      </c>
      <c r="F2380" s="79">
        <f>SUM(BASE_DATOS[[#This Row],[Capital($)]:[Interés
Resarcitorio($)]])</f>
        <v>6479.2179999999998</v>
      </c>
      <c r="G2380" s="8">
        <v>46260</v>
      </c>
      <c r="H2380" s="80" t="s">
        <v>52</v>
      </c>
      <c r="I2380" s="79" t="s">
        <v>7</v>
      </c>
      <c r="J2380" s="81">
        <v>120</v>
      </c>
      <c r="K2380" t="s">
        <v>47</v>
      </c>
    </row>
    <row r="2381" spans="2:11" x14ac:dyDescent="0.25">
      <c r="B2381" s="2">
        <v>76</v>
      </c>
      <c r="C2381" s="4">
        <v>1722.1310000000001</v>
      </c>
      <c r="D2381" s="4">
        <v>4039.0860000000002</v>
      </c>
      <c r="E2381" s="79">
        <v>0</v>
      </c>
      <c r="F2381" s="79">
        <f>SUM(BASE_DATOS[[#This Row],[Capital($)]:[Interés
Resarcitorio($)]])</f>
        <v>5761.2170000000006</v>
      </c>
      <c r="G2381" s="8">
        <v>46281</v>
      </c>
      <c r="H2381" s="80" t="s">
        <v>52</v>
      </c>
      <c r="I2381" s="79" t="s">
        <v>6</v>
      </c>
      <c r="J2381" s="81">
        <v>120</v>
      </c>
      <c r="K2381" t="s">
        <v>47</v>
      </c>
    </row>
    <row r="2382" spans="2:11" x14ac:dyDescent="0.25">
      <c r="B2382" s="2">
        <f>+B2381</f>
        <v>76</v>
      </c>
      <c r="C2382" s="4">
        <v>1722.1310000000001</v>
      </c>
      <c r="D2382" s="4">
        <v>4039.0860000000002</v>
      </c>
      <c r="E2382" s="79">
        <v>768.16</v>
      </c>
      <c r="F2382" s="79">
        <f>SUM(BASE_DATOS[[#This Row],[Capital($)]:[Interés
Resarcitorio($)]])</f>
        <v>6529.3770000000004</v>
      </c>
      <c r="G2382" s="8">
        <v>46291</v>
      </c>
      <c r="H2382" s="80" t="s">
        <v>52</v>
      </c>
      <c r="I2382" s="79" t="s">
        <v>7</v>
      </c>
      <c r="J2382" s="81">
        <v>120</v>
      </c>
      <c r="K2382" t="s">
        <v>47</v>
      </c>
    </row>
    <row r="2383" spans="2:11" x14ac:dyDescent="0.25">
      <c r="B2383" s="2">
        <v>77</v>
      </c>
      <c r="C2383" s="4">
        <v>1722.1310000000001</v>
      </c>
      <c r="D2383" s="4">
        <v>4083.3449999999998</v>
      </c>
      <c r="E2383" s="79">
        <v>0</v>
      </c>
      <c r="F2383" s="79">
        <f>SUM(BASE_DATOS[[#This Row],[Capital($)]:[Interés
Resarcitorio($)]])</f>
        <v>5805.4759999999997</v>
      </c>
      <c r="G2383" s="8">
        <v>46311</v>
      </c>
      <c r="H2383" s="80" t="s">
        <v>52</v>
      </c>
      <c r="I2383" s="79" t="s">
        <v>6</v>
      </c>
      <c r="J2383" s="81">
        <v>120</v>
      </c>
      <c r="K2383" t="s">
        <v>47</v>
      </c>
    </row>
    <row r="2384" spans="2:11" x14ac:dyDescent="0.25">
      <c r="B2384" s="2">
        <f>+B2383</f>
        <v>77</v>
      </c>
      <c r="C2384" s="4">
        <v>1722.1310000000001</v>
      </c>
      <c r="D2384" s="4">
        <v>4083.3449999999998</v>
      </c>
      <c r="E2384" s="79">
        <v>774.06</v>
      </c>
      <c r="F2384" s="79">
        <f>SUM(BASE_DATOS[[#This Row],[Capital($)]:[Interés
Resarcitorio($)]])</f>
        <v>6579.5360000000001</v>
      </c>
      <c r="G2384" s="8">
        <v>46321</v>
      </c>
      <c r="H2384" s="80" t="s">
        <v>52</v>
      </c>
      <c r="I2384" s="79" t="s">
        <v>7</v>
      </c>
      <c r="J2384" s="81">
        <v>120</v>
      </c>
      <c r="K2384" t="s">
        <v>47</v>
      </c>
    </row>
    <row r="2385" spans="2:11" x14ac:dyDescent="0.25">
      <c r="B2385" s="2">
        <v>78</v>
      </c>
      <c r="C2385" s="4">
        <v>1722.1310000000001</v>
      </c>
      <c r="D2385" s="4">
        <v>4127.6040000000003</v>
      </c>
      <c r="E2385" s="79">
        <v>0</v>
      </c>
      <c r="F2385" s="79">
        <f>SUM(BASE_DATOS[[#This Row],[Capital($)]:[Interés
Resarcitorio($)]])</f>
        <v>5849.7350000000006</v>
      </c>
      <c r="G2385" s="8">
        <v>46342</v>
      </c>
      <c r="H2385" s="80" t="s">
        <v>52</v>
      </c>
      <c r="I2385" s="79" t="s">
        <v>6</v>
      </c>
      <c r="J2385" s="81">
        <v>120</v>
      </c>
      <c r="K2385" t="s">
        <v>47</v>
      </c>
    </row>
    <row r="2386" spans="2:11" x14ac:dyDescent="0.25">
      <c r="B2386" s="2">
        <f>+B2385</f>
        <v>78</v>
      </c>
      <c r="C2386" s="4">
        <v>1722.1310000000001</v>
      </c>
      <c r="D2386" s="4">
        <v>4127.6040000000003</v>
      </c>
      <c r="E2386" s="79">
        <v>779.96</v>
      </c>
      <c r="F2386" s="79">
        <f>SUM(BASE_DATOS[[#This Row],[Capital($)]:[Interés
Resarcitorio($)]])</f>
        <v>6629.6950000000006</v>
      </c>
      <c r="G2386" s="8">
        <v>46352</v>
      </c>
      <c r="H2386" s="80" t="s">
        <v>52</v>
      </c>
      <c r="I2386" s="79" t="s">
        <v>7</v>
      </c>
      <c r="J2386" s="81">
        <v>120</v>
      </c>
      <c r="K2386" t="s">
        <v>47</v>
      </c>
    </row>
    <row r="2387" spans="2:11" x14ac:dyDescent="0.25">
      <c r="B2387" s="2">
        <v>79</v>
      </c>
      <c r="C2387" s="4">
        <v>1722.1310000000001</v>
      </c>
      <c r="D2387" s="4">
        <v>4171.8620000000001</v>
      </c>
      <c r="E2387" s="79">
        <v>0</v>
      </c>
      <c r="F2387" s="79">
        <f>SUM(BASE_DATOS[[#This Row],[Capital($)]:[Interés
Resarcitorio($)]])</f>
        <v>5893.9930000000004</v>
      </c>
      <c r="G2387" s="8">
        <v>46372</v>
      </c>
      <c r="H2387" s="80" t="s">
        <v>52</v>
      </c>
      <c r="I2387" s="79" t="s">
        <v>6</v>
      </c>
      <c r="J2387" s="81">
        <v>120</v>
      </c>
      <c r="K2387" t="s">
        <v>47</v>
      </c>
    </row>
    <row r="2388" spans="2:11" x14ac:dyDescent="0.25">
      <c r="B2388" s="2">
        <f>+B2387</f>
        <v>79</v>
      </c>
      <c r="C2388" s="4">
        <v>1722.1310000000001</v>
      </c>
      <c r="D2388" s="4">
        <v>4171.8620000000001</v>
      </c>
      <c r="E2388" s="79">
        <v>785.87</v>
      </c>
      <c r="F2388" s="79">
        <f>SUM(BASE_DATOS[[#This Row],[Capital($)]:[Interés
Resarcitorio($)]])</f>
        <v>6679.8630000000003</v>
      </c>
      <c r="G2388" s="8">
        <v>46382</v>
      </c>
      <c r="H2388" s="80" t="s">
        <v>52</v>
      </c>
      <c r="I2388" s="79" t="s">
        <v>7</v>
      </c>
      <c r="J2388" s="81">
        <v>120</v>
      </c>
      <c r="K2388" t="s">
        <v>47</v>
      </c>
    </row>
    <row r="2389" spans="2:11" x14ac:dyDescent="0.25">
      <c r="B2389" s="2">
        <v>80</v>
      </c>
      <c r="C2389" s="4">
        <v>1722.1310000000001</v>
      </c>
      <c r="D2389" s="4">
        <v>4216.1210000000001</v>
      </c>
      <c r="E2389" s="79">
        <v>0</v>
      </c>
      <c r="F2389" s="79">
        <f>SUM(BASE_DATOS[[#This Row],[Capital($)]:[Interés
Resarcitorio($)]])</f>
        <v>5938.2520000000004</v>
      </c>
      <c r="G2389" s="8">
        <v>46403</v>
      </c>
      <c r="H2389" s="80" t="s">
        <v>52</v>
      </c>
      <c r="I2389" s="79" t="s">
        <v>6</v>
      </c>
      <c r="J2389" s="81">
        <v>120</v>
      </c>
      <c r="K2389" t="s">
        <v>47</v>
      </c>
    </row>
    <row r="2390" spans="2:11" x14ac:dyDescent="0.25">
      <c r="B2390" s="2">
        <f>+B2389</f>
        <v>80</v>
      </c>
      <c r="C2390" s="4">
        <v>1722.1310000000001</v>
      </c>
      <c r="D2390" s="4">
        <v>4216.1210000000001</v>
      </c>
      <c r="E2390" s="79">
        <v>791.77</v>
      </c>
      <c r="F2390" s="79">
        <f>SUM(BASE_DATOS[[#This Row],[Capital($)]:[Interés
Resarcitorio($)]])</f>
        <v>6730.0220000000008</v>
      </c>
      <c r="G2390" s="8">
        <v>46413</v>
      </c>
      <c r="H2390" s="80" t="s">
        <v>52</v>
      </c>
      <c r="I2390" s="79" t="s">
        <v>7</v>
      </c>
      <c r="J2390" s="81">
        <v>120</v>
      </c>
      <c r="K2390" t="s">
        <v>47</v>
      </c>
    </row>
    <row r="2391" spans="2:11" x14ac:dyDescent="0.25">
      <c r="B2391" s="2">
        <v>81</v>
      </c>
      <c r="C2391" s="4">
        <v>1722.1310000000001</v>
      </c>
      <c r="D2391" s="4">
        <v>4260.38</v>
      </c>
      <c r="E2391" s="79">
        <v>0</v>
      </c>
      <c r="F2391" s="79">
        <f>SUM(BASE_DATOS[[#This Row],[Capital($)]:[Interés
Resarcitorio($)]])</f>
        <v>5982.5110000000004</v>
      </c>
      <c r="G2391" s="8">
        <v>46434</v>
      </c>
      <c r="H2391" s="80" t="s">
        <v>52</v>
      </c>
      <c r="I2391" s="79" t="s">
        <v>6</v>
      </c>
      <c r="J2391" s="81">
        <v>120</v>
      </c>
      <c r="K2391" t="s">
        <v>47</v>
      </c>
    </row>
    <row r="2392" spans="2:11" x14ac:dyDescent="0.25">
      <c r="B2392" s="2">
        <f>+B2391</f>
        <v>81</v>
      </c>
      <c r="C2392" s="4">
        <v>1722.1310000000001</v>
      </c>
      <c r="D2392" s="4">
        <v>4260.38</v>
      </c>
      <c r="E2392" s="79">
        <v>797.67</v>
      </c>
      <c r="F2392" s="79">
        <f>SUM(BASE_DATOS[[#This Row],[Capital($)]:[Interés
Resarcitorio($)]])</f>
        <v>6780.1810000000005</v>
      </c>
      <c r="G2392" s="8">
        <v>46444</v>
      </c>
      <c r="H2392" s="80" t="s">
        <v>52</v>
      </c>
      <c r="I2392" s="79" t="s">
        <v>7</v>
      </c>
      <c r="J2392" s="81">
        <v>120</v>
      </c>
      <c r="K2392" t="s">
        <v>47</v>
      </c>
    </row>
    <row r="2393" spans="2:11" x14ac:dyDescent="0.25">
      <c r="B2393" s="2">
        <v>82</v>
      </c>
      <c r="C2393" s="4">
        <v>1722.1310000000001</v>
      </c>
      <c r="D2393" s="4">
        <v>4304.6390000000001</v>
      </c>
      <c r="E2393" s="79">
        <v>0</v>
      </c>
      <c r="F2393" s="79">
        <f>SUM(BASE_DATOS[[#This Row],[Capital($)]:[Interés
Resarcitorio($)]])</f>
        <v>6026.77</v>
      </c>
      <c r="G2393" s="8">
        <v>46462</v>
      </c>
      <c r="H2393" s="80" t="s">
        <v>52</v>
      </c>
      <c r="I2393" s="79" t="s">
        <v>6</v>
      </c>
      <c r="J2393" s="81">
        <v>120</v>
      </c>
      <c r="K2393" t="s">
        <v>47</v>
      </c>
    </row>
    <row r="2394" spans="2:11" x14ac:dyDescent="0.25">
      <c r="B2394" s="2">
        <f>+B2393</f>
        <v>82</v>
      </c>
      <c r="C2394" s="4">
        <v>1722.1310000000001</v>
      </c>
      <c r="D2394" s="4">
        <v>4304.6390000000001</v>
      </c>
      <c r="E2394" s="79">
        <v>803.57</v>
      </c>
      <c r="F2394" s="79">
        <f>SUM(BASE_DATOS[[#This Row],[Capital($)]:[Interés
Resarcitorio($)]])</f>
        <v>6830.34</v>
      </c>
      <c r="G2394" s="8">
        <v>46472</v>
      </c>
      <c r="H2394" s="80" t="s">
        <v>52</v>
      </c>
      <c r="I2394" s="79" t="s">
        <v>7</v>
      </c>
      <c r="J2394" s="81">
        <v>120</v>
      </c>
      <c r="K2394" t="s">
        <v>47</v>
      </c>
    </row>
    <row r="2395" spans="2:11" x14ac:dyDescent="0.25">
      <c r="B2395" s="2">
        <v>83</v>
      </c>
      <c r="C2395" s="4">
        <v>1722.1310000000001</v>
      </c>
      <c r="D2395" s="4">
        <v>4348.8969999999999</v>
      </c>
      <c r="E2395" s="79">
        <v>0</v>
      </c>
      <c r="F2395" s="79">
        <f>SUM(BASE_DATOS[[#This Row],[Capital($)]:[Interés
Resarcitorio($)]])</f>
        <v>6071.0280000000002</v>
      </c>
      <c r="G2395" s="8">
        <v>46493</v>
      </c>
      <c r="H2395" s="80" t="s">
        <v>52</v>
      </c>
      <c r="I2395" s="79" t="s">
        <v>6</v>
      </c>
      <c r="J2395" s="81">
        <v>120</v>
      </c>
      <c r="K2395" t="s">
        <v>47</v>
      </c>
    </row>
    <row r="2396" spans="2:11" x14ac:dyDescent="0.25">
      <c r="B2396" s="2">
        <f>+B2395</f>
        <v>83</v>
      </c>
      <c r="C2396" s="4">
        <v>1722.1310000000001</v>
      </c>
      <c r="D2396" s="4">
        <v>4348.8969999999999</v>
      </c>
      <c r="E2396" s="79">
        <v>809.47</v>
      </c>
      <c r="F2396" s="79">
        <f>SUM(BASE_DATOS[[#This Row],[Capital($)]:[Interés
Resarcitorio($)]])</f>
        <v>6880.4980000000005</v>
      </c>
      <c r="G2396" s="8">
        <v>46503</v>
      </c>
      <c r="H2396" s="80" t="s">
        <v>52</v>
      </c>
      <c r="I2396" s="79" t="s">
        <v>7</v>
      </c>
      <c r="J2396" s="81">
        <v>120</v>
      </c>
      <c r="K2396" t="s">
        <v>47</v>
      </c>
    </row>
    <row r="2397" spans="2:11" x14ac:dyDescent="0.25">
      <c r="B2397" s="2">
        <v>84</v>
      </c>
      <c r="C2397" s="4">
        <v>1722.1310000000001</v>
      </c>
      <c r="D2397" s="4">
        <v>4393.1559999999999</v>
      </c>
      <c r="E2397" s="79">
        <v>0</v>
      </c>
      <c r="F2397" s="79">
        <f>SUM(BASE_DATOS[[#This Row],[Capital($)]:[Interés
Resarcitorio($)]])</f>
        <v>6115.2870000000003</v>
      </c>
      <c r="G2397" s="8">
        <v>46523</v>
      </c>
      <c r="H2397" s="80" t="s">
        <v>52</v>
      </c>
      <c r="I2397" s="79" t="s">
        <v>6</v>
      </c>
      <c r="J2397" s="81">
        <v>120</v>
      </c>
      <c r="K2397" t="s">
        <v>47</v>
      </c>
    </row>
    <row r="2398" spans="2:11" x14ac:dyDescent="0.25">
      <c r="B2398" s="2">
        <f>+B2397</f>
        <v>84</v>
      </c>
      <c r="C2398" s="4">
        <v>1722.1310000000001</v>
      </c>
      <c r="D2398" s="4">
        <v>4393.1559999999999</v>
      </c>
      <c r="E2398" s="79">
        <v>815.37</v>
      </c>
      <c r="F2398" s="79">
        <f>SUM(BASE_DATOS[[#This Row],[Capital($)]:[Interés
Resarcitorio($)]])</f>
        <v>6930.6570000000002</v>
      </c>
      <c r="G2398" s="8">
        <v>46533</v>
      </c>
      <c r="H2398" s="80" t="s">
        <v>52</v>
      </c>
      <c r="I2398" s="79" t="s">
        <v>7</v>
      </c>
      <c r="J2398" s="81">
        <v>120</v>
      </c>
      <c r="K2398" t="s">
        <v>47</v>
      </c>
    </row>
    <row r="2399" spans="2:11" x14ac:dyDescent="0.25">
      <c r="B2399" s="2">
        <v>85</v>
      </c>
      <c r="C2399" s="4">
        <v>1722.1310000000001</v>
      </c>
      <c r="D2399" s="4">
        <v>4437.415</v>
      </c>
      <c r="E2399" s="79">
        <v>0</v>
      </c>
      <c r="F2399" s="79">
        <f>SUM(BASE_DATOS[[#This Row],[Capital($)]:[Interés
Resarcitorio($)]])</f>
        <v>6159.5460000000003</v>
      </c>
      <c r="G2399" s="8">
        <v>46554</v>
      </c>
      <c r="H2399" s="80" t="s">
        <v>52</v>
      </c>
      <c r="I2399" s="79" t="s">
        <v>6</v>
      </c>
      <c r="J2399" s="81">
        <v>120</v>
      </c>
      <c r="K2399" t="s">
        <v>47</v>
      </c>
    </row>
    <row r="2400" spans="2:11" x14ac:dyDescent="0.25">
      <c r="B2400" s="2">
        <f>+B2399</f>
        <v>85</v>
      </c>
      <c r="C2400" s="4">
        <v>1722.1310000000001</v>
      </c>
      <c r="D2400" s="4">
        <v>4437.415</v>
      </c>
      <c r="E2400" s="79">
        <v>821.27</v>
      </c>
      <c r="F2400" s="79">
        <f>SUM(BASE_DATOS[[#This Row],[Capital($)]:[Interés
Resarcitorio($)]])</f>
        <v>6980.8160000000007</v>
      </c>
      <c r="G2400" s="8">
        <v>46564</v>
      </c>
      <c r="H2400" s="80" t="s">
        <v>52</v>
      </c>
      <c r="I2400" s="79" t="s">
        <v>7</v>
      </c>
      <c r="J2400" s="81">
        <v>120</v>
      </c>
      <c r="K2400" t="s">
        <v>47</v>
      </c>
    </row>
    <row r="2401" spans="2:11" x14ac:dyDescent="0.25">
      <c r="B2401" s="2">
        <v>86</v>
      </c>
      <c r="C2401" s="4">
        <v>1722.1310000000001</v>
      </c>
      <c r="D2401" s="4">
        <v>4481.674</v>
      </c>
      <c r="E2401" s="79">
        <v>0</v>
      </c>
      <c r="F2401" s="79">
        <f>SUM(BASE_DATOS[[#This Row],[Capital($)]:[Interés
Resarcitorio($)]])</f>
        <v>6203.8050000000003</v>
      </c>
      <c r="G2401" s="8">
        <v>46584</v>
      </c>
      <c r="H2401" s="80" t="s">
        <v>52</v>
      </c>
      <c r="I2401" s="79" t="s">
        <v>6</v>
      </c>
      <c r="J2401" s="81">
        <v>120</v>
      </c>
      <c r="K2401" t="s">
        <v>47</v>
      </c>
    </row>
    <row r="2402" spans="2:11" x14ac:dyDescent="0.25">
      <c r="B2402" s="2">
        <f>+B2401</f>
        <v>86</v>
      </c>
      <c r="C2402" s="4">
        <v>1722.1310000000001</v>
      </c>
      <c r="D2402" s="4">
        <v>4481.674</v>
      </c>
      <c r="E2402" s="79">
        <v>827.17</v>
      </c>
      <c r="F2402" s="79">
        <f>SUM(BASE_DATOS[[#This Row],[Capital($)]:[Interés
Resarcitorio($)]])</f>
        <v>7030.9750000000004</v>
      </c>
      <c r="G2402" s="8">
        <v>46594</v>
      </c>
      <c r="H2402" s="80" t="s">
        <v>52</v>
      </c>
      <c r="I2402" s="79" t="s">
        <v>7</v>
      </c>
      <c r="J2402" s="81">
        <v>120</v>
      </c>
      <c r="K2402" t="s">
        <v>47</v>
      </c>
    </row>
    <row r="2403" spans="2:11" x14ac:dyDescent="0.25">
      <c r="B2403" s="2">
        <v>87</v>
      </c>
      <c r="C2403" s="4">
        <v>1722.1310000000001</v>
      </c>
      <c r="D2403" s="4">
        <v>4525.9319999999998</v>
      </c>
      <c r="E2403" s="79">
        <v>0</v>
      </c>
      <c r="F2403" s="79">
        <f>SUM(BASE_DATOS[[#This Row],[Capital($)]:[Interés
Resarcitorio($)]])</f>
        <v>6248.0630000000001</v>
      </c>
      <c r="G2403" s="8">
        <v>46615</v>
      </c>
      <c r="H2403" s="80" t="s">
        <v>52</v>
      </c>
      <c r="I2403" s="79" t="s">
        <v>6</v>
      </c>
      <c r="J2403" s="81">
        <v>120</v>
      </c>
      <c r="K2403" t="s">
        <v>47</v>
      </c>
    </row>
    <row r="2404" spans="2:11" x14ac:dyDescent="0.25">
      <c r="B2404" s="2">
        <f>+B2403</f>
        <v>87</v>
      </c>
      <c r="C2404" s="4">
        <v>1722.1310000000001</v>
      </c>
      <c r="D2404" s="4">
        <v>4525.9319999999998</v>
      </c>
      <c r="E2404" s="79">
        <v>833.08</v>
      </c>
      <c r="F2404" s="79">
        <f>SUM(BASE_DATOS[[#This Row],[Capital($)]:[Interés
Resarcitorio($)]])</f>
        <v>7081.143</v>
      </c>
      <c r="G2404" s="8">
        <v>46625</v>
      </c>
      <c r="H2404" s="80" t="s">
        <v>52</v>
      </c>
      <c r="I2404" s="79" t="s">
        <v>7</v>
      </c>
      <c r="J2404" s="81">
        <v>120</v>
      </c>
      <c r="K2404" t="s">
        <v>47</v>
      </c>
    </row>
    <row r="2405" spans="2:11" x14ac:dyDescent="0.25">
      <c r="B2405" s="2">
        <v>88</v>
      </c>
      <c r="C2405" s="4">
        <v>1722.1310000000001</v>
      </c>
      <c r="D2405" s="4">
        <v>4570.1910000000007</v>
      </c>
      <c r="E2405" s="79">
        <v>0</v>
      </c>
      <c r="F2405" s="79">
        <f>SUM(BASE_DATOS[[#This Row],[Capital($)]:[Interés
Resarcitorio($)]])</f>
        <v>6292.322000000001</v>
      </c>
      <c r="G2405" s="8">
        <v>46646</v>
      </c>
      <c r="H2405" s="80" t="s">
        <v>52</v>
      </c>
      <c r="I2405" s="79" t="s">
        <v>6</v>
      </c>
      <c r="J2405" s="81">
        <v>120</v>
      </c>
      <c r="K2405" t="s">
        <v>47</v>
      </c>
    </row>
    <row r="2406" spans="2:11" x14ac:dyDescent="0.25">
      <c r="B2406" s="2">
        <f>+B2405</f>
        <v>88</v>
      </c>
      <c r="C2406" s="4">
        <v>1722.1310000000001</v>
      </c>
      <c r="D2406" s="4">
        <v>4570.1910000000007</v>
      </c>
      <c r="E2406" s="79">
        <v>838.98</v>
      </c>
      <c r="F2406" s="79">
        <f>SUM(BASE_DATOS[[#This Row],[Capital($)]:[Interés
Resarcitorio($)]])</f>
        <v>7131.3020000000015</v>
      </c>
      <c r="G2406" s="8">
        <v>46656</v>
      </c>
      <c r="H2406" s="80" t="s">
        <v>52</v>
      </c>
      <c r="I2406" s="79" t="s">
        <v>7</v>
      </c>
      <c r="J2406" s="81">
        <v>120</v>
      </c>
      <c r="K2406" t="s">
        <v>47</v>
      </c>
    </row>
    <row r="2407" spans="2:11" x14ac:dyDescent="0.25">
      <c r="B2407" s="2">
        <v>89</v>
      </c>
      <c r="C2407" s="4">
        <v>1722.1310000000001</v>
      </c>
      <c r="D2407" s="4">
        <v>4614.45</v>
      </c>
      <c r="E2407" s="79">
        <v>0</v>
      </c>
      <c r="F2407" s="79">
        <f>SUM(BASE_DATOS[[#This Row],[Capital($)]:[Interés
Resarcitorio($)]])</f>
        <v>6336.5810000000001</v>
      </c>
      <c r="G2407" s="8">
        <v>46676</v>
      </c>
      <c r="H2407" s="80" t="s">
        <v>52</v>
      </c>
      <c r="I2407" s="79" t="s">
        <v>6</v>
      </c>
      <c r="J2407" s="81">
        <v>120</v>
      </c>
      <c r="K2407" t="s">
        <v>47</v>
      </c>
    </row>
    <row r="2408" spans="2:11" x14ac:dyDescent="0.25">
      <c r="B2408" s="2">
        <f>+B2407</f>
        <v>89</v>
      </c>
      <c r="C2408" s="4">
        <v>1722.1310000000001</v>
      </c>
      <c r="D2408" s="4">
        <v>4614.45</v>
      </c>
      <c r="E2408" s="79">
        <v>844.88</v>
      </c>
      <c r="F2408" s="79">
        <f>SUM(BASE_DATOS[[#This Row],[Capital($)]:[Interés
Resarcitorio($)]])</f>
        <v>7181.4610000000002</v>
      </c>
      <c r="G2408" s="8">
        <v>46686</v>
      </c>
      <c r="H2408" s="80" t="s">
        <v>52</v>
      </c>
      <c r="I2408" s="79" t="s">
        <v>7</v>
      </c>
      <c r="J2408" s="81">
        <v>120</v>
      </c>
      <c r="K2408" t="s">
        <v>47</v>
      </c>
    </row>
    <row r="2409" spans="2:11" x14ac:dyDescent="0.25">
      <c r="B2409" s="2">
        <v>90</v>
      </c>
      <c r="C2409" s="4">
        <v>1722.1310000000001</v>
      </c>
      <c r="D2409" s="4">
        <v>4658.7089999999998</v>
      </c>
      <c r="E2409" s="79">
        <v>0</v>
      </c>
      <c r="F2409" s="79">
        <f>SUM(BASE_DATOS[[#This Row],[Capital($)]:[Interés
Resarcitorio($)]])</f>
        <v>6380.84</v>
      </c>
      <c r="G2409" s="8">
        <v>46707</v>
      </c>
      <c r="H2409" s="80" t="s">
        <v>52</v>
      </c>
      <c r="I2409" s="79" t="s">
        <v>6</v>
      </c>
      <c r="J2409" s="81">
        <v>120</v>
      </c>
      <c r="K2409" t="s">
        <v>47</v>
      </c>
    </row>
    <row r="2410" spans="2:11" x14ac:dyDescent="0.25">
      <c r="B2410" s="2">
        <f>+B2409</f>
        <v>90</v>
      </c>
      <c r="C2410" s="4">
        <v>1722.1310000000001</v>
      </c>
      <c r="D2410" s="4">
        <v>4658.7089999999998</v>
      </c>
      <c r="E2410" s="79">
        <v>850.78</v>
      </c>
      <c r="F2410" s="79">
        <f>SUM(BASE_DATOS[[#This Row],[Capital($)]:[Interés
Resarcitorio($)]])</f>
        <v>7231.62</v>
      </c>
      <c r="G2410" s="8">
        <v>46717</v>
      </c>
      <c r="H2410" s="80" t="s">
        <v>52</v>
      </c>
      <c r="I2410" s="79" t="s">
        <v>7</v>
      </c>
      <c r="J2410" s="81">
        <v>120</v>
      </c>
      <c r="K2410" t="s">
        <v>47</v>
      </c>
    </row>
    <row r="2411" spans="2:11" x14ac:dyDescent="0.25">
      <c r="B2411" s="2">
        <v>91</v>
      </c>
      <c r="C2411" s="4">
        <v>1722.1310000000001</v>
      </c>
      <c r="D2411" s="4">
        <v>4702.9679999999998</v>
      </c>
      <c r="E2411" s="79">
        <v>0</v>
      </c>
      <c r="F2411" s="79">
        <f>SUM(BASE_DATOS[[#This Row],[Capital($)]:[Interés
Resarcitorio($)]])</f>
        <v>6425.0990000000002</v>
      </c>
      <c r="G2411" s="8">
        <v>46737</v>
      </c>
      <c r="H2411" s="80" t="s">
        <v>52</v>
      </c>
      <c r="I2411" s="79" t="s">
        <v>6</v>
      </c>
      <c r="J2411" s="81">
        <v>120</v>
      </c>
      <c r="K2411" t="s">
        <v>47</v>
      </c>
    </row>
    <row r="2412" spans="2:11" x14ac:dyDescent="0.25">
      <c r="B2412" s="2">
        <f>+B2411</f>
        <v>91</v>
      </c>
      <c r="C2412" s="4">
        <v>1722.1310000000001</v>
      </c>
      <c r="D2412" s="4">
        <v>4702.9679999999998</v>
      </c>
      <c r="E2412" s="79">
        <v>856.68</v>
      </c>
      <c r="F2412" s="79">
        <f>SUM(BASE_DATOS[[#This Row],[Capital($)]:[Interés
Resarcitorio($)]])</f>
        <v>7281.7790000000005</v>
      </c>
      <c r="G2412" s="8">
        <v>46747</v>
      </c>
      <c r="H2412" s="80" t="s">
        <v>52</v>
      </c>
      <c r="I2412" s="79" t="s">
        <v>7</v>
      </c>
      <c r="J2412" s="81">
        <v>120</v>
      </c>
      <c r="K2412" t="s">
        <v>47</v>
      </c>
    </row>
    <row r="2413" spans="2:11" x14ac:dyDescent="0.25">
      <c r="B2413" s="2">
        <v>92</v>
      </c>
      <c r="C2413" s="4">
        <v>1722.1310000000001</v>
      </c>
      <c r="D2413" s="4">
        <v>4747.2260000000006</v>
      </c>
      <c r="E2413" s="79">
        <v>0</v>
      </c>
      <c r="F2413" s="79">
        <f>SUM(BASE_DATOS[[#This Row],[Capital($)]:[Interés
Resarcitorio($)]])</f>
        <v>6469.3570000000009</v>
      </c>
      <c r="G2413" s="8">
        <v>46768</v>
      </c>
      <c r="H2413" s="80" t="s">
        <v>52</v>
      </c>
      <c r="I2413" s="79" t="s">
        <v>6</v>
      </c>
      <c r="J2413" s="81">
        <v>120</v>
      </c>
      <c r="K2413" t="s">
        <v>47</v>
      </c>
    </row>
    <row r="2414" spans="2:11" x14ac:dyDescent="0.25">
      <c r="B2414" s="2">
        <f>+B2413</f>
        <v>92</v>
      </c>
      <c r="C2414" s="4">
        <v>1722.1310000000001</v>
      </c>
      <c r="D2414" s="4">
        <v>4747.2260000000006</v>
      </c>
      <c r="E2414" s="79">
        <v>862.58</v>
      </c>
      <c r="F2414" s="79">
        <f>SUM(BASE_DATOS[[#This Row],[Capital($)]:[Interés
Resarcitorio($)]])</f>
        <v>7331.9370000000008</v>
      </c>
      <c r="G2414" s="8">
        <v>46778</v>
      </c>
      <c r="H2414" s="80" t="s">
        <v>52</v>
      </c>
      <c r="I2414" s="79" t="s">
        <v>7</v>
      </c>
      <c r="J2414" s="81">
        <v>120</v>
      </c>
      <c r="K2414" t="s">
        <v>47</v>
      </c>
    </row>
    <row r="2415" spans="2:11" x14ac:dyDescent="0.25">
      <c r="B2415" s="2">
        <v>93</v>
      </c>
      <c r="C2415" s="4">
        <v>1722.1310000000001</v>
      </c>
      <c r="D2415" s="4">
        <v>4791.4849999999997</v>
      </c>
      <c r="E2415" s="79">
        <v>0</v>
      </c>
      <c r="F2415" s="79">
        <f>SUM(BASE_DATOS[[#This Row],[Capital($)]:[Interés
Resarcitorio($)]])</f>
        <v>6513.616</v>
      </c>
      <c r="G2415" s="8">
        <v>46799</v>
      </c>
      <c r="H2415" s="80" t="s">
        <v>52</v>
      </c>
      <c r="I2415" s="79" t="s">
        <v>6</v>
      </c>
      <c r="J2415" s="81">
        <v>120</v>
      </c>
      <c r="K2415" t="s">
        <v>47</v>
      </c>
    </row>
    <row r="2416" spans="2:11" x14ac:dyDescent="0.25">
      <c r="B2416" s="2">
        <f>+B2415</f>
        <v>93</v>
      </c>
      <c r="C2416" s="4">
        <v>1722.1310000000001</v>
      </c>
      <c r="D2416" s="4">
        <v>4791.4849999999997</v>
      </c>
      <c r="E2416" s="79">
        <v>868.48</v>
      </c>
      <c r="F2416" s="79">
        <f>SUM(BASE_DATOS[[#This Row],[Capital($)]:[Interés
Resarcitorio($)]])</f>
        <v>7382.0959999999995</v>
      </c>
      <c r="G2416" s="8">
        <v>46809</v>
      </c>
      <c r="H2416" s="80" t="s">
        <v>52</v>
      </c>
      <c r="I2416" s="79" t="s">
        <v>7</v>
      </c>
      <c r="J2416" s="81">
        <v>120</v>
      </c>
      <c r="K2416" t="s">
        <v>47</v>
      </c>
    </row>
    <row r="2417" spans="2:11" x14ac:dyDescent="0.25">
      <c r="B2417" s="2">
        <v>94</v>
      </c>
      <c r="C2417" s="4">
        <v>1722.1310000000001</v>
      </c>
      <c r="D2417" s="4">
        <v>4835.7440000000006</v>
      </c>
      <c r="E2417" s="79">
        <v>0</v>
      </c>
      <c r="F2417" s="79">
        <f>SUM(BASE_DATOS[[#This Row],[Capital($)]:[Interés
Resarcitorio($)]])</f>
        <v>6557.8750000000009</v>
      </c>
      <c r="G2417" s="8">
        <v>46828</v>
      </c>
      <c r="H2417" s="80" t="s">
        <v>52</v>
      </c>
      <c r="I2417" s="79" t="s">
        <v>6</v>
      </c>
      <c r="J2417" s="81">
        <v>120</v>
      </c>
      <c r="K2417" t="s">
        <v>47</v>
      </c>
    </row>
    <row r="2418" spans="2:11" x14ac:dyDescent="0.25">
      <c r="B2418" s="2">
        <f>+B2417</f>
        <v>94</v>
      </c>
      <c r="C2418" s="4">
        <v>1722.1310000000001</v>
      </c>
      <c r="D2418" s="4">
        <v>4835.7440000000006</v>
      </c>
      <c r="E2418" s="79">
        <v>874.38</v>
      </c>
      <c r="F2418" s="79">
        <f>SUM(BASE_DATOS[[#This Row],[Capital($)]:[Interés
Resarcitorio($)]])</f>
        <v>7432.255000000001</v>
      </c>
      <c r="G2418" s="8">
        <v>46838</v>
      </c>
      <c r="H2418" s="80" t="s">
        <v>52</v>
      </c>
      <c r="I2418" s="79" t="s">
        <v>7</v>
      </c>
      <c r="J2418" s="81">
        <v>120</v>
      </c>
      <c r="K2418" t="s">
        <v>47</v>
      </c>
    </row>
    <row r="2419" spans="2:11" x14ac:dyDescent="0.25">
      <c r="B2419" s="2">
        <v>95</v>
      </c>
      <c r="C2419" s="4">
        <v>1722.1310000000001</v>
      </c>
      <c r="D2419" s="4">
        <v>4880.0029999999997</v>
      </c>
      <c r="E2419" s="79">
        <v>0</v>
      </c>
      <c r="F2419" s="79">
        <f>SUM(BASE_DATOS[[#This Row],[Capital($)]:[Interés
Resarcitorio($)]])</f>
        <v>6602.134</v>
      </c>
      <c r="G2419" s="8">
        <v>46859</v>
      </c>
      <c r="H2419" s="80" t="s">
        <v>52</v>
      </c>
      <c r="I2419" s="79" t="s">
        <v>6</v>
      </c>
      <c r="J2419" s="81">
        <v>120</v>
      </c>
      <c r="K2419" t="s">
        <v>47</v>
      </c>
    </row>
    <row r="2420" spans="2:11" x14ac:dyDescent="0.25">
      <c r="B2420" s="2">
        <f>+B2419</f>
        <v>95</v>
      </c>
      <c r="C2420" s="4">
        <v>1722.1310000000001</v>
      </c>
      <c r="D2420" s="4">
        <v>4880.0029999999997</v>
      </c>
      <c r="E2420" s="79">
        <v>880.28</v>
      </c>
      <c r="F2420" s="79">
        <f>SUM(BASE_DATOS[[#This Row],[Capital($)]:[Interés
Resarcitorio($)]])</f>
        <v>7482.4139999999998</v>
      </c>
      <c r="G2420" s="8">
        <v>46869</v>
      </c>
      <c r="H2420" s="80" t="s">
        <v>52</v>
      </c>
      <c r="I2420" s="79" t="s">
        <v>7</v>
      </c>
      <c r="J2420" s="81">
        <v>120</v>
      </c>
      <c r="K2420" t="s">
        <v>47</v>
      </c>
    </row>
    <row r="2421" spans="2:11" x14ac:dyDescent="0.25">
      <c r="B2421" s="2">
        <v>96</v>
      </c>
      <c r="C2421" s="4">
        <v>1722.1310000000001</v>
      </c>
      <c r="D2421" s="4">
        <v>4924.2610000000004</v>
      </c>
      <c r="E2421" s="79">
        <v>0</v>
      </c>
      <c r="F2421" s="79">
        <f>SUM(BASE_DATOS[[#This Row],[Capital($)]:[Interés
Resarcitorio($)]])</f>
        <v>6646.3920000000007</v>
      </c>
      <c r="G2421" s="8">
        <v>46889</v>
      </c>
      <c r="H2421" s="80" t="s">
        <v>52</v>
      </c>
      <c r="I2421" s="79" t="s">
        <v>6</v>
      </c>
      <c r="J2421" s="81">
        <v>120</v>
      </c>
      <c r="K2421" t="s">
        <v>47</v>
      </c>
    </row>
    <row r="2422" spans="2:11" x14ac:dyDescent="0.25">
      <c r="B2422" s="2">
        <f>+B2421</f>
        <v>96</v>
      </c>
      <c r="C2422" s="4">
        <v>1722.1310000000001</v>
      </c>
      <c r="D2422" s="4">
        <v>4924.2610000000004</v>
      </c>
      <c r="E2422" s="79">
        <v>886.19</v>
      </c>
      <c r="F2422" s="79">
        <f>SUM(BASE_DATOS[[#This Row],[Capital($)]:[Interés
Resarcitorio($)]])</f>
        <v>7532.5820000000003</v>
      </c>
      <c r="G2422" s="8">
        <v>46899</v>
      </c>
      <c r="H2422" s="80" t="s">
        <v>52</v>
      </c>
      <c r="I2422" s="79" t="s">
        <v>7</v>
      </c>
      <c r="J2422" s="81">
        <v>120</v>
      </c>
      <c r="K2422" t="s">
        <v>47</v>
      </c>
    </row>
    <row r="2423" spans="2:11" x14ac:dyDescent="0.25">
      <c r="B2423" s="2">
        <v>97</v>
      </c>
      <c r="C2423" s="4">
        <v>1722.1310000000001</v>
      </c>
      <c r="D2423" s="4">
        <v>4968.5199999999995</v>
      </c>
      <c r="E2423" s="79">
        <v>0</v>
      </c>
      <c r="F2423" s="79">
        <f>SUM(BASE_DATOS[[#This Row],[Capital($)]:[Interés
Resarcitorio($)]])</f>
        <v>6690.6509999999998</v>
      </c>
      <c r="G2423" s="8">
        <v>46920</v>
      </c>
      <c r="H2423" s="80" t="s">
        <v>52</v>
      </c>
      <c r="I2423" s="79" t="s">
        <v>6</v>
      </c>
      <c r="J2423" s="81">
        <v>120</v>
      </c>
      <c r="K2423" t="s">
        <v>47</v>
      </c>
    </row>
    <row r="2424" spans="2:11" x14ac:dyDescent="0.25">
      <c r="B2424" s="2">
        <f>+B2423</f>
        <v>97</v>
      </c>
      <c r="C2424" s="4">
        <v>1722.1310000000001</v>
      </c>
      <c r="D2424" s="4">
        <v>4968.5199999999995</v>
      </c>
      <c r="E2424" s="79">
        <v>892.09</v>
      </c>
      <c r="F2424" s="79">
        <f>SUM(BASE_DATOS[[#This Row],[Capital($)]:[Interés
Resarcitorio($)]])</f>
        <v>7582.741</v>
      </c>
      <c r="G2424" s="8">
        <v>46930</v>
      </c>
      <c r="H2424" s="80" t="s">
        <v>52</v>
      </c>
      <c r="I2424" s="79" t="s">
        <v>7</v>
      </c>
      <c r="J2424" s="81">
        <v>120</v>
      </c>
      <c r="K2424" t="s">
        <v>47</v>
      </c>
    </row>
    <row r="2425" spans="2:11" x14ac:dyDescent="0.25">
      <c r="B2425" s="2">
        <v>98</v>
      </c>
      <c r="C2425" s="4">
        <v>1722.1310000000001</v>
      </c>
      <c r="D2425" s="4">
        <v>5012.7790000000005</v>
      </c>
      <c r="E2425" s="79">
        <v>0</v>
      </c>
      <c r="F2425" s="79">
        <f>SUM(BASE_DATOS[[#This Row],[Capital($)]:[Interés
Resarcitorio($)]])</f>
        <v>6734.9100000000008</v>
      </c>
      <c r="G2425" s="8">
        <v>46950</v>
      </c>
      <c r="H2425" s="80" t="s">
        <v>52</v>
      </c>
      <c r="I2425" s="79" t="s">
        <v>6</v>
      </c>
      <c r="J2425" s="81">
        <v>120</v>
      </c>
      <c r="K2425" t="s">
        <v>47</v>
      </c>
    </row>
    <row r="2426" spans="2:11" x14ac:dyDescent="0.25">
      <c r="B2426" s="2">
        <f>+B2425</f>
        <v>98</v>
      </c>
      <c r="C2426" s="4">
        <v>1722.1310000000001</v>
      </c>
      <c r="D2426" s="4">
        <v>5012.7790000000005</v>
      </c>
      <c r="E2426" s="79">
        <v>897.99</v>
      </c>
      <c r="F2426" s="79">
        <f>SUM(BASE_DATOS[[#This Row],[Capital($)]:[Interés
Resarcitorio($)]])</f>
        <v>7632.9000000000005</v>
      </c>
      <c r="G2426" s="8">
        <v>46960</v>
      </c>
      <c r="H2426" s="80" t="s">
        <v>52</v>
      </c>
      <c r="I2426" s="79" t="s">
        <v>7</v>
      </c>
      <c r="J2426" s="81">
        <v>120</v>
      </c>
      <c r="K2426" t="s">
        <v>47</v>
      </c>
    </row>
    <row r="2427" spans="2:11" x14ac:dyDescent="0.25">
      <c r="B2427" s="2">
        <v>99</v>
      </c>
      <c r="C2427" s="4">
        <v>1722.1310000000001</v>
      </c>
      <c r="D2427" s="4">
        <v>5057.0379999999996</v>
      </c>
      <c r="E2427" s="79">
        <v>0</v>
      </c>
      <c r="F2427" s="79">
        <f>SUM(BASE_DATOS[[#This Row],[Capital($)]:[Interés
Resarcitorio($)]])</f>
        <v>6779.1689999999999</v>
      </c>
      <c r="G2427" s="8">
        <v>46981</v>
      </c>
      <c r="H2427" s="80" t="s">
        <v>52</v>
      </c>
      <c r="I2427" s="79" t="s">
        <v>6</v>
      </c>
      <c r="J2427" s="81">
        <v>120</v>
      </c>
      <c r="K2427" t="s">
        <v>47</v>
      </c>
    </row>
    <row r="2428" spans="2:11" x14ac:dyDescent="0.25">
      <c r="B2428" s="2">
        <f>+B2427</f>
        <v>99</v>
      </c>
      <c r="C2428" s="4">
        <v>1722.1310000000001</v>
      </c>
      <c r="D2428" s="4">
        <v>5057.0379999999996</v>
      </c>
      <c r="E2428" s="79">
        <v>903.89</v>
      </c>
      <c r="F2428" s="79">
        <f>SUM(BASE_DATOS[[#This Row],[Capital($)]:[Interés
Resarcitorio($)]])</f>
        <v>7683.0590000000002</v>
      </c>
      <c r="G2428" s="8">
        <v>46991</v>
      </c>
      <c r="H2428" s="80" t="s">
        <v>52</v>
      </c>
      <c r="I2428" s="79" t="s">
        <v>7</v>
      </c>
      <c r="J2428" s="81">
        <v>120</v>
      </c>
      <c r="K2428" t="s">
        <v>47</v>
      </c>
    </row>
    <row r="2429" spans="2:11" x14ac:dyDescent="0.25">
      <c r="B2429" s="2">
        <v>100</v>
      </c>
      <c r="C2429" s="4">
        <v>1722.1310000000001</v>
      </c>
      <c r="D2429" s="4">
        <v>5101.2960000000003</v>
      </c>
      <c r="E2429" s="79">
        <v>0</v>
      </c>
      <c r="F2429" s="79">
        <f>SUM(BASE_DATOS[[#This Row],[Capital($)]:[Interés
Resarcitorio($)]])</f>
        <v>6823.4270000000006</v>
      </c>
      <c r="G2429" s="8">
        <v>47012</v>
      </c>
      <c r="H2429" s="80" t="s">
        <v>52</v>
      </c>
      <c r="I2429" s="79" t="s">
        <v>6</v>
      </c>
      <c r="J2429" s="81">
        <v>120</v>
      </c>
      <c r="K2429" t="s">
        <v>47</v>
      </c>
    </row>
    <row r="2430" spans="2:11" x14ac:dyDescent="0.25">
      <c r="B2430" s="2">
        <f>+B2429</f>
        <v>100</v>
      </c>
      <c r="C2430" s="4">
        <v>1722.1310000000001</v>
      </c>
      <c r="D2430" s="4">
        <v>5101.2960000000003</v>
      </c>
      <c r="E2430" s="79">
        <v>909.79</v>
      </c>
      <c r="F2430" s="79">
        <f>SUM(BASE_DATOS[[#This Row],[Capital($)]:[Interés
Resarcitorio($)]])</f>
        <v>7733.2170000000006</v>
      </c>
      <c r="G2430" s="8">
        <v>47022</v>
      </c>
      <c r="H2430" s="80" t="s">
        <v>52</v>
      </c>
      <c r="I2430" s="79" t="s">
        <v>7</v>
      </c>
      <c r="J2430" s="81">
        <v>120</v>
      </c>
      <c r="K2430" t="s">
        <v>47</v>
      </c>
    </row>
    <row r="2431" spans="2:11" x14ac:dyDescent="0.25">
      <c r="B2431" s="2">
        <v>101</v>
      </c>
      <c r="C2431" s="4">
        <v>1722.1310000000001</v>
      </c>
      <c r="D2431" s="4">
        <v>5145.5550000000003</v>
      </c>
      <c r="E2431" s="79">
        <v>0</v>
      </c>
      <c r="F2431" s="79">
        <f>SUM(BASE_DATOS[[#This Row],[Capital($)]:[Interés
Resarcitorio($)]])</f>
        <v>6867.6860000000006</v>
      </c>
      <c r="G2431" s="8">
        <v>47042</v>
      </c>
      <c r="H2431" s="80" t="s">
        <v>52</v>
      </c>
      <c r="I2431" s="79" t="s">
        <v>6</v>
      </c>
      <c r="J2431" s="81">
        <v>120</v>
      </c>
      <c r="K2431" t="s">
        <v>47</v>
      </c>
    </row>
    <row r="2432" spans="2:11" x14ac:dyDescent="0.25">
      <c r="B2432" s="2">
        <f>+B2431</f>
        <v>101</v>
      </c>
      <c r="C2432" s="4">
        <v>1722.1310000000001</v>
      </c>
      <c r="D2432" s="4">
        <v>5145.5550000000003</v>
      </c>
      <c r="E2432" s="79">
        <v>915.69</v>
      </c>
      <c r="F2432" s="79">
        <f>SUM(BASE_DATOS[[#This Row],[Capital($)]:[Interés
Resarcitorio($)]])</f>
        <v>7783.3760000000002</v>
      </c>
      <c r="G2432" s="8">
        <v>47052</v>
      </c>
      <c r="H2432" s="80" t="s">
        <v>52</v>
      </c>
      <c r="I2432" s="79" t="s">
        <v>7</v>
      </c>
      <c r="J2432" s="81">
        <v>120</v>
      </c>
      <c r="K2432" t="s">
        <v>47</v>
      </c>
    </row>
    <row r="2433" spans="2:11" x14ac:dyDescent="0.25">
      <c r="B2433" s="2">
        <v>102</v>
      </c>
      <c r="C2433" s="4">
        <v>1722.1310000000001</v>
      </c>
      <c r="D2433" s="4">
        <v>5189.8140000000003</v>
      </c>
      <c r="E2433" s="79">
        <v>0</v>
      </c>
      <c r="F2433" s="79">
        <f>SUM(BASE_DATOS[[#This Row],[Capital($)]:[Interés
Resarcitorio($)]])</f>
        <v>6911.9450000000006</v>
      </c>
      <c r="G2433" s="8">
        <v>47073</v>
      </c>
      <c r="H2433" s="80" t="s">
        <v>52</v>
      </c>
      <c r="I2433" s="79" t="s">
        <v>6</v>
      </c>
      <c r="J2433" s="81">
        <v>120</v>
      </c>
      <c r="K2433" t="s">
        <v>47</v>
      </c>
    </row>
    <row r="2434" spans="2:11" x14ac:dyDescent="0.25">
      <c r="B2434" s="2">
        <f>+B2433</f>
        <v>102</v>
      </c>
      <c r="C2434" s="4">
        <v>1722.1310000000001</v>
      </c>
      <c r="D2434" s="4">
        <v>5189.8140000000003</v>
      </c>
      <c r="E2434" s="79">
        <v>921.59</v>
      </c>
      <c r="F2434" s="79">
        <f>SUM(BASE_DATOS[[#This Row],[Capital($)]:[Interés
Resarcitorio($)]])</f>
        <v>7833.5350000000008</v>
      </c>
      <c r="G2434" s="8">
        <v>47083</v>
      </c>
      <c r="H2434" s="80" t="s">
        <v>52</v>
      </c>
      <c r="I2434" s="79" t="s">
        <v>7</v>
      </c>
      <c r="J2434" s="81">
        <v>120</v>
      </c>
      <c r="K2434" t="s">
        <v>47</v>
      </c>
    </row>
    <row r="2435" spans="2:11" x14ac:dyDescent="0.25">
      <c r="B2435" s="2">
        <v>103</v>
      </c>
      <c r="C2435" s="4">
        <v>1722.1310000000001</v>
      </c>
      <c r="D2435" s="4">
        <v>5234.0730000000003</v>
      </c>
      <c r="E2435" s="79">
        <v>0</v>
      </c>
      <c r="F2435" s="79">
        <f>SUM(BASE_DATOS[[#This Row],[Capital($)]:[Interés
Resarcitorio($)]])</f>
        <v>6956.2040000000006</v>
      </c>
      <c r="G2435" s="8">
        <v>47103</v>
      </c>
      <c r="H2435" s="80" t="s">
        <v>52</v>
      </c>
      <c r="I2435" s="79" t="s">
        <v>6</v>
      </c>
      <c r="J2435" s="81">
        <v>120</v>
      </c>
      <c r="K2435" t="s">
        <v>47</v>
      </c>
    </row>
    <row r="2436" spans="2:11" x14ac:dyDescent="0.25">
      <c r="B2436" s="2">
        <f>+B2435</f>
        <v>103</v>
      </c>
      <c r="C2436" s="4">
        <v>1722.1310000000001</v>
      </c>
      <c r="D2436" s="4">
        <v>5234.0730000000003</v>
      </c>
      <c r="E2436" s="79">
        <v>927.49</v>
      </c>
      <c r="F2436" s="79">
        <f>SUM(BASE_DATOS[[#This Row],[Capital($)]:[Interés
Resarcitorio($)]])</f>
        <v>7883.6940000000004</v>
      </c>
      <c r="G2436" s="8">
        <v>47113</v>
      </c>
      <c r="H2436" s="80" t="s">
        <v>52</v>
      </c>
      <c r="I2436" s="79" t="s">
        <v>7</v>
      </c>
      <c r="J2436" s="81">
        <v>120</v>
      </c>
      <c r="K2436" t="s">
        <v>47</v>
      </c>
    </row>
    <row r="2437" spans="2:11" x14ac:dyDescent="0.25">
      <c r="B2437" s="2">
        <v>104</v>
      </c>
      <c r="C2437" s="4">
        <v>1722.1310000000001</v>
      </c>
      <c r="D2437" s="4">
        <v>5278.3320000000003</v>
      </c>
      <c r="E2437" s="79">
        <v>0</v>
      </c>
      <c r="F2437" s="79">
        <f>SUM(BASE_DATOS[[#This Row],[Capital($)]:[Interés
Resarcitorio($)]])</f>
        <v>7000.4630000000006</v>
      </c>
      <c r="G2437" s="8">
        <v>47134</v>
      </c>
      <c r="H2437" s="80" t="s">
        <v>52</v>
      </c>
      <c r="I2437" s="79" t="s">
        <v>6</v>
      </c>
      <c r="J2437" s="81">
        <v>120</v>
      </c>
      <c r="K2437" t="s">
        <v>47</v>
      </c>
    </row>
    <row r="2438" spans="2:11" x14ac:dyDescent="0.25">
      <c r="B2438" s="2">
        <f>+B2437</f>
        <v>104</v>
      </c>
      <c r="C2438" s="4">
        <v>1722.1310000000001</v>
      </c>
      <c r="D2438" s="4">
        <v>5278.3320000000003</v>
      </c>
      <c r="E2438" s="79">
        <v>933.4</v>
      </c>
      <c r="F2438" s="79">
        <f>SUM(BASE_DATOS[[#This Row],[Capital($)]:[Interés
Resarcitorio($)]])</f>
        <v>7933.8630000000003</v>
      </c>
      <c r="G2438" s="8">
        <v>47144</v>
      </c>
      <c r="H2438" s="80" t="s">
        <v>52</v>
      </c>
      <c r="I2438" s="79" t="s">
        <v>7</v>
      </c>
      <c r="J2438" s="81">
        <v>120</v>
      </c>
      <c r="K2438" t="s">
        <v>47</v>
      </c>
    </row>
    <row r="2439" spans="2:11" x14ac:dyDescent="0.25">
      <c r="B2439" s="2">
        <v>105</v>
      </c>
      <c r="C2439" s="4">
        <v>1722.1310000000001</v>
      </c>
      <c r="D2439" s="4">
        <v>5322.59</v>
      </c>
      <c r="E2439" s="79">
        <v>0</v>
      </c>
      <c r="F2439" s="79">
        <f>SUM(BASE_DATOS[[#This Row],[Capital($)]:[Interés
Resarcitorio($)]])</f>
        <v>7044.7210000000005</v>
      </c>
      <c r="G2439" s="8">
        <v>47165</v>
      </c>
      <c r="H2439" s="80" t="s">
        <v>52</v>
      </c>
      <c r="I2439" s="79" t="s">
        <v>6</v>
      </c>
      <c r="J2439" s="81">
        <v>120</v>
      </c>
      <c r="K2439" t="s">
        <v>47</v>
      </c>
    </row>
    <row r="2440" spans="2:11" x14ac:dyDescent="0.25">
      <c r="B2440" s="2">
        <f>+B2439</f>
        <v>105</v>
      </c>
      <c r="C2440" s="4">
        <v>1722.1310000000001</v>
      </c>
      <c r="D2440" s="4">
        <v>5322.59</v>
      </c>
      <c r="E2440" s="79">
        <v>939.3</v>
      </c>
      <c r="F2440" s="79">
        <f>SUM(BASE_DATOS[[#This Row],[Capital($)]:[Interés
Resarcitorio($)]])</f>
        <v>7984.0210000000006</v>
      </c>
      <c r="G2440" s="8">
        <v>47175</v>
      </c>
      <c r="H2440" s="80" t="s">
        <v>52</v>
      </c>
      <c r="I2440" s="79" t="s">
        <v>7</v>
      </c>
      <c r="J2440" s="81">
        <v>120</v>
      </c>
      <c r="K2440" t="s">
        <v>47</v>
      </c>
    </row>
    <row r="2441" spans="2:11" x14ac:dyDescent="0.25">
      <c r="B2441" s="2">
        <v>106</v>
      </c>
      <c r="C2441" s="4">
        <v>1722.1310000000001</v>
      </c>
      <c r="D2441" s="4">
        <v>5366.8490000000002</v>
      </c>
      <c r="E2441" s="79">
        <v>0</v>
      </c>
      <c r="F2441" s="79">
        <f>SUM(BASE_DATOS[[#This Row],[Capital($)]:[Interés
Resarcitorio($)]])</f>
        <v>7088.9800000000005</v>
      </c>
      <c r="G2441" s="8">
        <v>47193</v>
      </c>
      <c r="H2441" s="80" t="s">
        <v>52</v>
      </c>
      <c r="I2441" s="79" t="s">
        <v>6</v>
      </c>
      <c r="J2441" s="81">
        <v>120</v>
      </c>
      <c r="K2441" t="s">
        <v>47</v>
      </c>
    </row>
    <row r="2442" spans="2:11" x14ac:dyDescent="0.25">
      <c r="B2442" s="2">
        <f>+B2441</f>
        <v>106</v>
      </c>
      <c r="C2442" s="4">
        <v>1722.1310000000001</v>
      </c>
      <c r="D2442" s="4">
        <v>5366.8490000000002</v>
      </c>
      <c r="E2442" s="79">
        <v>945.2</v>
      </c>
      <c r="F2442" s="79">
        <f>SUM(BASE_DATOS[[#This Row],[Capital($)]:[Interés
Resarcitorio($)]])</f>
        <v>8034.18</v>
      </c>
      <c r="G2442" s="8">
        <v>47203</v>
      </c>
      <c r="H2442" s="80" t="s">
        <v>52</v>
      </c>
      <c r="I2442" s="79" t="s">
        <v>7</v>
      </c>
      <c r="J2442" s="81">
        <v>120</v>
      </c>
      <c r="K2442" t="s">
        <v>47</v>
      </c>
    </row>
    <row r="2443" spans="2:11" x14ac:dyDescent="0.25">
      <c r="B2443" s="2">
        <v>107</v>
      </c>
      <c r="C2443" s="4">
        <v>1722.1310000000001</v>
      </c>
      <c r="D2443" s="4">
        <v>5411.1080000000002</v>
      </c>
      <c r="E2443" s="79">
        <v>0</v>
      </c>
      <c r="F2443" s="79">
        <f>SUM(BASE_DATOS[[#This Row],[Capital($)]:[Interés
Resarcitorio($)]])</f>
        <v>7133.2390000000005</v>
      </c>
      <c r="G2443" s="8">
        <v>47224</v>
      </c>
      <c r="H2443" s="80" t="s">
        <v>52</v>
      </c>
      <c r="I2443" s="79" t="s">
        <v>6</v>
      </c>
      <c r="J2443" s="81">
        <v>120</v>
      </c>
      <c r="K2443" t="s">
        <v>47</v>
      </c>
    </row>
    <row r="2444" spans="2:11" x14ac:dyDescent="0.25">
      <c r="B2444" s="2">
        <f>+B2443</f>
        <v>107</v>
      </c>
      <c r="C2444" s="4">
        <v>1722.1310000000001</v>
      </c>
      <c r="D2444" s="4">
        <v>5411.1080000000002</v>
      </c>
      <c r="E2444" s="79">
        <v>951.1</v>
      </c>
      <c r="F2444" s="79">
        <f>SUM(BASE_DATOS[[#This Row],[Capital($)]:[Interés
Resarcitorio($)]])</f>
        <v>8084.3390000000009</v>
      </c>
      <c r="G2444" s="8">
        <v>47234</v>
      </c>
      <c r="H2444" s="80" t="s">
        <v>52</v>
      </c>
      <c r="I2444" s="79" t="s">
        <v>7</v>
      </c>
      <c r="J2444" s="81">
        <v>120</v>
      </c>
      <c r="K2444" t="s">
        <v>47</v>
      </c>
    </row>
    <row r="2445" spans="2:11" x14ac:dyDescent="0.25">
      <c r="B2445" s="2">
        <v>108</v>
      </c>
      <c r="C2445" s="4">
        <v>1722.1310000000001</v>
      </c>
      <c r="D2445" s="4">
        <v>5455.3670000000002</v>
      </c>
      <c r="E2445" s="79">
        <v>0</v>
      </c>
      <c r="F2445" s="79">
        <f>SUM(BASE_DATOS[[#This Row],[Capital($)]:[Interés
Resarcitorio($)]])</f>
        <v>7177.4980000000005</v>
      </c>
      <c r="G2445" s="8">
        <v>47254</v>
      </c>
      <c r="H2445" s="80" t="s">
        <v>52</v>
      </c>
      <c r="I2445" s="79" t="s">
        <v>6</v>
      </c>
      <c r="J2445" s="81">
        <v>120</v>
      </c>
      <c r="K2445" t="s">
        <v>47</v>
      </c>
    </row>
    <row r="2446" spans="2:11" x14ac:dyDescent="0.25">
      <c r="B2446" s="2">
        <f>+B2445</f>
        <v>108</v>
      </c>
      <c r="C2446" s="4">
        <v>1722.1310000000001</v>
      </c>
      <c r="D2446" s="4">
        <v>5455.3670000000002</v>
      </c>
      <c r="E2446" s="79">
        <v>957</v>
      </c>
      <c r="F2446" s="79">
        <f>SUM(BASE_DATOS[[#This Row],[Capital($)]:[Interés
Resarcitorio($)]])</f>
        <v>8134.4980000000005</v>
      </c>
      <c r="G2446" s="8">
        <v>47264</v>
      </c>
      <c r="H2446" s="80" t="s">
        <v>52</v>
      </c>
      <c r="I2446" s="79" t="s">
        <v>7</v>
      </c>
      <c r="J2446" s="81">
        <v>120</v>
      </c>
      <c r="K2446" t="s">
        <v>47</v>
      </c>
    </row>
    <row r="2447" spans="2:11" x14ac:dyDescent="0.25">
      <c r="B2447" s="2">
        <v>109</v>
      </c>
      <c r="C2447" s="4">
        <v>1722.1310000000001</v>
      </c>
      <c r="D2447" s="4">
        <v>5499.625</v>
      </c>
      <c r="E2447" s="79">
        <v>0</v>
      </c>
      <c r="F2447" s="79">
        <f>SUM(BASE_DATOS[[#This Row],[Capital($)]:[Interés
Resarcitorio($)]])</f>
        <v>7221.7560000000003</v>
      </c>
      <c r="G2447" s="8">
        <v>47285</v>
      </c>
      <c r="H2447" s="80" t="s">
        <v>52</v>
      </c>
      <c r="I2447" s="79" t="s">
        <v>6</v>
      </c>
      <c r="J2447" s="81">
        <v>120</v>
      </c>
      <c r="K2447" t="s">
        <v>47</v>
      </c>
    </row>
    <row r="2448" spans="2:11" x14ac:dyDescent="0.25">
      <c r="B2448" s="2">
        <f>+B2447</f>
        <v>109</v>
      </c>
      <c r="C2448" s="4">
        <v>1722.1310000000001</v>
      </c>
      <c r="D2448" s="4">
        <v>5499.625</v>
      </c>
      <c r="E2448" s="79">
        <v>962.9</v>
      </c>
      <c r="F2448" s="79">
        <f>SUM(BASE_DATOS[[#This Row],[Capital($)]:[Interés
Resarcitorio($)]])</f>
        <v>8184.6559999999999</v>
      </c>
      <c r="G2448" s="8">
        <v>47295</v>
      </c>
      <c r="H2448" s="80" t="s">
        <v>52</v>
      </c>
      <c r="I2448" s="79" t="s">
        <v>7</v>
      </c>
      <c r="J2448" s="81">
        <v>120</v>
      </c>
      <c r="K2448" t="s">
        <v>47</v>
      </c>
    </row>
    <row r="2449" spans="2:11" x14ac:dyDescent="0.25">
      <c r="B2449" s="2">
        <v>110</v>
      </c>
      <c r="C2449" s="4">
        <v>1722.1310000000001</v>
      </c>
      <c r="D2449" s="4">
        <v>5543.884</v>
      </c>
      <c r="E2449" s="79">
        <v>0</v>
      </c>
      <c r="F2449" s="79">
        <f>SUM(BASE_DATOS[[#This Row],[Capital($)]:[Interés
Resarcitorio($)]])</f>
        <v>7266.0150000000003</v>
      </c>
      <c r="G2449" s="8">
        <v>47315</v>
      </c>
      <c r="H2449" s="80" t="s">
        <v>52</v>
      </c>
      <c r="I2449" s="79" t="s">
        <v>6</v>
      </c>
      <c r="J2449" s="81">
        <v>120</v>
      </c>
      <c r="K2449" t="s">
        <v>47</v>
      </c>
    </row>
    <row r="2450" spans="2:11" x14ac:dyDescent="0.25">
      <c r="B2450" s="2">
        <f>+B2449</f>
        <v>110</v>
      </c>
      <c r="C2450" s="4">
        <v>1722.1310000000001</v>
      </c>
      <c r="D2450" s="4">
        <v>5543.884</v>
      </c>
      <c r="E2450" s="79">
        <v>968.8</v>
      </c>
      <c r="F2450" s="79">
        <f>SUM(BASE_DATOS[[#This Row],[Capital($)]:[Interés
Resarcitorio($)]])</f>
        <v>8234.8150000000005</v>
      </c>
      <c r="G2450" s="8">
        <v>47325</v>
      </c>
      <c r="H2450" s="80" t="s">
        <v>52</v>
      </c>
      <c r="I2450" s="79" t="s">
        <v>7</v>
      </c>
      <c r="J2450" s="81">
        <v>120</v>
      </c>
      <c r="K2450" t="s">
        <v>47</v>
      </c>
    </row>
    <row r="2451" spans="2:11" x14ac:dyDescent="0.25">
      <c r="B2451" s="2">
        <v>111</v>
      </c>
      <c r="C2451" s="4">
        <v>1722.1310000000001</v>
      </c>
      <c r="D2451" s="4">
        <v>5588.143</v>
      </c>
      <c r="E2451" s="79">
        <v>0</v>
      </c>
      <c r="F2451" s="79">
        <f>SUM(BASE_DATOS[[#This Row],[Capital($)]:[Interés
Resarcitorio($)]])</f>
        <v>7310.2740000000003</v>
      </c>
      <c r="G2451" s="8">
        <v>47346</v>
      </c>
      <c r="H2451" s="80" t="s">
        <v>52</v>
      </c>
      <c r="I2451" s="79" t="s">
        <v>6</v>
      </c>
      <c r="J2451" s="81">
        <v>120</v>
      </c>
      <c r="K2451" t="s">
        <v>47</v>
      </c>
    </row>
    <row r="2452" spans="2:11" x14ac:dyDescent="0.25">
      <c r="B2452" s="2">
        <f>+B2451</f>
        <v>111</v>
      </c>
      <c r="C2452" s="4">
        <v>1722.1310000000001</v>
      </c>
      <c r="D2452" s="4">
        <v>5588.143</v>
      </c>
      <c r="E2452" s="79">
        <v>974.7</v>
      </c>
      <c r="F2452" s="79">
        <f>SUM(BASE_DATOS[[#This Row],[Capital($)]:[Interés
Resarcitorio($)]])</f>
        <v>8284.9740000000002</v>
      </c>
      <c r="G2452" s="8">
        <v>47356</v>
      </c>
      <c r="H2452" s="80" t="s">
        <v>52</v>
      </c>
      <c r="I2452" s="79" t="s">
        <v>7</v>
      </c>
      <c r="J2452" s="81">
        <v>120</v>
      </c>
      <c r="K2452" t="s">
        <v>47</v>
      </c>
    </row>
    <row r="2453" spans="2:11" x14ac:dyDescent="0.25">
      <c r="B2453" s="2">
        <v>112</v>
      </c>
      <c r="C2453" s="4">
        <v>1722.1310000000001</v>
      </c>
      <c r="D2453" s="4">
        <v>5632.402</v>
      </c>
      <c r="E2453" s="79">
        <v>0</v>
      </c>
      <c r="F2453" s="79">
        <f>SUM(BASE_DATOS[[#This Row],[Capital($)]:[Interés
Resarcitorio($)]])</f>
        <v>7354.5330000000004</v>
      </c>
      <c r="G2453" s="8">
        <v>47377</v>
      </c>
      <c r="H2453" s="80" t="s">
        <v>52</v>
      </c>
      <c r="I2453" s="79" t="s">
        <v>6</v>
      </c>
      <c r="J2453" s="81">
        <v>120</v>
      </c>
      <c r="K2453" t="s">
        <v>47</v>
      </c>
    </row>
    <row r="2454" spans="2:11" x14ac:dyDescent="0.25">
      <c r="B2454" s="2">
        <f>+B2453</f>
        <v>112</v>
      </c>
      <c r="C2454" s="4">
        <v>1722.1310000000001</v>
      </c>
      <c r="D2454" s="4">
        <v>5632.402</v>
      </c>
      <c r="E2454" s="79">
        <v>980.6</v>
      </c>
      <c r="F2454" s="79">
        <f>SUM(BASE_DATOS[[#This Row],[Capital($)]:[Interés
Resarcitorio($)]])</f>
        <v>8335.1329999999998</v>
      </c>
      <c r="G2454" s="8">
        <v>47387</v>
      </c>
      <c r="H2454" s="80" t="s">
        <v>52</v>
      </c>
      <c r="I2454" s="79" t="s">
        <v>7</v>
      </c>
      <c r="J2454" s="81">
        <v>120</v>
      </c>
      <c r="K2454" t="s">
        <v>47</v>
      </c>
    </row>
    <row r="2455" spans="2:11" x14ac:dyDescent="0.25">
      <c r="B2455" s="2">
        <v>113</v>
      </c>
      <c r="C2455" s="4">
        <v>1722.1310000000001</v>
      </c>
      <c r="D2455" s="4">
        <v>5676.66</v>
      </c>
      <c r="E2455" s="79">
        <v>0</v>
      </c>
      <c r="F2455" s="79">
        <f>SUM(BASE_DATOS[[#This Row],[Capital($)]:[Interés
Resarcitorio($)]])</f>
        <v>7398.7910000000002</v>
      </c>
      <c r="G2455" s="8">
        <v>47407</v>
      </c>
      <c r="H2455" s="80" t="s">
        <v>52</v>
      </c>
      <c r="I2455" s="79" t="s">
        <v>6</v>
      </c>
      <c r="J2455" s="81">
        <v>120</v>
      </c>
      <c r="K2455" t="s">
        <v>47</v>
      </c>
    </row>
    <row r="2456" spans="2:11" x14ac:dyDescent="0.25">
      <c r="B2456" s="2">
        <f>+B2455</f>
        <v>113</v>
      </c>
      <c r="C2456" s="4">
        <v>1722.1310000000001</v>
      </c>
      <c r="D2456" s="4">
        <v>5676.66</v>
      </c>
      <c r="E2456" s="79">
        <v>986.51</v>
      </c>
      <c r="F2456" s="79">
        <f>SUM(BASE_DATOS[[#This Row],[Capital($)]:[Interés
Resarcitorio($)]])</f>
        <v>8385.3009999999995</v>
      </c>
      <c r="G2456" s="8">
        <v>47417</v>
      </c>
      <c r="H2456" s="80" t="s">
        <v>52</v>
      </c>
      <c r="I2456" s="79" t="s">
        <v>7</v>
      </c>
      <c r="J2456" s="81">
        <v>120</v>
      </c>
      <c r="K2456" t="s">
        <v>47</v>
      </c>
    </row>
    <row r="2457" spans="2:11" x14ac:dyDescent="0.25">
      <c r="B2457" s="2">
        <v>114</v>
      </c>
      <c r="C2457" s="4">
        <v>1722.1310000000001</v>
      </c>
      <c r="D2457" s="4">
        <v>5720.9189999999999</v>
      </c>
      <c r="E2457" s="79">
        <v>0</v>
      </c>
      <c r="F2457" s="79">
        <f>SUM(BASE_DATOS[[#This Row],[Capital($)]:[Interés
Resarcitorio($)]])</f>
        <v>7443.05</v>
      </c>
      <c r="G2457" s="8">
        <v>47438</v>
      </c>
      <c r="H2457" s="80" t="s">
        <v>52</v>
      </c>
      <c r="I2457" s="79" t="s">
        <v>6</v>
      </c>
      <c r="J2457" s="81">
        <v>120</v>
      </c>
      <c r="K2457" t="s">
        <v>47</v>
      </c>
    </row>
    <row r="2458" spans="2:11" x14ac:dyDescent="0.25">
      <c r="B2458" s="2">
        <f>+B2457</f>
        <v>114</v>
      </c>
      <c r="C2458" s="4">
        <v>1722.1310000000001</v>
      </c>
      <c r="D2458" s="4">
        <v>5720.9189999999999</v>
      </c>
      <c r="E2458" s="79">
        <v>992.41</v>
      </c>
      <c r="F2458" s="79">
        <f>SUM(BASE_DATOS[[#This Row],[Capital($)]:[Interés
Resarcitorio($)]])</f>
        <v>8435.4600000000009</v>
      </c>
      <c r="G2458" s="8">
        <v>47448</v>
      </c>
      <c r="H2458" s="80" t="s">
        <v>52</v>
      </c>
      <c r="I2458" s="79" t="s">
        <v>7</v>
      </c>
      <c r="J2458" s="81">
        <v>120</v>
      </c>
      <c r="K2458" t="s">
        <v>47</v>
      </c>
    </row>
    <row r="2459" spans="2:11" x14ac:dyDescent="0.25">
      <c r="B2459" s="2">
        <v>115</v>
      </c>
      <c r="C2459" s="4">
        <v>1722.1310000000001</v>
      </c>
      <c r="D2459" s="4">
        <v>5765.1779999999999</v>
      </c>
      <c r="E2459" s="79">
        <v>0</v>
      </c>
      <c r="F2459" s="79">
        <f>SUM(BASE_DATOS[[#This Row],[Capital($)]:[Interés
Resarcitorio($)]])</f>
        <v>7487.3090000000002</v>
      </c>
      <c r="G2459" s="8">
        <v>47468</v>
      </c>
      <c r="H2459" s="80" t="s">
        <v>52</v>
      </c>
      <c r="I2459" s="79" t="s">
        <v>6</v>
      </c>
      <c r="J2459" s="81">
        <v>120</v>
      </c>
      <c r="K2459" t="s">
        <v>47</v>
      </c>
    </row>
    <row r="2460" spans="2:11" x14ac:dyDescent="0.25">
      <c r="B2460" s="2">
        <f>+B2459</f>
        <v>115</v>
      </c>
      <c r="C2460" s="4">
        <v>1722.1310000000001</v>
      </c>
      <c r="D2460" s="4">
        <v>5765.1779999999999</v>
      </c>
      <c r="E2460" s="79">
        <v>998.31</v>
      </c>
      <c r="F2460" s="79">
        <f>SUM(BASE_DATOS[[#This Row],[Capital($)]:[Interés
Resarcitorio($)]])</f>
        <v>8485.6190000000006</v>
      </c>
      <c r="G2460" s="8">
        <v>47478</v>
      </c>
      <c r="H2460" s="80" t="s">
        <v>52</v>
      </c>
      <c r="I2460" s="79" t="s">
        <v>7</v>
      </c>
      <c r="J2460" s="81">
        <v>120</v>
      </c>
      <c r="K2460" t="s">
        <v>47</v>
      </c>
    </row>
    <row r="2461" spans="2:11" x14ac:dyDescent="0.25">
      <c r="B2461" s="2">
        <v>116</v>
      </c>
      <c r="C2461" s="4">
        <v>1722.1310000000001</v>
      </c>
      <c r="D2461" s="4">
        <v>5809.4369999999999</v>
      </c>
      <c r="E2461" s="79">
        <v>0</v>
      </c>
      <c r="F2461" s="79">
        <f>SUM(BASE_DATOS[[#This Row],[Capital($)]:[Interés
Resarcitorio($)]])</f>
        <v>7531.5680000000002</v>
      </c>
      <c r="G2461" s="8">
        <v>47499</v>
      </c>
      <c r="H2461" s="80" t="s">
        <v>52</v>
      </c>
      <c r="I2461" s="79" t="s">
        <v>6</v>
      </c>
      <c r="J2461" s="81">
        <v>120</v>
      </c>
      <c r="K2461" t="s">
        <v>47</v>
      </c>
    </row>
    <row r="2462" spans="2:11" x14ac:dyDescent="0.25">
      <c r="B2462" s="2">
        <f>+B2461</f>
        <v>116</v>
      </c>
      <c r="C2462" s="4">
        <v>1722.1310000000001</v>
      </c>
      <c r="D2462" s="4">
        <v>5809.4369999999999</v>
      </c>
      <c r="E2462" s="79">
        <v>1004.21</v>
      </c>
      <c r="F2462" s="79">
        <f>SUM(BASE_DATOS[[#This Row],[Capital($)]:[Interés
Resarcitorio($)]])</f>
        <v>8535.7780000000002</v>
      </c>
      <c r="G2462" s="8">
        <v>47509</v>
      </c>
      <c r="H2462" s="80" t="s">
        <v>52</v>
      </c>
      <c r="I2462" s="79" t="s">
        <v>7</v>
      </c>
      <c r="J2462" s="81">
        <v>120</v>
      </c>
      <c r="K2462" t="s">
        <v>47</v>
      </c>
    </row>
    <row r="2463" spans="2:11" x14ac:dyDescent="0.25">
      <c r="B2463" s="2">
        <v>117</v>
      </c>
      <c r="C2463" s="4">
        <v>1722.1310000000001</v>
      </c>
      <c r="D2463" s="4">
        <v>5853.6949999999997</v>
      </c>
      <c r="E2463" s="79">
        <v>0</v>
      </c>
      <c r="F2463" s="79">
        <f>SUM(BASE_DATOS[[#This Row],[Capital($)]:[Interés
Resarcitorio($)]])</f>
        <v>7575.826</v>
      </c>
      <c r="G2463" s="8">
        <v>47530</v>
      </c>
      <c r="H2463" s="80" t="s">
        <v>52</v>
      </c>
      <c r="I2463" s="79" t="s">
        <v>6</v>
      </c>
      <c r="J2463" s="81">
        <v>120</v>
      </c>
      <c r="K2463" t="s">
        <v>47</v>
      </c>
    </row>
    <row r="2464" spans="2:11" x14ac:dyDescent="0.25">
      <c r="B2464" s="2">
        <f>+B2463</f>
        <v>117</v>
      </c>
      <c r="C2464" s="4">
        <v>1722.1310000000001</v>
      </c>
      <c r="D2464" s="4">
        <v>5853.6949999999997</v>
      </c>
      <c r="E2464" s="79">
        <v>1010.11</v>
      </c>
      <c r="F2464" s="79">
        <f>SUM(BASE_DATOS[[#This Row],[Capital($)]:[Interés
Resarcitorio($)]])</f>
        <v>8585.9359999999997</v>
      </c>
      <c r="G2464" s="8">
        <v>47540</v>
      </c>
      <c r="H2464" s="80" t="s">
        <v>52</v>
      </c>
      <c r="I2464" s="79" t="s">
        <v>7</v>
      </c>
      <c r="J2464" s="81">
        <v>120</v>
      </c>
      <c r="K2464" t="s">
        <v>47</v>
      </c>
    </row>
    <row r="2465" spans="2:11" x14ac:dyDescent="0.25">
      <c r="B2465" s="2">
        <v>118</v>
      </c>
      <c r="C2465" s="4">
        <v>1722.1310000000001</v>
      </c>
      <c r="D2465" s="4">
        <v>5897.9539999999997</v>
      </c>
      <c r="E2465" s="79">
        <v>0</v>
      </c>
      <c r="F2465" s="79">
        <f>SUM(BASE_DATOS[[#This Row],[Capital($)]:[Interés
Resarcitorio($)]])</f>
        <v>7620.085</v>
      </c>
      <c r="G2465" s="8">
        <v>47558</v>
      </c>
      <c r="H2465" s="80" t="s">
        <v>52</v>
      </c>
      <c r="I2465" s="79" t="s">
        <v>6</v>
      </c>
      <c r="J2465" s="81">
        <v>120</v>
      </c>
      <c r="K2465" t="s">
        <v>47</v>
      </c>
    </row>
    <row r="2466" spans="2:11" x14ac:dyDescent="0.25">
      <c r="B2466" s="2">
        <f>+B2465</f>
        <v>118</v>
      </c>
      <c r="C2466" s="4">
        <v>1722.1310000000001</v>
      </c>
      <c r="D2466" s="4">
        <v>5897.9539999999997</v>
      </c>
      <c r="E2466" s="79">
        <v>1016.01</v>
      </c>
      <c r="F2466" s="79">
        <f>SUM(BASE_DATOS[[#This Row],[Capital($)]:[Interés
Resarcitorio($)]])</f>
        <v>8636.0949999999993</v>
      </c>
      <c r="G2466" s="8">
        <v>47568</v>
      </c>
      <c r="H2466" s="80" t="s">
        <v>52</v>
      </c>
      <c r="I2466" s="79" t="s">
        <v>7</v>
      </c>
      <c r="J2466" s="81">
        <v>120</v>
      </c>
      <c r="K2466" t="s">
        <v>47</v>
      </c>
    </row>
    <row r="2467" spans="2:11" x14ac:dyDescent="0.25">
      <c r="B2467" s="2">
        <v>119</v>
      </c>
      <c r="C2467" s="4">
        <v>1722.1310000000001</v>
      </c>
      <c r="D2467" s="4">
        <v>5942.2129999999997</v>
      </c>
      <c r="E2467" s="79">
        <v>0</v>
      </c>
      <c r="F2467" s="79">
        <f>SUM(BASE_DATOS[[#This Row],[Capital($)]:[Interés
Resarcitorio($)]])</f>
        <v>7664.3440000000001</v>
      </c>
      <c r="G2467" s="8">
        <v>47589</v>
      </c>
      <c r="H2467" s="80" t="s">
        <v>52</v>
      </c>
      <c r="I2467" s="79" t="s">
        <v>6</v>
      </c>
      <c r="J2467" s="81">
        <v>120</v>
      </c>
      <c r="K2467" t="s">
        <v>47</v>
      </c>
    </row>
    <row r="2468" spans="2:11" x14ac:dyDescent="0.25">
      <c r="B2468" s="2">
        <f>+B2467</f>
        <v>119</v>
      </c>
      <c r="C2468" s="4">
        <v>1722.1310000000001</v>
      </c>
      <c r="D2468" s="4">
        <v>5942.2129999999997</v>
      </c>
      <c r="E2468" s="79">
        <v>1021.91</v>
      </c>
      <c r="F2468" s="79">
        <f>SUM(BASE_DATOS[[#This Row],[Capital($)]:[Interés
Resarcitorio($)]])</f>
        <v>8686.2540000000008</v>
      </c>
      <c r="G2468" s="8">
        <v>47599</v>
      </c>
      <c r="H2468" s="80" t="s">
        <v>52</v>
      </c>
      <c r="I2468" s="79" t="s">
        <v>7</v>
      </c>
      <c r="J2468" s="81">
        <v>120</v>
      </c>
      <c r="K2468" t="s">
        <v>47</v>
      </c>
    </row>
    <row r="2469" spans="2:11" x14ac:dyDescent="0.25">
      <c r="B2469" s="2">
        <v>120</v>
      </c>
      <c r="C2469" s="4">
        <v>1722.173</v>
      </c>
      <c r="D2469" s="4">
        <v>5986.6180000000004</v>
      </c>
      <c r="E2469" s="79">
        <v>0</v>
      </c>
      <c r="F2469" s="79">
        <f>SUM(BASE_DATOS[[#This Row],[Capital($)]:[Interés
Resarcitorio($)]])</f>
        <v>7708.7910000000002</v>
      </c>
      <c r="G2469" s="8">
        <v>47619</v>
      </c>
      <c r="H2469" s="80" t="s">
        <v>52</v>
      </c>
      <c r="I2469" s="79" t="s">
        <v>6</v>
      </c>
      <c r="J2469" s="81">
        <v>120</v>
      </c>
      <c r="K2469" t="s">
        <v>47</v>
      </c>
    </row>
    <row r="2470" spans="2:11" x14ac:dyDescent="0.25">
      <c r="B2470" s="2">
        <v>120</v>
      </c>
      <c r="C2470" s="4">
        <v>1722.173</v>
      </c>
      <c r="D2470" s="4">
        <v>5986.6180000000004</v>
      </c>
      <c r="E2470" s="79">
        <v>1027.8399999999999</v>
      </c>
      <c r="F2470" s="79">
        <f>SUM(BASE_DATOS[[#This Row],[Capital($)]:[Interés
Resarcitorio($)]])</f>
        <v>8736.6309999999994</v>
      </c>
      <c r="G2470" s="8">
        <v>47629</v>
      </c>
      <c r="H2470" s="80" t="s">
        <v>52</v>
      </c>
      <c r="I2470" s="79" t="s">
        <v>7</v>
      </c>
      <c r="J2470" s="81">
        <v>120</v>
      </c>
      <c r="K2470" t="s">
        <v>47</v>
      </c>
    </row>
    <row r="2471" spans="2:11" x14ac:dyDescent="0.25">
      <c r="B2471" s="2">
        <v>1</v>
      </c>
      <c r="C2471" s="4">
        <v>1700.827</v>
      </c>
      <c r="D2471" s="4">
        <v>34.017000000000003</v>
      </c>
      <c r="E2471" s="79">
        <v>0</v>
      </c>
      <c r="F2471" s="79">
        <f>SUM(BASE_DATOS[[#This Row],[Capital($)]:[Interés
Resarcitorio($)]])</f>
        <v>1734.8440000000001</v>
      </c>
      <c r="G2471" s="8">
        <v>43998</v>
      </c>
      <c r="H2471" s="80" t="s">
        <v>53</v>
      </c>
      <c r="I2471" s="79" t="s">
        <v>9</v>
      </c>
      <c r="J2471" s="81">
        <v>120</v>
      </c>
      <c r="K2471" t="s">
        <v>47</v>
      </c>
    </row>
    <row r="2472" spans="2:11" x14ac:dyDescent="0.25">
      <c r="B2472" s="2">
        <f>+B2471</f>
        <v>1</v>
      </c>
      <c r="C2472" s="4">
        <v>1700.827</v>
      </c>
      <c r="D2472" s="4">
        <v>34.017000000000003</v>
      </c>
      <c r="E2472" s="79">
        <v>144.57</v>
      </c>
      <c r="F2472" s="79">
        <f>SUM(BASE_DATOS[[#This Row],[Capital($)]:[Interés
Resarcitorio($)]])</f>
        <v>1879.414</v>
      </c>
      <c r="G2472" s="8">
        <v>44008</v>
      </c>
      <c r="H2472" s="80" t="s">
        <v>53</v>
      </c>
      <c r="I2472" s="79" t="s">
        <v>7</v>
      </c>
      <c r="J2472" s="81">
        <v>120</v>
      </c>
      <c r="K2472" t="s">
        <v>47</v>
      </c>
    </row>
    <row r="2473" spans="2:11" x14ac:dyDescent="0.25">
      <c r="B2473" s="2">
        <v>2</v>
      </c>
      <c r="C2473" s="4">
        <v>1700.827</v>
      </c>
      <c r="D2473" s="4">
        <v>83.340999999999994</v>
      </c>
      <c r="E2473" s="79">
        <v>0</v>
      </c>
      <c r="F2473" s="79">
        <f>SUM(BASE_DATOS[[#This Row],[Capital($)]:[Interés
Resarcitorio($)]])</f>
        <v>1784.1679999999999</v>
      </c>
      <c r="G2473" s="8">
        <v>44028</v>
      </c>
      <c r="H2473" s="80" t="s">
        <v>53</v>
      </c>
      <c r="I2473" s="79" t="s">
        <v>9</v>
      </c>
      <c r="J2473" s="81">
        <v>120</v>
      </c>
      <c r="K2473" t="s">
        <v>47</v>
      </c>
    </row>
    <row r="2474" spans="2:11" x14ac:dyDescent="0.25">
      <c r="B2474" s="2">
        <f>+B2473</f>
        <v>2</v>
      </c>
      <c r="C2474" s="4">
        <v>1700.827</v>
      </c>
      <c r="D2474" s="4">
        <v>83.340999999999994</v>
      </c>
      <c r="E2474" s="79">
        <v>164.14</v>
      </c>
      <c r="F2474" s="79">
        <f>SUM(BASE_DATOS[[#This Row],[Capital($)]:[Interés
Resarcitorio($)]])</f>
        <v>1948.308</v>
      </c>
      <c r="G2474" s="8">
        <v>44038</v>
      </c>
      <c r="H2474" s="80" t="s">
        <v>53</v>
      </c>
      <c r="I2474" s="79" t="s">
        <v>7</v>
      </c>
      <c r="J2474" s="81">
        <v>120</v>
      </c>
      <c r="K2474" t="s">
        <v>47</v>
      </c>
    </row>
    <row r="2475" spans="2:11" x14ac:dyDescent="0.25">
      <c r="B2475" s="2">
        <v>3</v>
      </c>
      <c r="C2475" s="4">
        <v>1700.827</v>
      </c>
      <c r="D2475" s="4">
        <v>136.066</v>
      </c>
      <c r="E2475" s="79">
        <v>0</v>
      </c>
      <c r="F2475" s="79">
        <f>SUM(BASE_DATOS[[#This Row],[Capital($)]:[Interés
Resarcitorio($)]])</f>
        <v>1836.893</v>
      </c>
      <c r="G2475" s="8">
        <v>44059</v>
      </c>
      <c r="H2475" s="80" t="s">
        <v>53</v>
      </c>
      <c r="I2475" s="79" t="s">
        <v>9</v>
      </c>
      <c r="J2475" s="81">
        <v>120</v>
      </c>
      <c r="K2475" t="s">
        <v>47</v>
      </c>
    </row>
    <row r="2476" spans="2:11" x14ac:dyDescent="0.25">
      <c r="B2476" s="2">
        <f>+B2475</f>
        <v>3</v>
      </c>
      <c r="C2476" s="4">
        <v>1700.827</v>
      </c>
      <c r="D2476" s="4">
        <v>136.066</v>
      </c>
      <c r="E2476" s="79">
        <v>168.99</v>
      </c>
      <c r="F2476" s="79">
        <f>SUM(BASE_DATOS[[#This Row],[Capital($)]:[Interés
Resarcitorio($)]])</f>
        <v>2005.883</v>
      </c>
      <c r="G2476" s="8">
        <v>44069</v>
      </c>
      <c r="H2476" s="80" t="s">
        <v>53</v>
      </c>
      <c r="I2476" s="79" t="s">
        <v>7</v>
      </c>
      <c r="J2476" s="81">
        <v>120</v>
      </c>
      <c r="K2476" t="s">
        <v>47</v>
      </c>
    </row>
    <row r="2477" spans="2:11" x14ac:dyDescent="0.25">
      <c r="B2477" s="2">
        <v>4</v>
      </c>
      <c r="C2477" s="4">
        <v>1700.827</v>
      </c>
      <c r="D2477" s="4">
        <v>187.09100000000001</v>
      </c>
      <c r="E2477" s="79">
        <v>0</v>
      </c>
      <c r="F2477" s="79">
        <f>SUM(BASE_DATOS[[#This Row],[Capital($)]:[Interés
Resarcitorio($)]])</f>
        <v>1887.9180000000001</v>
      </c>
      <c r="G2477" s="8">
        <v>44090</v>
      </c>
      <c r="H2477" s="80" t="s">
        <v>53</v>
      </c>
      <c r="I2477" s="79" t="s">
        <v>9</v>
      </c>
      <c r="J2477" s="81">
        <v>120</v>
      </c>
      <c r="K2477" t="s">
        <v>47</v>
      </c>
    </row>
    <row r="2478" spans="2:11" x14ac:dyDescent="0.25">
      <c r="B2478" s="2">
        <f>+B2477</f>
        <v>4</v>
      </c>
      <c r="C2478" s="4">
        <v>1700.827</v>
      </c>
      <c r="D2478" s="4">
        <v>187.09100000000001</v>
      </c>
      <c r="E2478" s="79">
        <v>173.69</v>
      </c>
      <c r="F2478" s="79">
        <f>SUM(BASE_DATOS[[#This Row],[Capital($)]:[Interés
Resarcitorio($)]])</f>
        <v>2061.6080000000002</v>
      </c>
      <c r="G2478" s="8">
        <v>44100</v>
      </c>
      <c r="H2478" s="80" t="s">
        <v>53</v>
      </c>
      <c r="I2478" s="79" t="s">
        <v>7</v>
      </c>
      <c r="J2478" s="81">
        <v>120</v>
      </c>
      <c r="K2478" t="s">
        <v>47</v>
      </c>
    </row>
    <row r="2479" spans="2:11" x14ac:dyDescent="0.25">
      <c r="B2479" s="2">
        <v>5</v>
      </c>
      <c r="C2479" s="4">
        <v>1700.827</v>
      </c>
      <c r="D2479" s="4">
        <v>236.41500000000002</v>
      </c>
      <c r="E2479" s="79">
        <v>0</v>
      </c>
      <c r="F2479" s="79">
        <f>SUM(BASE_DATOS[[#This Row],[Capital($)]:[Interés
Resarcitorio($)]])</f>
        <v>1937.242</v>
      </c>
      <c r="G2479" s="8">
        <v>44120</v>
      </c>
      <c r="H2479" s="80" t="s">
        <v>53</v>
      </c>
      <c r="I2479" s="79" t="s">
        <v>9</v>
      </c>
      <c r="J2479" s="81">
        <v>120</v>
      </c>
      <c r="K2479" t="s">
        <v>47</v>
      </c>
    </row>
    <row r="2480" spans="2:11" x14ac:dyDescent="0.25">
      <c r="B2480" s="2">
        <f>+B2479</f>
        <v>5</v>
      </c>
      <c r="C2480" s="4">
        <v>1700.827</v>
      </c>
      <c r="D2480" s="4">
        <v>236.41500000000002</v>
      </c>
      <c r="E2480" s="79">
        <v>195.02</v>
      </c>
      <c r="F2480" s="79">
        <f>SUM(BASE_DATOS[[#This Row],[Capital($)]:[Interés
Resarcitorio($)]])</f>
        <v>2132.2620000000002</v>
      </c>
      <c r="G2480" s="8">
        <v>44130</v>
      </c>
      <c r="H2480" s="80" t="s">
        <v>53</v>
      </c>
      <c r="I2480" s="79" t="s">
        <v>7</v>
      </c>
      <c r="J2480" s="81">
        <v>120</v>
      </c>
      <c r="K2480" t="s">
        <v>47</v>
      </c>
    </row>
    <row r="2481" spans="2:11" x14ac:dyDescent="0.25">
      <c r="B2481" s="2">
        <v>6</v>
      </c>
      <c r="C2481" s="4">
        <v>1700.827</v>
      </c>
      <c r="D2481" s="4">
        <v>289.14099999999996</v>
      </c>
      <c r="E2481" s="79">
        <v>0</v>
      </c>
      <c r="F2481" s="79">
        <f>SUM(BASE_DATOS[[#This Row],[Capital($)]:[Interés
Resarcitorio($)]])</f>
        <v>1989.9679999999998</v>
      </c>
      <c r="G2481" s="8">
        <v>44151</v>
      </c>
      <c r="H2481" s="80" t="s">
        <v>53</v>
      </c>
      <c r="I2481" s="79" t="s">
        <v>9</v>
      </c>
      <c r="J2481" s="81">
        <v>120</v>
      </c>
      <c r="K2481" t="s">
        <v>47</v>
      </c>
    </row>
    <row r="2482" spans="2:11" x14ac:dyDescent="0.25">
      <c r="B2482" s="2">
        <f>+B2481</f>
        <v>6</v>
      </c>
      <c r="C2482" s="4">
        <v>1700.827</v>
      </c>
      <c r="D2482" s="4">
        <v>289.14099999999996</v>
      </c>
      <c r="E2482" s="79">
        <v>200.32</v>
      </c>
      <c r="F2482" s="79">
        <f>SUM(BASE_DATOS[[#This Row],[Capital($)]:[Interés
Resarcitorio($)]])</f>
        <v>2190.288</v>
      </c>
      <c r="G2482" s="8">
        <v>44161</v>
      </c>
      <c r="H2482" s="80" t="s">
        <v>53</v>
      </c>
      <c r="I2482" s="79" t="s">
        <v>7</v>
      </c>
      <c r="J2482" s="81">
        <v>120</v>
      </c>
      <c r="K2482" t="s">
        <v>47</v>
      </c>
    </row>
    <row r="2483" spans="2:11" x14ac:dyDescent="0.25">
      <c r="B2483" s="2">
        <v>7</v>
      </c>
      <c r="C2483" s="4">
        <v>1700.827</v>
      </c>
      <c r="D2483" s="4">
        <v>338.46500000000003</v>
      </c>
      <c r="E2483" s="79">
        <v>0</v>
      </c>
      <c r="F2483" s="79">
        <f>SUM(BASE_DATOS[[#This Row],[Capital($)]:[Interés
Resarcitorio($)]])</f>
        <v>2039.2919999999999</v>
      </c>
      <c r="G2483" s="8">
        <v>44181</v>
      </c>
      <c r="H2483" s="80" t="s">
        <v>53</v>
      </c>
      <c r="I2483" s="79" t="s">
        <v>9</v>
      </c>
      <c r="J2483" s="81">
        <v>120</v>
      </c>
      <c r="K2483" t="s">
        <v>47</v>
      </c>
    </row>
    <row r="2484" spans="2:11" x14ac:dyDescent="0.25">
      <c r="B2484" s="2">
        <f>+B2483</f>
        <v>7</v>
      </c>
      <c r="C2484" s="4">
        <v>1700.827</v>
      </c>
      <c r="D2484" s="4">
        <v>338.46500000000003</v>
      </c>
      <c r="E2484" s="79">
        <v>205.29</v>
      </c>
      <c r="F2484" s="79">
        <f>SUM(BASE_DATOS[[#This Row],[Capital($)]:[Interés
Resarcitorio($)]])</f>
        <v>2244.5819999999999</v>
      </c>
      <c r="G2484" s="8">
        <v>44191</v>
      </c>
      <c r="H2484" s="80" t="s">
        <v>53</v>
      </c>
      <c r="I2484" s="79" t="s">
        <v>7</v>
      </c>
      <c r="J2484" s="81">
        <v>120</v>
      </c>
      <c r="K2484" t="s">
        <v>47</v>
      </c>
    </row>
    <row r="2485" spans="2:11" x14ac:dyDescent="0.25">
      <c r="B2485" s="2">
        <v>8</v>
      </c>
      <c r="C2485" s="4">
        <v>1700.827</v>
      </c>
      <c r="D2485" s="4">
        <v>391.19</v>
      </c>
      <c r="E2485" s="79">
        <v>0</v>
      </c>
      <c r="F2485" s="79">
        <f>SUM(BASE_DATOS[[#This Row],[Capital($)]:[Interés
Resarcitorio($)]])</f>
        <v>2092.0169999999998</v>
      </c>
      <c r="G2485" s="8">
        <v>44212</v>
      </c>
      <c r="H2485" s="80" t="s">
        <v>53</v>
      </c>
      <c r="I2485" s="79" t="s">
        <v>9</v>
      </c>
      <c r="J2485" s="81">
        <v>120</v>
      </c>
      <c r="K2485" t="s">
        <v>47</v>
      </c>
    </row>
    <row r="2486" spans="2:11" x14ac:dyDescent="0.25">
      <c r="B2486" s="2">
        <f>+B2485</f>
        <v>8</v>
      </c>
      <c r="C2486" s="4">
        <v>1700.827</v>
      </c>
      <c r="D2486" s="4">
        <v>391.19</v>
      </c>
      <c r="E2486" s="79">
        <v>233.61</v>
      </c>
      <c r="F2486" s="79">
        <f>SUM(BASE_DATOS[[#This Row],[Capital($)]:[Interés
Resarcitorio($)]])</f>
        <v>2325.627</v>
      </c>
      <c r="G2486" s="8">
        <v>44222</v>
      </c>
      <c r="H2486" s="80" t="s">
        <v>53</v>
      </c>
      <c r="I2486" s="79" t="s">
        <v>7</v>
      </c>
      <c r="J2486" s="81">
        <v>120</v>
      </c>
      <c r="K2486" t="s">
        <v>47</v>
      </c>
    </row>
    <row r="2487" spans="2:11" x14ac:dyDescent="0.25">
      <c r="B2487" s="2">
        <v>9</v>
      </c>
      <c r="C2487" s="4">
        <v>1700.827</v>
      </c>
      <c r="D2487" s="4">
        <v>439.66400000000004</v>
      </c>
      <c r="E2487" s="79">
        <v>0</v>
      </c>
      <c r="F2487" s="79">
        <f>SUM(BASE_DATOS[[#This Row],[Capital($)]:[Interés
Resarcitorio($)]])</f>
        <v>2140.491</v>
      </c>
      <c r="G2487" s="8">
        <v>44243</v>
      </c>
      <c r="H2487" s="80" t="s">
        <v>53</v>
      </c>
      <c r="I2487" s="79" t="s">
        <v>9</v>
      </c>
      <c r="J2487" s="81">
        <v>120</v>
      </c>
      <c r="K2487" t="s">
        <v>47</v>
      </c>
    </row>
    <row r="2488" spans="2:11" x14ac:dyDescent="0.25">
      <c r="B2488" s="2">
        <f>+B2487</f>
        <v>9</v>
      </c>
      <c r="C2488" s="4">
        <v>1700.827</v>
      </c>
      <c r="D2488" s="4">
        <v>439.66400000000004</v>
      </c>
      <c r="E2488" s="79">
        <v>239.02</v>
      </c>
      <c r="F2488" s="79">
        <f>SUM(BASE_DATOS[[#This Row],[Capital($)]:[Interés
Resarcitorio($)]])</f>
        <v>2379.511</v>
      </c>
      <c r="G2488" s="8">
        <v>44253</v>
      </c>
      <c r="H2488" s="80" t="s">
        <v>53</v>
      </c>
      <c r="I2488" s="79" t="s">
        <v>7</v>
      </c>
      <c r="J2488" s="81">
        <v>120</v>
      </c>
      <c r="K2488" t="s">
        <v>47</v>
      </c>
    </row>
    <row r="2489" spans="2:11" x14ac:dyDescent="0.25">
      <c r="B2489" s="2">
        <v>10</v>
      </c>
      <c r="C2489" s="4">
        <v>1700.827</v>
      </c>
      <c r="D2489" s="4">
        <v>488.137</v>
      </c>
      <c r="E2489" s="79">
        <v>0</v>
      </c>
      <c r="F2489" s="79">
        <f>SUM(BASE_DATOS[[#This Row],[Capital($)]:[Interés
Resarcitorio($)]])</f>
        <v>2188.9639999999999</v>
      </c>
      <c r="G2489" s="8">
        <v>44271</v>
      </c>
      <c r="H2489" s="80" t="s">
        <v>53</v>
      </c>
      <c r="I2489" s="79" t="s">
        <v>9</v>
      </c>
      <c r="J2489" s="81">
        <v>120</v>
      </c>
      <c r="K2489" t="s">
        <v>47</v>
      </c>
    </row>
    <row r="2490" spans="2:11" x14ac:dyDescent="0.25">
      <c r="B2490" s="2">
        <f>+B2489</f>
        <v>10</v>
      </c>
      <c r="C2490" s="4">
        <v>1700.827</v>
      </c>
      <c r="D2490" s="4">
        <v>488.137</v>
      </c>
      <c r="E2490" s="79">
        <v>244.43</v>
      </c>
      <c r="F2490" s="79">
        <f>SUM(BASE_DATOS[[#This Row],[Capital($)]:[Interés
Resarcitorio($)]])</f>
        <v>2433.3939999999998</v>
      </c>
      <c r="G2490" s="8">
        <v>44281</v>
      </c>
      <c r="H2490" s="80" t="s">
        <v>53</v>
      </c>
      <c r="I2490" s="79" t="s">
        <v>7</v>
      </c>
      <c r="J2490" s="81">
        <v>120</v>
      </c>
      <c r="K2490" t="s">
        <v>47</v>
      </c>
    </row>
    <row r="2491" spans="2:11" x14ac:dyDescent="0.25">
      <c r="B2491" s="2">
        <v>11</v>
      </c>
      <c r="C2491" s="4">
        <v>1700.827</v>
      </c>
      <c r="D2491" s="4">
        <v>536.61099999999999</v>
      </c>
      <c r="E2491" s="79">
        <v>0</v>
      </c>
      <c r="F2491" s="79">
        <f>SUM(BASE_DATOS[[#This Row],[Capital($)]:[Interés
Resarcitorio($)]])</f>
        <v>2237.4380000000001</v>
      </c>
      <c r="G2491" s="8">
        <v>44302</v>
      </c>
      <c r="H2491" s="80" t="s">
        <v>53</v>
      </c>
      <c r="I2491" s="79" t="s">
        <v>9</v>
      </c>
      <c r="J2491" s="81">
        <v>120</v>
      </c>
      <c r="K2491" t="s">
        <v>47</v>
      </c>
    </row>
    <row r="2492" spans="2:11" x14ac:dyDescent="0.25">
      <c r="B2492" s="2">
        <f>+B2491</f>
        <v>11</v>
      </c>
      <c r="C2492" s="4">
        <v>1700.827</v>
      </c>
      <c r="D2492" s="4">
        <v>536.61099999999999</v>
      </c>
      <c r="E2492" s="79">
        <v>249.85</v>
      </c>
      <c r="F2492" s="79">
        <f>SUM(BASE_DATOS[[#This Row],[Capital($)]:[Interés
Resarcitorio($)]])</f>
        <v>2487.288</v>
      </c>
      <c r="G2492" s="8">
        <v>44312</v>
      </c>
      <c r="H2492" s="80" t="s">
        <v>53</v>
      </c>
      <c r="I2492" s="79" t="s">
        <v>7</v>
      </c>
      <c r="J2492" s="81">
        <v>120</v>
      </c>
      <c r="K2492" t="s">
        <v>47</v>
      </c>
    </row>
    <row r="2493" spans="2:11" x14ac:dyDescent="0.25">
      <c r="B2493" s="2">
        <v>12</v>
      </c>
      <c r="C2493" s="4">
        <v>1700.827</v>
      </c>
      <c r="D2493" s="4">
        <v>585.08400000000006</v>
      </c>
      <c r="E2493" s="79">
        <v>0</v>
      </c>
      <c r="F2493" s="79">
        <f>SUM(BASE_DATOS[[#This Row],[Capital($)]:[Interés
Resarcitorio($)]])</f>
        <v>2285.9110000000001</v>
      </c>
      <c r="G2493" s="8">
        <v>44332</v>
      </c>
      <c r="H2493" s="80" t="s">
        <v>53</v>
      </c>
      <c r="I2493" s="79" t="s">
        <v>9</v>
      </c>
      <c r="J2493" s="81">
        <v>120</v>
      </c>
      <c r="K2493" t="s">
        <v>47</v>
      </c>
    </row>
    <row r="2494" spans="2:11" x14ac:dyDescent="0.25">
      <c r="B2494" s="2">
        <f>+B2493</f>
        <v>12</v>
      </c>
      <c r="C2494" s="4">
        <v>1700.827</v>
      </c>
      <c r="D2494" s="4">
        <v>585.08400000000006</v>
      </c>
      <c r="E2494" s="79">
        <v>255.26</v>
      </c>
      <c r="F2494" s="79">
        <f>SUM(BASE_DATOS[[#This Row],[Capital($)]:[Interés
Resarcitorio($)]])</f>
        <v>2541.1710000000003</v>
      </c>
      <c r="G2494" s="8">
        <v>44342</v>
      </c>
      <c r="H2494" s="80" t="s">
        <v>53</v>
      </c>
      <c r="I2494" s="79" t="s">
        <v>7</v>
      </c>
      <c r="J2494" s="81">
        <v>120</v>
      </c>
      <c r="K2494" t="s">
        <v>47</v>
      </c>
    </row>
    <row r="2495" spans="2:11" x14ac:dyDescent="0.25">
      <c r="B2495" s="2">
        <v>13</v>
      </c>
      <c r="C2495" s="4">
        <v>1700.827</v>
      </c>
      <c r="D2495" s="4">
        <v>633.55799999999999</v>
      </c>
      <c r="E2495" s="79">
        <v>0</v>
      </c>
      <c r="F2495" s="79">
        <f>SUM(BASE_DATOS[[#This Row],[Capital($)]:[Interés
Resarcitorio($)]])</f>
        <v>2334.3850000000002</v>
      </c>
      <c r="G2495" s="8">
        <v>44363</v>
      </c>
      <c r="H2495" s="80" t="s">
        <v>53</v>
      </c>
      <c r="I2495" s="79" t="s">
        <v>9</v>
      </c>
      <c r="J2495" s="81">
        <v>120</v>
      </c>
      <c r="K2495" t="s">
        <v>47</v>
      </c>
    </row>
    <row r="2496" spans="2:11" x14ac:dyDescent="0.25">
      <c r="B2496" s="2">
        <f>+B2495</f>
        <v>13</v>
      </c>
      <c r="C2496" s="4">
        <v>1700.827</v>
      </c>
      <c r="D2496" s="4">
        <v>633.55799999999999</v>
      </c>
      <c r="E2496" s="79">
        <v>260.67</v>
      </c>
      <c r="F2496" s="79">
        <f>SUM(BASE_DATOS[[#This Row],[Capital($)]:[Interés
Resarcitorio($)]])</f>
        <v>2595.0550000000003</v>
      </c>
      <c r="G2496" s="8">
        <v>44373</v>
      </c>
      <c r="H2496" s="80" t="s">
        <v>53</v>
      </c>
      <c r="I2496" s="79" t="s">
        <v>7</v>
      </c>
      <c r="J2496" s="81">
        <v>120</v>
      </c>
      <c r="K2496" t="s">
        <v>47</v>
      </c>
    </row>
    <row r="2497" spans="2:11" x14ac:dyDescent="0.25">
      <c r="B2497" s="2">
        <v>14</v>
      </c>
      <c r="C2497" s="4">
        <v>1700.827</v>
      </c>
      <c r="D2497" s="4">
        <v>682.03199999999993</v>
      </c>
      <c r="E2497" s="79">
        <v>0</v>
      </c>
      <c r="F2497" s="79">
        <f>SUM(BASE_DATOS[[#This Row],[Capital($)]:[Interés
Resarcitorio($)]])</f>
        <v>2382.8589999999999</v>
      </c>
      <c r="G2497" s="8">
        <v>44393</v>
      </c>
      <c r="H2497" s="80" t="s">
        <v>53</v>
      </c>
      <c r="I2497" s="79" t="s">
        <v>9</v>
      </c>
      <c r="J2497" s="81">
        <v>120</v>
      </c>
      <c r="K2497" t="s">
        <v>47</v>
      </c>
    </row>
    <row r="2498" spans="2:11" x14ac:dyDescent="0.25">
      <c r="B2498" s="2">
        <f>+B2497</f>
        <v>14</v>
      </c>
      <c r="C2498" s="4">
        <v>1700.827</v>
      </c>
      <c r="D2498" s="4">
        <v>682.03199999999993</v>
      </c>
      <c r="E2498" s="79">
        <v>266.08999999999997</v>
      </c>
      <c r="F2498" s="79">
        <f>SUM(BASE_DATOS[[#This Row],[Capital($)]:[Interés
Resarcitorio($)]])</f>
        <v>2648.9490000000001</v>
      </c>
      <c r="G2498" s="8">
        <v>44403</v>
      </c>
      <c r="H2498" s="80" t="s">
        <v>53</v>
      </c>
      <c r="I2498" s="79" t="s">
        <v>7</v>
      </c>
      <c r="J2498" s="81">
        <v>120</v>
      </c>
      <c r="K2498" t="s">
        <v>47</v>
      </c>
    </row>
    <row r="2499" spans="2:11" x14ac:dyDescent="0.25">
      <c r="B2499" s="2">
        <v>15</v>
      </c>
      <c r="C2499" s="4">
        <v>1700.827</v>
      </c>
      <c r="D2499" s="4">
        <v>730.33500000000004</v>
      </c>
      <c r="E2499" s="79">
        <v>0</v>
      </c>
      <c r="F2499" s="79">
        <f>SUM(BASE_DATOS[[#This Row],[Capital($)]:[Interés
Resarcitorio($)]])</f>
        <v>2431.1620000000003</v>
      </c>
      <c r="G2499" s="8">
        <v>44424</v>
      </c>
      <c r="H2499" s="80" t="s">
        <v>53</v>
      </c>
      <c r="I2499" s="79" t="s">
        <v>9</v>
      </c>
      <c r="J2499" s="81">
        <v>120</v>
      </c>
      <c r="K2499" t="s">
        <v>47</v>
      </c>
    </row>
    <row r="2500" spans="2:11" x14ac:dyDescent="0.25">
      <c r="B2500" s="2">
        <f>+B2499</f>
        <v>15</v>
      </c>
      <c r="C2500" s="4">
        <v>1700.827</v>
      </c>
      <c r="D2500" s="4">
        <v>730.33500000000004</v>
      </c>
      <c r="E2500" s="79">
        <v>271.48</v>
      </c>
      <c r="F2500" s="79">
        <f>SUM(BASE_DATOS[[#This Row],[Capital($)]:[Interés
Resarcitorio($)]])</f>
        <v>2702.6420000000003</v>
      </c>
      <c r="G2500" s="8">
        <v>44434</v>
      </c>
      <c r="H2500" s="80" t="s">
        <v>53</v>
      </c>
      <c r="I2500" s="79" t="s">
        <v>7</v>
      </c>
      <c r="J2500" s="81">
        <v>120</v>
      </c>
      <c r="K2500" t="s">
        <v>47</v>
      </c>
    </row>
    <row r="2501" spans="2:11" x14ac:dyDescent="0.25">
      <c r="B2501" s="2">
        <v>16</v>
      </c>
      <c r="C2501" s="4">
        <v>1700.827</v>
      </c>
      <c r="D2501" s="4">
        <v>778.63900000000001</v>
      </c>
      <c r="E2501" s="79">
        <v>0</v>
      </c>
      <c r="F2501" s="79">
        <f>SUM(BASE_DATOS[[#This Row],[Capital($)]:[Interés
Resarcitorio($)]])</f>
        <v>2479.4659999999999</v>
      </c>
      <c r="G2501" s="8">
        <v>44455</v>
      </c>
      <c r="H2501" s="80" t="s">
        <v>53</v>
      </c>
      <c r="I2501" s="79" t="s">
        <v>9</v>
      </c>
      <c r="J2501" s="81">
        <v>120</v>
      </c>
      <c r="K2501" t="s">
        <v>47</v>
      </c>
    </row>
    <row r="2502" spans="2:11" x14ac:dyDescent="0.25">
      <c r="B2502" s="2">
        <f>+B2501</f>
        <v>16</v>
      </c>
      <c r="C2502" s="4">
        <v>1700.827</v>
      </c>
      <c r="D2502" s="4">
        <v>778.63900000000001</v>
      </c>
      <c r="E2502" s="79">
        <v>276.87</v>
      </c>
      <c r="F2502" s="79">
        <f>SUM(BASE_DATOS[[#This Row],[Capital($)]:[Interés
Resarcitorio($)]])</f>
        <v>2756.3359999999998</v>
      </c>
      <c r="G2502" s="8">
        <v>44465</v>
      </c>
      <c r="H2502" s="80" t="s">
        <v>53</v>
      </c>
      <c r="I2502" s="79" t="s">
        <v>7</v>
      </c>
      <c r="J2502" s="81">
        <v>120</v>
      </c>
      <c r="K2502" t="s">
        <v>47</v>
      </c>
    </row>
    <row r="2503" spans="2:11" x14ac:dyDescent="0.25">
      <c r="B2503" s="2">
        <v>17</v>
      </c>
      <c r="C2503" s="4">
        <v>1700.827</v>
      </c>
      <c r="D2503" s="4">
        <v>826.94200000000001</v>
      </c>
      <c r="E2503" s="79">
        <v>0</v>
      </c>
      <c r="F2503" s="79">
        <f>SUM(BASE_DATOS[[#This Row],[Capital($)]:[Interés
Resarcitorio($)]])</f>
        <v>2527.7690000000002</v>
      </c>
      <c r="G2503" s="8">
        <v>44485</v>
      </c>
      <c r="H2503" s="80" t="s">
        <v>53</v>
      </c>
      <c r="I2503" s="79" t="s">
        <v>9</v>
      </c>
      <c r="J2503" s="81">
        <v>120</v>
      </c>
      <c r="K2503" t="s">
        <v>47</v>
      </c>
    </row>
    <row r="2504" spans="2:11" x14ac:dyDescent="0.25">
      <c r="B2504" s="2">
        <f>+B2503</f>
        <v>17</v>
      </c>
      <c r="C2504" s="4">
        <v>1700.827</v>
      </c>
      <c r="D2504" s="4">
        <v>826.94200000000001</v>
      </c>
      <c r="E2504" s="79">
        <v>282.27</v>
      </c>
      <c r="F2504" s="79">
        <f>SUM(BASE_DATOS[[#This Row],[Capital($)]:[Interés
Resarcitorio($)]])</f>
        <v>2810.0390000000002</v>
      </c>
      <c r="G2504" s="8">
        <v>44495</v>
      </c>
      <c r="H2504" s="80" t="s">
        <v>53</v>
      </c>
      <c r="I2504" s="79" t="s">
        <v>7</v>
      </c>
      <c r="J2504" s="81">
        <v>120</v>
      </c>
      <c r="K2504" t="s">
        <v>47</v>
      </c>
    </row>
    <row r="2505" spans="2:11" x14ac:dyDescent="0.25">
      <c r="B2505" s="2">
        <v>18</v>
      </c>
      <c r="C2505" s="4">
        <v>1700.827</v>
      </c>
      <c r="D2505" s="4">
        <v>875.24599999999987</v>
      </c>
      <c r="E2505" s="79">
        <v>0</v>
      </c>
      <c r="F2505" s="79">
        <f>SUM(BASE_DATOS[[#This Row],[Capital($)]:[Interés
Resarcitorio($)]])</f>
        <v>2576.0729999999999</v>
      </c>
      <c r="G2505" s="8">
        <v>44516</v>
      </c>
      <c r="H2505" s="80" t="s">
        <v>53</v>
      </c>
      <c r="I2505" s="79" t="s">
        <v>9</v>
      </c>
      <c r="J2505" s="81">
        <v>120</v>
      </c>
      <c r="K2505" t="s">
        <v>47</v>
      </c>
    </row>
    <row r="2506" spans="2:11" x14ac:dyDescent="0.25">
      <c r="B2506" s="2">
        <f>+B2505</f>
        <v>18</v>
      </c>
      <c r="C2506" s="4">
        <v>1700.827</v>
      </c>
      <c r="D2506" s="4">
        <v>875.24599999999987</v>
      </c>
      <c r="E2506" s="79">
        <v>287.66000000000003</v>
      </c>
      <c r="F2506" s="79">
        <f>SUM(BASE_DATOS[[#This Row],[Capital($)]:[Interés
Resarcitorio($)]])</f>
        <v>2863.7329999999997</v>
      </c>
      <c r="G2506" s="8">
        <v>44526</v>
      </c>
      <c r="H2506" s="80" t="s">
        <v>53</v>
      </c>
      <c r="I2506" s="79" t="s">
        <v>7</v>
      </c>
      <c r="J2506" s="81">
        <v>120</v>
      </c>
      <c r="K2506" t="s">
        <v>47</v>
      </c>
    </row>
    <row r="2507" spans="2:11" x14ac:dyDescent="0.25">
      <c r="B2507" s="2">
        <v>19</v>
      </c>
      <c r="C2507" s="4">
        <v>1700.827</v>
      </c>
      <c r="D2507" s="4">
        <v>923.54899999999998</v>
      </c>
      <c r="E2507" s="79">
        <v>0</v>
      </c>
      <c r="F2507" s="79">
        <f>SUM(BASE_DATOS[[#This Row],[Capital($)]:[Interés
Resarcitorio($)]])</f>
        <v>2624.3760000000002</v>
      </c>
      <c r="G2507" s="8">
        <v>44546</v>
      </c>
      <c r="H2507" s="80" t="s">
        <v>53</v>
      </c>
      <c r="I2507" s="79" t="s">
        <v>9</v>
      </c>
      <c r="J2507" s="81">
        <v>120</v>
      </c>
      <c r="K2507" t="s">
        <v>47</v>
      </c>
    </row>
    <row r="2508" spans="2:11" x14ac:dyDescent="0.25">
      <c r="B2508" s="2">
        <f>+B2507</f>
        <v>19</v>
      </c>
      <c r="C2508" s="4">
        <v>1700.827</v>
      </c>
      <c r="D2508" s="4">
        <v>923.54899999999998</v>
      </c>
      <c r="E2508" s="79">
        <v>293.06</v>
      </c>
      <c r="F2508" s="79">
        <f>SUM(BASE_DATOS[[#This Row],[Capital($)]:[Interés
Resarcitorio($)]])</f>
        <v>2917.4360000000001</v>
      </c>
      <c r="G2508" s="8">
        <v>44556</v>
      </c>
      <c r="H2508" s="80" t="s">
        <v>53</v>
      </c>
      <c r="I2508" s="79" t="s">
        <v>7</v>
      </c>
      <c r="J2508" s="81">
        <v>120</v>
      </c>
      <c r="K2508" t="s">
        <v>47</v>
      </c>
    </row>
    <row r="2509" spans="2:11" x14ac:dyDescent="0.25">
      <c r="B2509" s="2">
        <v>20</v>
      </c>
      <c r="C2509" s="4">
        <v>1700.827</v>
      </c>
      <c r="D2509" s="4">
        <v>971.85300000000007</v>
      </c>
      <c r="E2509" s="79">
        <v>0</v>
      </c>
      <c r="F2509" s="79">
        <f>SUM(BASE_DATOS[[#This Row],[Capital($)]:[Interés
Resarcitorio($)]])</f>
        <v>2672.6800000000003</v>
      </c>
      <c r="G2509" s="8">
        <v>44577</v>
      </c>
      <c r="H2509" s="80" t="s">
        <v>53</v>
      </c>
      <c r="I2509" s="79" t="s">
        <v>9</v>
      </c>
      <c r="J2509" s="81">
        <v>120</v>
      </c>
      <c r="K2509" t="s">
        <v>47</v>
      </c>
    </row>
    <row r="2510" spans="2:11" x14ac:dyDescent="0.25">
      <c r="B2510" s="2">
        <f>+B2509</f>
        <v>20</v>
      </c>
      <c r="C2510" s="4">
        <v>1700.827</v>
      </c>
      <c r="D2510" s="4">
        <v>971.85300000000007</v>
      </c>
      <c r="E2510" s="79">
        <v>298.45</v>
      </c>
      <c r="F2510" s="79">
        <f>SUM(BASE_DATOS[[#This Row],[Capital($)]:[Interés
Resarcitorio($)]])</f>
        <v>2971.13</v>
      </c>
      <c r="G2510" s="8">
        <v>44587</v>
      </c>
      <c r="H2510" s="80" t="s">
        <v>53</v>
      </c>
      <c r="I2510" s="79" t="s">
        <v>7</v>
      </c>
      <c r="J2510" s="81">
        <v>120</v>
      </c>
      <c r="K2510" t="s">
        <v>47</v>
      </c>
    </row>
    <row r="2511" spans="2:11" x14ac:dyDescent="0.25">
      <c r="B2511" s="2">
        <v>21</v>
      </c>
      <c r="C2511" s="4">
        <v>1700.827</v>
      </c>
      <c r="D2511" s="4">
        <v>1025.088</v>
      </c>
      <c r="E2511" s="79">
        <v>0</v>
      </c>
      <c r="F2511" s="79">
        <f>SUM(BASE_DATOS[[#This Row],[Capital($)]:[Interés
Resarcitorio($)]])</f>
        <v>2725.915</v>
      </c>
      <c r="G2511" s="8">
        <v>44608</v>
      </c>
      <c r="H2511" s="80" t="s">
        <v>53</v>
      </c>
      <c r="I2511" s="79" t="s">
        <v>9</v>
      </c>
      <c r="J2511" s="81">
        <v>120</v>
      </c>
      <c r="K2511" t="s">
        <v>47</v>
      </c>
    </row>
    <row r="2512" spans="2:11" x14ac:dyDescent="0.25">
      <c r="B2512" s="2">
        <f>+B2511</f>
        <v>21</v>
      </c>
      <c r="C2512" s="4">
        <v>1700.827</v>
      </c>
      <c r="D2512" s="4">
        <v>1025.088</v>
      </c>
      <c r="E2512" s="79">
        <v>304.39</v>
      </c>
      <c r="F2512" s="79">
        <f>SUM(BASE_DATOS[[#This Row],[Capital($)]:[Interés
Resarcitorio($)]])</f>
        <v>3030.3049999999998</v>
      </c>
      <c r="G2512" s="8">
        <v>44618</v>
      </c>
      <c r="H2512" s="80" t="s">
        <v>53</v>
      </c>
      <c r="I2512" s="79" t="s">
        <v>7</v>
      </c>
      <c r="J2512" s="81">
        <v>120</v>
      </c>
      <c r="K2512" t="s">
        <v>47</v>
      </c>
    </row>
    <row r="2513" spans="2:11" x14ac:dyDescent="0.25">
      <c r="B2513" s="2">
        <v>22</v>
      </c>
      <c r="C2513" s="4">
        <v>1700.827</v>
      </c>
      <c r="D2513" s="4">
        <v>1078.3240000000001</v>
      </c>
      <c r="E2513" s="79">
        <v>0</v>
      </c>
      <c r="F2513" s="79">
        <f>SUM(BASE_DATOS[[#This Row],[Capital($)]:[Interés
Resarcitorio($)]])</f>
        <v>2779.1509999999998</v>
      </c>
      <c r="G2513" s="8">
        <v>44636</v>
      </c>
      <c r="H2513" s="80" t="s">
        <v>53</v>
      </c>
      <c r="I2513" s="79" t="s">
        <v>9</v>
      </c>
      <c r="J2513" s="81">
        <v>120</v>
      </c>
      <c r="K2513" t="s">
        <v>47</v>
      </c>
    </row>
    <row r="2514" spans="2:11" x14ac:dyDescent="0.25">
      <c r="B2514" s="2">
        <f>+B2513</f>
        <v>22</v>
      </c>
      <c r="C2514" s="4">
        <v>1700.827</v>
      </c>
      <c r="D2514" s="4">
        <v>1078.3240000000001</v>
      </c>
      <c r="E2514" s="79">
        <v>310.33999999999997</v>
      </c>
      <c r="F2514" s="79">
        <f>SUM(BASE_DATOS[[#This Row],[Capital($)]:[Interés
Resarcitorio($)]])</f>
        <v>3089.491</v>
      </c>
      <c r="G2514" s="8">
        <v>44646</v>
      </c>
      <c r="H2514" s="80" t="s">
        <v>53</v>
      </c>
      <c r="I2514" s="79" t="s">
        <v>7</v>
      </c>
      <c r="J2514" s="81">
        <v>120</v>
      </c>
      <c r="K2514" t="s">
        <v>47</v>
      </c>
    </row>
    <row r="2515" spans="2:11" x14ac:dyDescent="0.25">
      <c r="B2515" s="2">
        <v>23</v>
      </c>
      <c r="C2515" s="4">
        <v>1700.827</v>
      </c>
      <c r="D2515" s="4">
        <v>1131.56</v>
      </c>
      <c r="E2515" s="79">
        <v>0</v>
      </c>
      <c r="F2515" s="79">
        <f>SUM(BASE_DATOS[[#This Row],[Capital($)]:[Interés
Resarcitorio($)]])</f>
        <v>2832.3869999999997</v>
      </c>
      <c r="G2515" s="8">
        <v>44667</v>
      </c>
      <c r="H2515" s="80" t="s">
        <v>53</v>
      </c>
      <c r="I2515" s="79" t="s">
        <v>9</v>
      </c>
      <c r="J2515" s="81">
        <v>120</v>
      </c>
      <c r="K2515" t="s">
        <v>47</v>
      </c>
    </row>
    <row r="2516" spans="2:11" x14ac:dyDescent="0.25">
      <c r="B2516" s="2">
        <f>+B2515</f>
        <v>23</v>
      </c>
      <c r="C2516" s="4">
        <v>1700.827</v>
      </c>
      <c r="D2516" s="4">
        <v>1131.56</v>
      </c>
      <c r="E2516" s="79">
        <v>351.22</v>
      </c>
      <c r="F2516" s="79">
        <f>SUM(BASE_DATOS[[#This Row],[Capital($)]:[Interés
Resarcitorio($)]])</f>
        <v>3183.607</v>
      </c>
      <c r="G2516" s="8">
        <v>44677</v>
      </c>
      <c r="H2516" s="80" t="s">
        <v>53</v>
      </c>
      <c r="I2516" s="79" t="s">
        <v>7</v>
      </c>
      <c r="J2516" s="81">
        <v>120</v>
      </c>
      <c r="K2516" t="s">
        <v>47</v>
      </c>
    </row>
    <row r="2517" spans="2:11" x14ac:dyDescent="0.25">
      <c r="B2517" s="2">
        <v>24</v>
      </c>
      <c r="C2517" s="4">
        <v>1700.827</v>
      </c>
      <c r="D2517" s="4">
        <v>1184.7959999999998</v>
      </c>
      <c r="E2517" s="79">
        <v>0</v>
      </c>
      <c r="F2517" s="79">
        <f>SUM(BASE_DATOS[[#This Row],[Capital($)]:[Interés
Resarcitorio($)]])</f>
        <v>2885.6229999999996</v>
      </c>
      <c r="G2517" s="8">
        <v>44697</v>
      </c>
      <c r="H2517" s="80" t="s">
        <v>53</v>
      </c>
      <c r="I2517" s="79" t="s">
        <v>9</v>
      </c>
      <c r="J2517" s="81">
        <v>120</v>
      </c>
      <c r="K2517" t="s">
        <v>47</v>
      </c>
    </row>
    <row r="2518" spans="2:11" x14ac:dyDescent="0.25">
      <c r="B2518" s="2">
        <f>+B2517</f>
        <v>24</v>
      </c>
      <c r="C2518" s="4">
        <v>1700.827</v>
      </c>
      <c r="D2518" s="4">
        <v>1184.7959999999998</v>
      </c>
      <c r="E2518" s="79">
        <v>357.82</v>
      </c>
      <c r="F2518" s="79">
        <f>SUM(BASE_DATOS[[#This Row],[Capital($)]:[Interés
Resarcitorio($)]])</f>
        <v>3243.4429999999998</v>
      </c>
      <c r="G2518" s="8">
        <v>44707</v>
      </c>
      <c r="H2518" s="80" t="s">
        <v>53</v>
      </c>
      <c r="I2518" s="79" t="s">
        <v>7</v>
      </c>
      <c r="J2518" s="81">
        <v>120</v>
      </c>
      <c r="K2518" t="s">
        <v>47</v>
      </c>
    </row>
    <row r="2519" spans="2:11" x14ac:dyDescent="0.25">
      <c r="B2519" s="2">
        <v>25</v>
      </c>
      <c r="C2519" s="4">
        <v>1700.827</v>
      </c>
      <c r="D2519" s="4">
        <v>1238.0319999999999</v>
      </c>
      <c r="E2519" s="79">
        <v>0</v>
      </c>
      <c r="F2519" s="79">
        <f>SUM(BASE_DATOS[[#This Row],[Capital($)]:[Interés
Resarcitorio($)]])</f>
        <v>2938.8589999999999</v>
      </c>
      <c r="G2519" s="8">
        <v>44728</v>
      </c>
      <c r="H2519" s="80" t="s">
        <v>53</v>
      </c>
      <c r="I2519" s="79" t="s">
        <v>9</v>
      </c>
      <c r="J2519" s="81">
        <v>120</v>
      </c>
      <c r="K2519" t="s">
        <v>47</v>
      </c>
    </row>
    <row r="2520" spans="2:11" x14ac:dyDescent="0.25">
      <c r="B2520" s="2">
        <f>+B2519</f>
        <v>25</v>
      </c>
      <c r="C2520" s="4">
        <v>1700.827</v>
      </c>
      <c r="D2520" s="4">
        <v>1238.0319999999999</v>
      </c>
      <c r="E2520" s="79">
        <v>364.42</v>
      </c>
      <c r="F2520" s="79">
        <f>SUM(BASE_DATOS[[#This Row],[Capital($)]:[Interés
Resarcitorio($)]])</f>
        <v>3303.279</v>
      </c>
      <c r="G2520" s="8">
        <v>44738</v>
      </c>
      <c r="H2520" s="80" t="s">
        <v>53</v>
      </c>
      <c r="I2520" s="79" t="s">
        <v>7</v>
      </c>
      <c r="J2520" s="81">
        <v>120</v>
      </c>
      <c r="K2520" t="s">
        <v>47</v>
      </c>
    </row>
    <row r="2521" spans="2:11" x14ac:dyDescent="0.25">
      <c r="B2521" s="2">
        <v>26</v>
      </c>
      <c r="C2521" s="4">
        <v>1700.827</v>
      </c>
      <c r="D2521" s="4">
        <v>1291.268</v>
      </c>
      <c r="E2521" s="79">
        <v>0</v>
      </c>
      <c r="F2521" s="79">
        <f>SUM(BASE_DATOS[[#This Row],[Capital($)]:[Interés
Resarcitorio($)]])</f>
        <v>2992.0950000000003</v>
      </c>
      <c r="G2521" s="8">
        <v>44758</v>
      </c>
      <c r="H2521" s="80" t="s">
        <v>53</v>
      </c>
      <c r="I2521" s="79" t="s">
        <v>9</v>
      </c>
      <c r="J2521" s="81">
        <v>120</v>
      </c>
      <c r="K2521" t="s">
        <v>47</v>
      </c>
    </row>
    <row r="2522" spans="2:11" x14ac:dyDescent="0.25">
      <c r="B2522" s="2">
        <f>+B2521</f>
        <v>26</v>
      </c>
      <c r="C2522" s="4">
        <v>1700.827</v>
      </c>
      <c r="D2522" s="4">
        <v>1291.268</v>
      </c>
      <c r="E2522" s="79">
        <v>423.88</v>
      </c>
      <c r="F2522" s="79">
        <f>SUM(BASE_DATOS[[#This Row],[Capital($)]:[Interés
Resarcitorio($)]])</f>
        <v>3415.9750000000004</v>
      </c>
      <c r="G2522" s="8">
        <v>44768</v>
      </c>
      <c r="H2522" s="80" t="s">
        <v>53</v>
      </c>
      <c r="I2522" s="79" t="s">
        <v>7</v>
      </c>
      <c r="J2522" s="81">
        <v>120</v>
      </c>
      <c r="K2522" t="s">
        <v>47</v>
      </c>
    </row>
    <row r="2523" spans="2:11" x14ac:dyDescent="0.25">
      <c r="B2523" s="2">
        <v>27</v>
      </c>
      <c r="C2523" s="4">
        <v>1700.827</v>
      </c>
      <c r="D2523" s="4">
        <v>1362.873</v>
      </c>
      <c r="E2523" s="79">
        <v>0</v>
      </c>
      <c r="F2523" s="79">
        <f>SUM(BASE_DATOS[[#This Row],[Capital($)]:[Interés
Resarcitorio($)]])</f>
        <v>3063.7</v>
      </c>
      <c r="G2523" s="8">
        <v>44789</v>
      </c>
      <c r="H2523" s="80" t="s">
        <v>53</v>
      </c>
      <c r="I2523" s="79" t="s">
        <v>9</v>
      </c>
      <c r="J2523" s="81">
        <v>120</v>
      </c>
      <c r="K2523" t="s">
        <v>47</v>
      </c>
    </row>
    <row r="2524" spans="2:11" x14ac:dyDescent="0.25">
      <c r="B2524" s="2">
        <f>+B2523</f>
        <v>27</v>
      </c>
      <c r="C2524" s="4">
        <v>1700.827</v>
      </c>
      <c r="D2524" s="4">
        <v>1362.873</v>
      </c>
      <c r="E2524" s="79">
        <v>434.02</v>
      </c>
      <c r="F2524" s="79">
        <f>SUM(BASE_DATOS[[#This Row],[Capital($)]:[Interés
Resarcitorio($)]])</f>
        <v>3497.72</v>
      </c>
      <c r="G2524" s="8">
        <v>44799</v>
      </c>
      <c r="H2524" s="80" t="s">
        <v>53</v>
      </c>
      <c r="I2524" s="79" t="s">
        <v>7</v>
      </c>
      <c r="J2524" s="81">
        <v>120</v>
      </c>
      <c r="K2524" t="s">
        <v>47</v>
      </c>
    </row>
    <row r="2525" spans="2:11" x14ac:dyDescent="0.25">
      <c r="B2525" s="2">
        <v>28</v>
      </c>
      <c r="C2525" s="4">
        <v>1700.827</v>
      </c>
      <c r="D2525" s="4">
        <v>1434.4770000000001</v>
      </c>
      <c r="E2525" s="79">
        <v>0</v>
      </c>
      <c r="F2525" s="79">
        <f>SUM(BASE_DATOS[[#This Row],[Capital($)]:[Interés
Resarcitorio($)]])</f>
        <v>3135.3040000000001</v>
      </c>
      <c r="G2525" s="8">
        <v>44820</v>
      </c>
      <c r="H2525" s="80" t="s">
        <v>53</v>
      </c>
      <c r="I2525" s="79" t="s">
        <v>9</v>
      </c>
      <c r="J2525" s="81">
        <v>120</v>
      </c>
      <c r="K2525" t="s">
        <v>47</v>
      </c>
    </row>
    <row r="2526" spans="2:11" x14ac:dyDescent="0.25">
      <c r="B2526" s="2">
        <f>+B2525</f>
        <v>28</v>
      </c>
      <c r="C2526" s="4">
        <v>1700.827</v>
      </c>
      <c r="D2526" s="4">
        <v>1434.4770000000001</v>
      </c>
      <c r="E2526" s="79">
        <v>617.65</v>
      </c>
      <c r="F2526" s="79">
        <f>SUM(BASE_DATOS[[#This Row],[Capital($)]:[Interés
Resarcitorio($)]])</f>
        <v>3752.9540000000002</v>
      </c>
      <c r="G2526" s="8">
        <v>44830</v>
      </c>
      <c r="H2526" s="80" t="s">
        <v>53</v>
      </c>
      <c r="I2526" s="79" t="s">
        <v>7</v>
      </c>
      <c r="J2526" s="81">
        <v>120</v>
      </c>
      <c r="K2526" t="s">
        <v>47</v>
      </c>
    </row>
    <row r="2527" spans="2:11" x14ac:dyDescent="0.25">
      <c r="B2527" s="2">
        <v>29</v>
      </c>
      <c r="C2527" s="4">
        <v>1700.827</v>
      </c>
      <c r="D2527" s="4">
        <v>1506.0819999999999</v>
      </c>
      <c r="E2527" s="79">
        <v>0</v>
      </c>
      <c r="F2527" s="79">
        <f>SUM(BASE_DATOS[[#This Row],[Capital($)]:[Interés
Resarcitorio($)]])</f>
        <v>3206.9089999999997</v>
      </c>
      <c r="G2527" s="8">
        <v>44850</v>
      </c>
      <c r="H2527" s="80" t="s">
        <v>53</v>
      </c>
      <c r="I2527" s="79" t="s">
        <v>9</v>
      </c>
      <c r="J2527" s="81">
        <v>120</v>
      </c>
      <c r="K2527" t="s">
        <v>47</v>
      </c>
    </row>
    <row r="2528" spans="2:11" x14ac:dyDescent="0.25">
      <c r="B2528" s="2">
        <f>+B2527</f>
        <v>29</v>
      </c>
      <c r="C2528" s="4">
        <v>1700.827</v>
      </c>
      <c r="D2528" s="4">
        <v>1506.0819999999999</v>
      </c>
      <c r="E2528" s="79">
        <v>631.76</v>
      </c>
      <c r="F2528" s="79">
        <f>SUM(BASE_DATOS[[#This Row],[Capital($)]:[Interés
Resarcitorio($)]])</f>
        <v>3838.6689999999999</v>
      </c>
      <c r="G2528" s="8">
        <v>44860</v>
      </c>
      <c r="H2528" s="80" t="s">
        <v>53</v>
      </c>
      <c r="I2528" s="79" t="s">
        <v>7</v>
      </c>
      <c r="J2528" s="81">
        <v>120</v>
      </c>
      <c r="K2528" t="s">
        <v>47</v>
      </c>
    </row>
    <row r="2529" spans="2:11" x14ac:dyDescent="0.25">
      <c r="B2529" s="2">
        <v>30</v>
      </c>
      <c r="C2529" s="4">
        <v>1700.827</v>
      </c>
      <c r="D2529" s="4">
        <v>1577.6870000000001</v>
      </c>
      <c r="E2529" s="79">
        <v>0</v>
      </c>
      <c r="F2529" s="79">
        <f>SUM(BASE_DATOS[[#This Row],[Capital($)]:[Interés
Resarcitorio($)]])</f>
        <v>3278.5140000000001</v>
      </c>
      <c r="G2529" s="8">
        <v>44881</v>
      </c>
      <c r="H2529" s="80" t="s">
        <v>53</v>
      </c>
      <c r="I2529" s="79" t="s">
        <v>9</v>
      </c>
      <c r="J2529" s="81">
        <v>120</v>
      </c>
      <c r="K2529" t="s">
        <v>47</v>
      </c>
    </row>
    <row r="2530" spans="2:11" x14ac:dyDescent="0.25">
      <c r="B2530" s="2">
        <f>+B2529</f>
        <v>30</v>
      </c>
      <c r="C2530" s="4">
        <v>1700.827</v>
      </c>
      <c r="D2530" s="4">
        <v>1577.6870000000001</v>
      </c>
      <c r="E2530" s="79">
        <v>645.87</v>
      </c>
      <c r="F2530" s="79">
        <f>SUM(BASE_DATOS[[#This Row],[Capital($)]:[Interés
Resarcitorio($)]])</f>
        <v>3924.384</v>
      </c>
      <c r="G2530" s="8">
        <v>44891</v>
      </c>
      <c r="H2530" s="80" t="s">
        <v>53</v>
      </c>
      <c r="I2530" s="79" t="s">
        <v>7</v>
      </c>
      <c r="J2530" s="81">
        <v>120</v>
      </c>
      <c r="K2530" t="s">
        <v>47</v>
      </c>
    </row>
    <row r="2531" spans="2:11" x14ac:dyDescent="0.25">
      <c r="B2531" s="2">
        <v>31</v>
      </c>
      <c r="C2531" s="4">
        <v>1700.827</v>
      </c>
      <c r="D2531" s="4">
        <v>1649.2919999999999</v>
      </c>
      <c r="E2531" s="79">
        <v>0</v>
      </c>
      <c r="F2531" s="79">
        <f>SUM(BASE_DATOS[[#This Row],[Capital($)]:[Interés
Resarcitorio($)]])</f>
        <v>3350.1189999999997</v>
      </c>
      <c r="G2531" s="8">
        <v>44911</v>
      </c>
      <c r="H2531" s="80" t="s">
        <v>53</v>
      </c>
      <c r="I2531" s="79" t="s">
        <v>9</v>
      </c>
      <c r="J2531" s="81">
        <v>120</v>
      </c>
      <c r="K2531" t="s">
        <v>47</v>
      </c>
    </row>
    <row r="2532" spans="2:11" x14ac:dyDescent="0.25">
      <c r="B2532" s="2">
        <f>+B2531</f>
        <v>31</v>
      </c>
      <c r="C2532" s="4">
        <v>1700.827</v>
      </c>
      <c r="D2532" s="4">
        <v>1649.2919999999999</v>
      </c>
      <c r="E2532" s="79">
        <v>659.97</v>
      </c>
      <c r="F2532" s="79">
        <f>SUM(BASE_DATOS[[#This Row],[Capital($)]:[Interés
Resarcitorio($)]])</f>
        <v>4010.0889999999999</v>
      </c>
      <c r="G2532" s="8">
        <v>44921</v>
      </c>
      <c r="H2532" s="80" t="s">
        <v>53</v>
      </c>
      <c r="I2532" s="79" t="s">
        <v>7</v>
      </c>
      <c r="J2532" s="81">
        <v>120</v>
      </c>
      <c r="K2532" t="s">
        <v>47</v>
      </c>
    </row>
    <row r="2533" spans="2:11" x14ac:dyDescent="0.25">
      <c r="B2533" s="2">
        <v>32</v>
      </c>
      <c r="C2533" s="4">
        <v>1700.827</v>
      </c>
      <c r="D2533" s="4">
        <v>1720.8970000000002</v>
      </c>
      <c r="E2533" s="79">
        <v>0</v>
      </c>
      <c r="F2533" s="79">
        <f>SUM(BASE_DATOS[[#This Row],[Capital($)]:[Interés
Resarcitorio($)]])</f>
        <v>3421.7240000000002</v>
      </c>
      <c r="G2533" s="8">
        <v>44942</v>
      </c>
      <c r="H2533" s="80" t="s">
        <v>53</v>
      </c>
      <c r="I2533" s="79" t="s">
        <v>9</v>
      </c>
      <c r="J2533" s="81">
        <v>120</v>
      </c>
      <c r="K2533" t="s">
        <v>47</v>
      </c>
    </row>
    <row r="2534" spans="2:11" x14ac:dyDescent="0.25">
      <c r="B2534" s="2">
        <f>+B2533</f>
        <v>32</v>
      </c>
      <c r="C2534" s="4">
        <v>1700.827</v>
      </c>
      <c r="D2534" s="4">
        <v>1720.8970000000002</v>
      </c>
      <c r="E2534" s="79">
        <v>674.08</v>
      </c>
      <c r="F2534" s="79">
        <f>SUM(BASE_DATOS[[#This Row],[Capital($)]:[Interés
Resarcitorio($)]])</f>
        <v>4095.8040000000001</v>
      </c>
      <c r="G2534" s="8">
        <v>44952</v>
      </c>
      <c r="H2534" s="80" t="s">
        <v>53</v>
      </c>
      <c r="I2534" s="79" t="s">
        <v>7</v>
      </c>
      <c r="J2534" s="81">
        <v>120</v>
      </c>
      <c r="K2534" t="s">
        <v>47</v>
      </c>
    </row>
    <row r="2535" spans="2:11" x14ac:dyDescent="0.25">
      <c r="B2535" s="2">
        <v>33</v>
      </c>
      <c r="C2535" s="4">
        <v>1700.827</v>
      </c>
      <c r="D2535" s="4">
        <v>1818.694</v>
      </c>
      <c r="E2535" s="79">
        <v>0</v>
      </c>
      <c r="F2535" s="79">
        <f>SUM(BASE_DATOS[[#This Row],[Capital($)]:[Interés
Resarcitorio($)]])</f>
        <v>3519.5209999999997</v>
      </c>
      <c r="G2535" s="8">
        <v>44973</v>
      </c>
      <c r="H2535" s="80" t="s">
        <v>53</v>
      </c>
      <c r="I2535" s="79" t="s">
        <v>9</v>
      </c>
      <c r="J2535" s="81">
        <v>120</v>
      </c>
      <c r="K2535" t="s">
        <v>47</v>
      </c>
    </row>
    <row r="2536" spans="2:11" x14ac:dyDescent="0.25">
      <c r="B2536" s="2">
        <f>+B2535</f>
        <v>33</v>
      </c>
      <c r="C2536" s="4">
        <v>1700.827</v>
      </c>
      <c r="D2536" s="4">
        <v>1818.694</v>
      </c>
      <c r="E2536" s="79">
        <v>693.35</v>
      </c>
      <c r="F2536" s="79">
        <f>SUM(BASE_DATOS[[#This Row],[Capital($)]:[Interés
Resarcitorio($)]])</f>
        <v>4212.8710000000001</v>
      </c>
      <c r="G2536" s="8">
        <v>44983</v>
      </c>
      <c r="H2536" s="80" t="s">
        <v>53</v>
      </c>
      <c r="I2536" s="79" t="s">
        <v>7</v>
      </c>
      <c r="J2536" s="81">
        <v>120</v>
      </c>
      <c r="K2536" t="s">
        <v>47</v>
      </c>
    </row>
    <row r="2537" spans="2:11" x14ac:dyDescent="0.25">
      <c r="B2537" s="2">
        <v>34</v>
      </c>
      <c r="C2537" s="4">
        <v>1700.827</v>
      </c>
      <c r="D2537" s="4">
        <v>1916.4919999999997</v>
      </c>
      <c r="E2537" s="79">
        <v>0</v>
      </c>
      <c r="F2537" s="79">
        <f>SUM(BASE_DATOS[[#This Row],[Capital($)]:[Interés
Resarcitorio($)]])</f>
        <v>3617.3189999999995</v>
      </c>
      <c r="G2537" s="8">
        <v>45001</v>
      </c>
      <c r="H2537" s="80" t="s">
        <v>53</v>
      </c>
      <c r="I2537" s="79" t="s">
        <v>9</v>
      </c>
      <c r="J2537" s="81">
        <v>120</v>
      </c>
      <c r="K2537" t="s">
        <v>47</v>
      </c>
    </row>
    <row r="2538" spans="2:11" x14ac:dyDescent="0.25">
      <c r="B2538" s="2">
        <f>+B2537</f>
        <v>34</v>
      </c>
      <c r="C2538" s="4">
        <v>1700.827</v>
      </c>
      <c r="D2538" s="4">
        <v>1916.4919999999997</v>
      </c>
      <c r="E2538" s="79">
        <v>712.61</v>
      </c>
      <c r="F2538" s="79">
        <f>SUM(BASE_DATOS[[#This Row],[Capital($)]:[Interés
Resarcitorio($)]])</f>
        <v>4329.9289999999992</v>
      </c>
      <c r="G2538" s="8">
        <v>45011</v>
      </c>
      <c r="H2538" s="80" t="s">
        <v>53</v>
      </c>
      <c r="I2538" s="79" t="s">
        <v>7</v>
      </c>
      <c r="J2538" s="81">
        <v>120</v>
      </c>
      <c r="K2538" t="s">
        <v>47</v>
      </c>
    </row>
    <row r="2539" spans="2:11" x14ac:dyDescent="0.25">
      <c r="B2539" s="2">
        <v>35</v>
      </c>
      <c r="C2539" s="4">
        <v>1700.827</v>
      </c>
      <c r="D2539" s="4">
        <v>2014.289</v>
      </c>
      <c r="E2539" s="79">
        <v>0</v>
      </c>
      <c r="F2539" s="79">
        <f>SUM(BASE_DATOS[[#This Row],[Capital($)]:[Interés
Resarcitorio($)]])</f>
        <v>3715.116</v>
      </c>
      <c r="G2539" s="8">
        <v>45032</v>
      </c>
      <c r="H2539" s="80" t="s">
        <v>53</v>
      </c>
      <c r="I2539" s="79" t="s">
        <v>9</v>
      </c>
      <c r="J2539" s="81">
        <v>120</v>
      </c>
      <c r="K2539" t="s">
        <v>47</v>
      </c>
    </row>
    <row r="2540" spans="2:11" x14ac:dyDescent="0.25">
      <c r="B2540" s="2">
        <f>+B2539</f>
        <v>35</v>
      </c>
      <c r="C2540" s="4">
        <v>1700.827</v>
      </c>
      <c r="D2540" s="4">
        <v>2014.289</v>
      </c>
      <c r="E2540" s="79">
        <v>731.88</v>
      </c>
      <c r="F2540" s="79">
        <f>SUM(BASE_DATOS[[#This Row],[Capital($)]:[Interés
Resarcitorio($)]])</f>
        <v>4446.9960000000001</v>
      </c>
      <c r="G2540" s="8">
        <v>45042</v>
      </c>
      <c r="H2540" s="80" t="s">
        <v>53</v>
      </c>
      <c r="I2540" s="79" t="s">
        <v>7</v>
      </c>
      <c r="J2540" s="81">
        <v>120</v>
      </c>
      <c r="K2540" t="s">
        <v>47</v>
      </c>
    </row>
    <row r="2541" spans="2:11" x14ac:dyDescent="0.25">
      <c r="B2541" s="2">
        <v>36</v>
      </c>
      <c r="C2541" s="4">
        <v>1700.827</v>
      </c>
      <c r="D2541" s="4">
        <v>2112.087</v>
      </c>
      <c r="E2541" s="79">
        <v>0</v>
      </c>
      <c r="F2541" s="79">
        <f>SUM(BASE_DATOS[[#This Row],[Capital($)]:[Interés
Resarcitorio($)]])</f>
        <v>3812.9139999999998</v>
      </c>
      <c r="G2541" s="8">
        <v>45062</v>
      </c>
      <c r="H2541" s="80" t="s">
        <v>53</v>
      </c>
      <c r="I2541" s="79" t="s">
        <v>9</v>
      </c>
      <c r="J2541" s="81">
        <v>120</v>
      </c>
      <c r="K2541" t="s">
        <v>47</v>
      </c>
    </row>
    <row r="2542" spans="2:11" x14ac:dyDescent="0.25">
      <c r="B2542" s="2">
        <f>+B2541</f>
        <v>36</v>
      </c>
      <c r="C2542" s="4">
        <v>1700.827</v>
      </c>
      <c r="D2542" s="4">
        <v>2112.087</v>
      </c>
      <c r="E2542" s="79">
        <v>751.14</v>
      </c>
      <c r="F2542" s="79">
        <f>SUM(BASE_DATOS[[#This Row],[Capital($)]:[Interés
Resarcitorio($)]])</f>
        <v>4564.0540000000001</v>
      </c>
      <c r="G2542" s="8">
        <v>45072</v>
      </c>
      <c r="H2542" s="80" t="s">
        <v>53</v>
      </c>
      <c r="I2542" s="79" t="s">
        <v>7</v>
      </c>
      <c r="J2542" s="81">
        <v>120</v>
      </c>
      <c r="K2542" t="s">
        <v>47</v>
      </c>
    </row>
    <row r="2543" spans="2:11" x14ac:dyDescent="0.25">
      <c r="B2543" s="2">
        <v>37</v>
      </c>
      <c r="C2543" s="4">
        <v>1700.827</v>
      </c>
      <c r="D2543" s="4">
        <v>2209.8849999999998</v>
      </c>
      <c r="E2543" s="79">
        <v>0</v>
      </c>
      <c r="F2543" s="79">
        <f>SUM(BASE_DATOS[[#This Row],[Capital($)]:[Interés
Resarcitorio($)]])</f>
        <v>3910.7119999999995</v>
      </c>
      <c r="G2543" s="8">
        <v>45093</v>
      </c>
      <c r="H2543" s="80" t="s">
        <v>53</v>
      </c>
      <c r="I2543" s="79" t="s">
        <v>9</v>
      </c>
      <c r="J2543" s="81">
        <v>120</v>
      </c>
      <c r="K2543" t="s">
        <v>47</v>
      </c>
    </row>
    <row r="2544" spans="2:11" x14ac:dyDescent="0.25">
      <c r="B2544" s="2">
        <f>+B2543</f>
        <v>37</v>
      </c>
      <c r="C2544" s="4">
        <v>1700.827</v>
      </c>
      <c r="D2544" s="4">
        <v>2209.8849999999998</v>
      </c>
      <c r="E2544" s="79">
        <v>770.41</v>
      </c>
      <c r="F2544" s="79">
        <f>SUM(BASE_DATOS[[#This Row],[Capital($)]:[Interés
Resarcitorio($)]])</f>
        <v>4681.1219999999994</v>
      </c>
      <c r="G2544" s="8">
        <v>45103</v>
      </c>
      <c r="H2544" s="80" t="s">
        <v>53</v>
      </c>
      <c r="I2544" s="79" t="s">
        <v>7</v>
      </c>
      <c r="J2544" s="81">
        <v>120</v>
      </c>
      <c r="K2544" t="s">
        <v>47</v>
      </c>
    </row>
    <row r="2545" spans="2:11" x14ac:dyDescent="0.25">
      <c r="B2545" s="2">
        <v>38</v>
      </c>
      <c r="C2545" s="4">
        <v>1700.827</v>
      </c>
      <c r="D2545" s="4">
        <v>2307.6819999999998</v>
      </c>
      <c r="E2545" s="79">
        <v>0</v>
      </c>
      <c r="F2545" s="79">
        <f>SUM(BASE_DATOS[[#This Row],[Capital($)]:[Interés
Resarcitorio($)]])</f>
        <v>4008.509</v>
      </c>
      <c r="G2545" s="8">
        <v>45123</v>
      </c>
      <c r="H2545" s="80" t="s">
        <v>53</v>
      </c>
      <c r="I2545" s="79" t="s">
        <v>9</v>
      </c>
      <c r="J2545" s="81">
        <v>120</v>
      </c>
      <c r="K2545" t="s">
        <v>47</v>
      </c>
    </row>
    <row r="2546" spans="2:11" x14ac:dyDescent="0.25">
      <c r="B2546" s="2">
        <f>+B2545</f>
        <v>38</v>
      </c>
      <c r="C2546" s="4">
        <v>1700.827</v>
      </c>
      <c r="D2546" s="4">
        <v>2307.6819999999998</v>
      </c>
      <c r="E2546" s="79">
        <v>789.68</v>
      </c>
      <c r="F2546" s="79">
        <f>SUM(BASE_DATOS[[#This Row],[Capital($)]:[Interés
Resarcitorio($)]])</f>
        <v>4798.1890000000003</v>
      </c>
      <c r="G2546" s="8">
        <v>45133</v>
      </c>
      <c r="H2546" s="80" t="s">
        <v>53</v>
      </c>
      <c r="I2546" s="79" t="s">
        <v>7</v>
      </c>
      <c r="J2546" s="81">
        <v>120</v>
      </c>
      <c r="K2546" t="s">
        <v>47</v>
      </c>
    </row>
    <row r="2547" spans="2:11" x14ac:dyDescent="0.25">
      <c r="B2547" s="2">
        <v>39</v>
      </c>
      <c r="C2547" s="4">
        <v>1700.827</v>
      </c>
      <c r="D2547" s="4">
        <v>2436.9450000000002</v>
      </c>
      <c r="E2547" s="79">
        <v>0</v>
      </c>
      <c r="F2547" s="79">
        <f>SUM(BASE_DATOS[[#This Row],[Capital($)]:[Interés
Resarcitorio($)]])</f>
        <v>4137.7719999999999</v>
      </c>
      <c r="G2547" s="8">
        <v>45154</v>
      </c>
      <c r="H2547" s="80" t="s">
        <v>53</v>
      </c>
      <c r="I2547" s="79" t="s">
        <v>9</v>
      </c>
      <c r="J2547" s="81">
        <v>120</v>
      </c>
      <c r="K2547" t="s">
        <v>47</v>
      </c>
    </row>
    <row r="2548" spans="2:11" x14ac:dyDescent="0.25">
      <c r="B2548" s="2">
        <f>+B2547</f>
        <v>39</v>
      </c>
      <c r="C2548" s="4">
        <v>1700.827</v>
      </c>
      <c r="D2548" s="4">
        <v>2436.9450000000002</v>
      </c>
      <c r="E2548" s="79">
        <v>815.14</v>
      </c>
      <c r="F2548" s="79">
        <f>SUM(BASE_DATOS[[#This Row],[Capital($)]:[Interés
Resarcitorio($)]])</f>
        <v>4952.9120000000003</v>
      </c>
      <c r="G2548" s="8">
        <v>45164</v>
      </c>
      <c r="H2548" s="80" t="s">
        <v>53</v>
      </c>
      <c r="I2548" s="79" t="s">
        <v>7</v>
      </c>
      <c r="J2548" s="81">
        <v>120</v>
      </c>
      <c r="K2548" t="s">
        <v>47</v>
      </c>
    </row>
    <row r="2549" spans="2:11" x14ac:dyDescent="0.25">
      <c r="B2549" s="2">
        <v>40</v>
      </c>
      <c r="C2549" s="4">
        <v>1700.827</v>
      </c>
      <c r="D2549" s="4">
        <v>2566.2080000000001</v>
      </c>
      <c r="E2549" s="79">
        <v>0</v>
      </c>
      <c r="F2549" s="79">
        <f>SUM(BASE_DATOS[[#This Row],[Capital($)]:[Interés
Resarcitorio($)]])</f>
        <v>4267.0349999999999</v>
      </c>
      <c r="G2549" s="8">
        <v>45185</v>
      </c>
      <c r="H2549" s="80" t="s">
        <v>53</v>
      </c>
      <c r="I2549" s="79" t="s">
        <v>9</v>
      </c>
      <c r="J2549" s="81">
        <v>120</v>
      </c>
      <c r="K2549" t="s">
        <v>47</v>
      </c>
    </row>
    <row r="2550" spans="2:11" x14ac:dyDescent="0.25">
      <c r="B2550" s="2">
        <f>+B2549</f>
        <v>40</v>
      </c>
      <c r="C2550" s="4">
        <v>1700.827</v>
      </c>
      <c r="D2550" s="4">
        <v>2566.2080000000001</v>
      </c>
      <c r="E2550" s="79">
        <v>840.61</v>
      </c>
      <c r="F2550" s="79">
        <f>SUM(BASE_DATOS[[#This Row],[Capital($)]:[Interés
Resarcitorio($)]])</f>
        <v>5107.6449999999995</v>
      </c>
      <c r="G2550" s="8">
        <v>45195</v>
      </c>
      <c r="H2550" s="80" t="s">
        <v>53</v>
      </c>
      <c r="I2550" s="79" t="s">
        <v>7</v>
      </c>
      <c r="J2550" s="81">
        <v>120</v>
      </c>
      <c r="K2550" t="s">
        <v>47</v>
      </c>
    </row>
    <row r="2551" spans="2:11" x14ac:dyDescent="0.25">
      <c r="B2551" s="2">
        <v>41</v>
      </c>
      <c r="C2551" s="4">
        <v>1700.827</v>
      </c>
      <c r="D2551" s="4">
        <v>2695.471</v>
      </c>
      <c r="E2551" s="79">
        <v>0</v>
      </c>
      <c r="F2551" s="79">
        <f>SUM(BASE_DATOS[[#This Row],[Capital($)]:[Interés
Resarcitorio($)]])</f>
        <v>4396.2979999999998</v>
      </c>
      <c r="G2551" s="8">
        <v>45215</v>
      </c>
      <c r="H2551" s="80" t="s">
        <v>53</v>
      </c>
      <c r="I2551" s="79" t="s">
        <v>9</v>
      </c>
      <c r="J2551" s="81">
        <v>120</v>
      </c>
      <c r="K2551" t="s">
        <v>47</v>
      </c>
    </row>
    <row r="2552" spans="2:11" x14ac:dyDescent="0.25">
      <c r="B2552" s="2">
        <f>+B2551</f>
        <v>41</v>
      </c>
      <c r="C2552" s="4">
        <v>1700.827</v>
      </c>
      <c r="D2552" s="4">
        <v>2695.471</v>
      </c>
      <c r="E2552" s="79">
        <v>866.07</v>
      </c>
      <c r="F2552" s="79">
        <f>SUM(BASE_DATOS[[#This Row],[Capital($)]:[Interés
Resarcitorio($)]])</f>
        <v>5262.3679999999995</v>
      </c>
      <c r="G2552" s="8">
        <v>45225</v>
      </c>
      <c r="H2552" s="80" t="s">
        <v>53</v>
      </c>
      <c r="I2552" s="79" t="s">
        <v>7</v>
      </c>
      <c r="J2552" s="81">
        <v>120</v>
      </c>
      <c r="K2552" t="s">
        <v>47</v>
      </c>
    </row>
    <row r="2553" spans="2:11" x14ac:dyDescent="0.25">
      <c r="B2553" s="2">
        <v>42</v>
      </c>
      <c r="C2553" s="4">
        <v>1700.827</v>
      </c>
      <c r="D2553" s="4">
        <v>2824.7330000000002</v>
      </c>
      <c r="E2553" s="79">
        <v>0</v>
      </c>
      <c r="F2553" s="79">
        <f>SUM(BASE_DATOS[[#This Row],[Capital($)]:[Interés
Resarcitorio($)]])</f>
        <v>4525.5600000000004</v>
      </c>
      <c r="G2553" s="8">
        <v>45246</v>
      </c>
      <c r="H2553" s="80" t="s">
        <v>53</v>
      </c>
      <c r="I2553" s="79" t="s">
        <v>9</v>
      </c>
      <c r="J2553" s="81">
        <v>120</v>
      </c>
      <c r="K2553" t="s">
        <v>47</v>
      </c>
    </row>
    <row r="2554" spans="2:11" x14ac:dyDescent="0.25">
      <c r="B2554" s="2">
        <f>+B2553</f>
        <v>42</v>
      </c>
      <c r="C2554" s="4">
        <v>1700.827</v>
      </c>
      <c r="D2554" s="4">
        <v>2824.7330000000002</v>
      </c>
      <c r="E2554" s="79">
        <v>891.54</v>
      </c>
      <c r="F2554" s="79">
        <f>SUM(BASE_DATOS[[#This Row],[Capital($)]:[Interés
Resarcitorio($)]])</f>
        <v>5417.1</v>
      </c>
      <c r="G2554" s="8">
        <v>45256</v>
      </c>
      <c r="H2554" s="80" t="s">
        <v>53</v>
      </c>
      <c r="I2554" s="79" t="s">
        <v>7</v>
      </c>
      <c r="J2554" s="81">
        <v>120</v>
      </c>
      <c r="K2554" t="s">
        <v>47</v>
      </c>
    </row>
    <row r="2555" spans="2:11" x14ac:dyDescent="0.25">
      <c r="B2555" s="2">
        <v>43</v>
      </c>
      <c r="C2555" s="4">
        <v>1700.827</v>
      </c>
      <c r="D2555" s="4">
        <v>2953.9960000000001</v>
      </c>
      <c r="E2555" s="79">
        <v>0</v>
      </c>
      <c r="F2555" s="79">
        <f>SUM(BASE_DATOS[[#This Row],[Capital($)]:[Interés
Resarcitorio($)]])</f>
        <v>4654.8230000000003</v>
      </c>
      <c r="G2555" s="8">
        <v>45276</v>
      </c>
      <c r="H2555" s="80" t="s">
        <v>53</v>
      </c>
      <c r="I2555" s="79" t="s">
        <v>9</v>
      </c>
      <c r="J2555" s="81">
        <v>120</v>
      </c>
      <c r="K2555" t="s">
        <v>47</v>
      </c>
    </row>
    <row r="2556" spans="2:11" x14ac:dyDescent="0.25">
      <c r="B2556" s="2">
        <f>+B2555</f>
        <v>43</v>
      </c>
      <c r="C2556" s="4">
        <v>1700.827</v>
      </c>
      <c r="D2556" s="4">
        <v>2953.9960000000001</v>
      </c>
      <c r="E2556" s="79">
        <v>917</v>
      </c>
      <c r="F2556" s="79">
        <f>SUM(BASE_DATOS[[#This Row],[Capital($)]:[Interés
Resarcitorio($)]])</f>
        <v>5571.8230000000003</v>
      </c>
      <c r="G2556" s="8">
        <v>45286</v>
      </c>
      <c r="H2556" s="80" t="s">
        <v>53</v>
      </c>
      <c r="I2556" s="79" t="s">
        <v>7</v>
      </c>
      <c r="J2556" s="81">
        <v>120</v>
      </c>
      <c r="K2556" t="s">
        <v>47</v>
      </c>
    </row>
    <row r="2557" spans="2:11" x14ac:dyDescent="0.25">
      <c r="B2557" s="2">
        <v>44</v>
      </c>
      <c r="C2557" s="4">
        <v>1700.827</v>
      </c>
      <c r="D2557" s="4">
        <v>3083.259</v>
      </c>
      <c r="E2557" s="79">
        <v>0</v>
      </c>
      <c r="F2557" s="79">
        <f>SUM(BASE_DATOS[[#This Row],[Capital($)]:[Interés
Resarcitorio($)]])</f>
        <v>4784.0860000000002</v>
      </c>
      <c r="G2557" s="8">
        <v>45307</v>
      </c>
      <c r="H2557" s="80" t="s">
        <v>53</v>
      </c>
      <c r="I2557" s="79" t="s">
        <v>9</v>
      </c>
      <c r="J2557" s="81">
        <v>120</v>
      </c>
      <c r="K2557" t="s">
        <v>47</v>
      </c>
    </row>
    <row r="2558" spans="2:11" x14ac:dyDescent="0.25">
      <c r="B2558" s="2">
        <f>+B2557</f>
        <v>44</v>
      </c>
      <c r="C2558" s="4">
        <v>1700.827</v>
      </c>
      <c r="D2558" s="4">
        <v>3083.259</v>
      </c>
      <c r="E2558" s="79">
        <v>942.46</v>
      </c>
      <c r="F2558" s="79">
        <f>SUM(BASE_DATOS[[#This Row],[Capital($)]:[Interés
Resarcitorio($)]])</f>
        <v>5726.5460000000003</v>
      </c>
      <c r="G2558" s="8">
        <v>45317</v>
      </c>
      <c r="H2558" s="80" t="s">
        <v>53</v>
      </c>
      <c r="I2558" s="79" t="s">
        <v>7</v>
      </c>
      <c r="J2558" s="81">
        <v>120</v>
      </c>
      <c r="K2558" t="s">
        <v>47</v>
      </c>
    </row>
    <row r="2559" spans="2:11" x14ac:dyDescent="0.25">
      <c r="B2559" s="2">
        <v>45</v>
      </c>
      <c r="C2559" s="4">
        <v>1700.827</v>
      </c>
      <c r="D2559" s="4">
        <v>3238.7150000000001</v>
      </c>
      <c r="E2559" s="79">
        <v>0</v>
      </c>
      <c r="F2559" s="79">
        <f>SUM(BASE_DATOS[[#This Row],[Capital($)]:[Interés
Resarcitorio($)]])</f>
        <v>4939.5420000000004</v>
      </c>
      <c r="G2559" s="8">
        <v>45338</v>
      </c>
      <c r="H2559" s="80" t="s">
        <v>53</v>
      </c>
      <c r="I2559" s="79" t="s">
        <v>9</v>
      </c>
      <c r="J2559" s="81">
        <v>120</v>
      </c>
      <c r="K2559" t="s">
        <v>47</v>
      </c>
    </row>
    <row r="2560" spans="2:11" x14ac:dyDescent="0.25">
      <c r="B2560" s="2">
        <f>+B2559</f>
        <v>45</v>
      </c>
      <c r="C2560" s="4">
        <v>1700.827</v>
      </c>
      <c r="D2560" s="4">
        <v>3238.7150000000001</v>
      </c>
      <c r="E2560" s="79">
        <v>2514.23</v>
      </c>
      <c r="F2560" s="79">
        <f>SUM(BASE_DATOS[[#This Row],[Capital($)]:[Interés
Resarcitorio($)]])</f>
        <v>7453.7720000000008</v>
      </c>
      <c r="G2560" s="8">
        <v>45348</v>
      </c>
      <c r="H2560" s="80" t="s">
        <v>53</v>
      </c>
      <c r="I2560" s="79" t="s">
        <v>7</v>
      </c>
      <c r="J2560" s="81">
        <v>120</v>
      </c>
      <c r="K2560" t="s">
        <v>47</v>
      </c>
    </row>
    <row r="2561" spans="2:11" x14ac:dyDescent="0.25">
      <c r="B2561" s="2">
        <v>46</v>
      </c>
      <c r="C2561" s="4">
        <v>1700.827</v>
      </c>
      <c r="D2561" s="4">
        <v>3394.1699999999996</v>
      </c>
      <c r="E2561" s="79">
        <v>0</v>
      </c>
      <c r="F2561" s="79">
        <f>SUM(BASE_DATOS[[#This Row],[Capital($)]:[Interés
Resarcitorio($)]])</f>
        <v>5094.9969999999994</v>
      </c>
      <c r="G2561" s="8">
        <v>45367</v>
      </c>
      <c r="H2561" s="80" t="s">
        <v>53</v>
      </c>
      <c r="I2561" s="79" t="s">
        <v>9</v>
      </c>
      <c r="J2561" s="81">
        <v>120</v>
      </c>
      <c r="K2561" t="s">
        <v>47</v>
      </c>
    </row>
    <row r="2562" spans="2:11" x14ac:dyDescent="0.25">
      <c r="B2562" s="2">
        <f>+B2561</f>
        <v>46</v>
      </c>
      <c r="C2562" s="4">
        <v>1700.827</v>
      </c>
      <c r="D2562" s="4">
        <v>3394.1699999999996</v>
      </c>
      <c r="E2562" s="79">
        <v>2593.35</v>
      </c>
      <c r="F2562" s="79">
        <f>SUM(BASE_DATOS[[#This Row],[Capital($)]:[Interés
Resarcitorio($)]])</f>
        <v>7688.3469999999998</v>
      </c>
      <c r="G2562" s="8">
        <v>45377</v>
      </c>
      <c r="H2562" s="80" t="s">
        <v>53</v>
      </c>
      <c r="I2562" s="79" t="s">
        <v>7</v>
      </c>
      <c r="J2562" s="81">
        <v>120</v>
      </c>
      <c r="K2562" t="s">
        <v>47</v>
      </c>
    </row>
    <row r="2563" spans="2:11" x14ac:dyDescent="0.25">
      <c r="B2563" s="2">
        <v>47</v>
      </c>
      <c r="C2563" s="4">
        <v>1700.827</v>
      </c>
      <c r="D2563" s="4">
        <v>3549.6260000000002</v>
      </c>
      <c r="E2563" s="79">
        <v>0</v>
      </c>
      <c r="F2563" s="79">
        <f>SUM(BASE_DATOS[[#This Row],[Capital($)]:[Interés
Resarcitorio($)]])</f>
        <v>5250.4530000000004</v>
      </c>
      <c r="G2563" s="8">
        <v>45398</v>
      </c>
      <c r="H2563" s="80" t="s">
        <v>53</v>
      </c>
      <c r="I2563" s="79" t="s">
        <v>9</v>
      </c>
      <c r="J2563" s="81">
        <v>120</v>
      </c>
      <c r="K2563" t="s">
        <v>47</v>
      </c>
    </row>
    <row r="2564" spans="2:11" x14ac:dyDescent="0.25">
      <c r="B2564" s="2">
        <f>+B2563</f>
        <v>47</v>
      </c>
      <c r="C2564" s="4">
        <v>1700.827</v>
      </c>
      <c r="D2564" s="4">
        <v>3549.6260000000002</v>
      </c>
      <c r="E2564" s="79">
        <v>2112.4299999999998</v>
      </c>
      <c r="F2564" s="79">
        <f>SUM(BASE_DATOS[[#This Row],[Capital($)]:[Interés
Resarcitorio($)]])</f>
        <v>7362.8829999999998</v>
      </c>
      <c r="G2564" s="8">
        <v>45408</v>
      </c>
      <c r="H2564" s="80" t="s">
        <v>53</v>
      </c>
      <c r="I2564" s="79" t="s">
        <v>7</v>
      </c>
      <c r="J2564" s="81">
        <v>120</v>
      </c>
      <c r="K2564" t="s">
        <v>47</v>
      </c>
    </row>
    <row r="2565" spans="2:11" x14ac:dyDescent="0.25">
      <c r="B2565" s="2">
        <v>48</v>
      </c>
      <c r="C2565" s="4">
        <v>1700.827</v>
      </c>
      <c r="D2565" s="4">
        <v>3705.0819999999999</v>
      </c>
      <c r="E2565" s="79">
        <v>0</v>
      </c>
      <c r="F2565" s="79">
        <f>SUM(BASE_DATOS[[#This Row],[Capital($)]:[Interés
Resarcitorio($)]])</f>
        <v>5405.9089999999997</v>
      </c>
      <c r="G2565" s="8">
        <v>45428</v>
      </c>
      <c r="H2565" s="80" t="s">
        <v>53</v>
      </c>
      <c r="I2565" s="79" t="s">
        <v>9</v>
      </c>
      <c r="J2565" s="81">
        <v>120</v>
      </c>
      <c r="K2565" t="s">
        <v>47</v>
      </c>
    </row>
    <row r="2566" spans="2:11" x14ac:dyDescent="0.25">
      <c r="B2566" s="2">
        <f>+B2565</f>
        <v>48</v>
      </c>
      <c r="C2566" s="4">
        <v>1700.827</v>
      </c>
      <c r="D2566" s="4">
        <v>3705.0819999999999</v>
      </c>
      <c r="E2566" s="79">
        <v>2174.98</v>
      </c>
      <c r="F2566" s="79">
        <f>SUM(BASE_DATOS[[#This Row],[Capital($)]:[Interés
Resarcitorio($)]])</f>
        <v>7580.8889999999992</v>
      </c>
      <c r="G2566" s="8">
        <v>45438</v>
      </c>
      <c r="H2566" s="80" t="s">
        <v>53</v>
      </c>
      <c r="I2566" s="79" t="s">
        <v>7</v>
      </c>
      <c r="J2566" s="81">
        <v>120</v>
      </c>
      <c r="K2566" t="s">
        <v>47</v>
      </c>
    </row>
    <row r="2567" spans="2:11" x14ac:dyDescent="0.25">
      <c r="B2567" s="2">
        <v>49</v>
      </c>
      <c r="C2567" s="4">
        <v>1700.827</v>
      </c>
      <c r="D2567" s="4">
        <v>3860.5370000000003</v>
      </c>
      <c r="E2567" s="79">
        <v>0</v>
      </c>
      <c r="F2567" s="79">
        <f>SUM(BASE_DATOS[[#This Row],[Capital($)]:[Interés
Resarcitorio($)]])</f>
        <v>5561.3640000000005</v>
      </c>
      <c r="G2567" s="8">
        <v>45459</v>
      </c>
      <c r="H2567" s="80" t="s">
        <v>53</v>
      </c>
      <c r="I2567" s="79" t="s">
        <v>9</v>
      </c>
      <c r="J2567" s="81">
        <v>120</v>
      </c>
      <c r="K2567" t="s">
        <v>47</v>
      </c>
    </row>
    <row r="2568" spans="2:11" x14ac:dyDescent="0.25">
      <c r="B2568" s="2">
        <f>+B2567</f>
        <v>49</v>
      </c>
      <c r="C2568" s="4">
        <v>1700.827</v>
      </c>
      <c r="D2568" s="4">
        <v>3860.5370000000003</v>
      </c>
      <c r="E2568" s="79">
        <v>1188.28</v>
      </c>
      <c r="F2568" s="79">
        <f>SUM(BASE_DATOS[[#This Row],[Capital($)]:[Interés
Resarcitorio($)]])</f>
        <v>6749.6440000000002</v>
      </c>
      <c r="G2568" s="8">
        <v>45469</v>
      </c>
      <c r="H2568" s="80" t="s">
        <v>53</v>
      </c>
      <c r="I2568" s="79" t="s">
        <v>7</v>
      </c>
      <c r="J2568" s="81">
        <v>120</v>
      </c>
      <c r="K2568" t="s">
        <v>47</v>
      </c>
    </row>
    <row r="2569" spans="2:11" x14ac:dyDescent="0.25">
      <c r="B2569" s="2">
        <v>50</v>
      </c>
      <c r="C2569" s="4">
        <v>1700.827</v>
      </c>
      <c r="D2569" s="4">
        <v>4015.9929999999999</v>
      </c>
      <c r="E2569" s="79">
        <v>0</v>
      </c>
      <c r="F2569" s="79">
        <f>SUM(BASE_DATOS[[#This Row],[Capital($)]:[Interés
Resarcitorio($)]])</f>
        <v>5716.82</v>
      </c>
      <c r="G2569" s="8">
        <v>45489</v>
      </c>
      <c r="H2569" s="80" t="s">
        <v>53</v>
      </c>
      <c r="I2569" s="79" t="s">
        <v>9</v>
      </c>
      <c r="J2569" s="81">
        <v>120</v>
      </c>
      <c r="K2569" t="s">
        <v>47</v>
      </c>
    </row>
    <row r="2570" spans="2:11" x14ac:dyDescent="0.25">
      <c r="B2570" s="2">
        <f>+B2569</f>
        <v>50</v>
      </c>
      <c r="C2570" s="4">
        <v>1700.827</v>
      </c>
      <c r="D2570" s="4">
        <v>4015.9929999999999</v>
      </c>
      <c r="E2570" s="79">
        <v>1221.49</v>
      </c>
      <c r="F2570" s="79">
        <f>SUM(BASE_DATOS[[#This Row],[Capital($)]:[Interés
Resarcitorio($)]])</f>
        <v>6938.3099999999995</v>
      </c>
      <c r="G2570" s="8">
        <v>45499</v>
      </c>
      <c r="H2570" s="80" t="s">
        <v>53</v>
      </c>
      <c r="I2570" s="79" t="s">
        <v>7</v>
      </c>
      <c r="J2570" s="81">
        <v>120</v>
      </c>
      <c r="K2570" t="s">
        <v>47</v>
      </c>
    </row>
    <row r="2571" spans="2:11" x14ac:dyDescent="0.25">
      <c r="B2571" s="2">
        <v>51</v>
      </c>
      <c r="C2571" s="4">
        <v>1700.827</v>
      </c>
      <c r="D2571" s="4">
        <v>2847.0140000000001</v>
      </c>
      <c r="E2571" s="79">
        <v>0</v>
      </c>
      <c r="F2571" s="79">
        <f>SUM(BASE_DATOS[[#This Row],[Capital($)]:[Interés
Resarcitorio($)]])</f>
        <v>4547.8410000000003</v>
      </c>
      <c r="G2571" s="8">
        <v>45520</v>
      </c>
      <c r="H2571" s="80" t="s">
        <v>53</v>
      </c>
      <c r="I2571" s="79" t="s">
        <v>9</v>
      </c>
      <c r="J2571" s="81">
        <v>120</v>
      </c>
      <c r="K2571" t="s">
        <v>47</v>
      </c>
    </row>
    <row r="2572" spans="2:11" x14ac:dyDescent="0.25">
      <c r="B2572" s="2">
        <f>+B2571</f>
        <v>51</v>
      </c>
      <c r="C2572" s="4">
        <v>1700.827</v>
      </c>
      <c r="D2572" s="4">
        <v>2847.0140000000001</v>
      </c>
      <c r="E2572" s="79">
        <v>971.72</v>
      </c>
      <c r="F2572" s="79">
        <f>SUM(BASE_DATOS[[#This Row],[Capital($)]:[Interés
Resarcitorio($)]])</f>
        <v>5519.5610000000006</v>
      </c>
      <c r="G2572" s="8">
        <v>45530</v>
      </c>
      <c r="H2572" s="80" t="s">
        <v>53</v>
      </c>
      <c r="I2572" s="79" t="s">
        <v>7</v>
      </c>
      <c r="J2572" s="81">
        <v>120</v>
      </c>
      <c r="K2572" t="s">
        <v>47</v>
      </c>
    </row>
    <row r="2573" spans="2:11" x14ac:dyDescent="0.25">
      <c r="B2573" s="2">
        <v>52</v>
      </c>
      <c r="C2573" s="4">
        <v>1700.827</v>
      </c>
      <c r="D2573" s="4">
        <v>2900.59</v>
      </c>
      <c r="E2573" s="79">
        <v>0</v>
      </c>
      <c r="F2573" s="79">
        <f>SUM(BASE_DATOS[[#This Row],[Capital($)]:[Interés
Resarcitorio($)]])</f>
        <v>4601.4170000000004</v>
      </c>
      <c r="G2573" s="8">
        <v>45551</v>
      </c>
      <c r="H2573" s="80" t="s">
        <v>53</v>
      </c>
      <c r="I2573" s="79" t="s">
        <v>9</v>
      </c>
      <c r="J2573" s="81">
        <v>120</v>
      </c>
      <c r="K2573" t="s">
        <v>47</v>
      </c>
    </row>
    <row r="2574" spans="2:11" x14ac:dyDescent="0.25">
      <c r="B2574" s="2">
        <f>+B2573</f>
        <v>52</v>
      </c>
      <c r="C2574" s="4">
        <v>1700.827</v>
      </c>
      <c r="D2574" s="4">
        <v>2900.59</v>
      </c>
      <c r="E2574" s="79">
        <v>983.17</v>
      </c>
      <c r="F2574" s="79">
        <f>SUM(BASE_DATOS[[#This Row],[Capital($)]:[Interés
Resarcitorio($)]])</f>
        <v>5584.5870000000004</v>
      </c>
      <c r="G2574" s="8">
        <v>45561</v>
      </c>
      <c r="H2574" s="80" t="s">
        <v>53</v>
      </c>
      <c r="I2574" s="79" t="s">
        <v>7</v>
      </c>
      <c r="J2574" s="81">
        <v>120</v>
      </c>
      <c r="K2574" t="s">
        <v>47</v>
      </c>
    </row>
    <row r="2575" spans="2:11" x14ac:dyDescent="0.25">
      <c r="B2575" s="2">
        <v>53</v>
      </c>
      <c r="C2575" s="4">
        <v>1700.827</v>
      </c>
      <c r="D2575" s="4">
        <v>2954.1660000000002</v>
      </c>
      <c r="E2575" s="79">
        <v>0</v>
      </c>
      <c r="F2575" s="79">
        <f>SUM(BASE_DATOS[[#This Row],[Capital($)]:[Interés
Resarcitorio($)]])</f>
        <v>4654.9930000000004</v>
      </c>
      <c r="G2575" s="8">
        <v>45581</v>
      </c>
      <c r="H2575" s="80" t="s">
        <v>53</v>
      </c>
      <c r="I2575" s="79" t="s">
        <v>9</v>
      </c>
      <c r="J2575" s="81">
        <v>120</v>
      </c>
      <c r="K2575" t="s">
        <v>47</v>
      </c>
    </row>
    <row r="2576" spans="2:11" x14ac:dyDescent="0.25">
      <c r="B2576" s="2">
        <f>+B2575</f>
        <v>53</v>
      </c>
      <c r="C2576" s="4">
        <v>1700.827</v>
      </c>
      <c r="D2576" s="4">
        <v>2954.1660000000002</v>
      </c>
      <c r="E2576" s="79">
        <v>994.62</v>
      </c>
      <c r="F2576" s="79">
        <f>SUM(BASE_DATOS[[#This Row],[Capital($)]:[Interés
Resarcitorio($)]])</f>
        <v>5649.6130000000003</v>
      </c>
      <c r="G2576" s="8">
        <v>45591</v>
      </c>
      <c r="H2576" s="80" t="s">
        <v>53</v>
      </c>
      <c r="I2576" s="79" t="s">
        <v>7</v>
      </c>
      <c r="J2576" s="81">
        <v>120</v>
      </c>
      <c r="K2576" t="s">
        <v>47</v>
      </c>
    </row>
    <row r="2577" spans="2:11" x14ac:dyDescent="0.25">
      <c r="B2577" s="2">
        <v>54</v>
      </c>
      <c r="C2577" s="4">
        <v>1700.827</v>
      </c>
      <c r="D2577" s="4">
        <v>3007.7419999999997</v>
      </c>
      <c r="E2577" s="79">
        <v>0</v>
      </c>
      <c r="F2577" s="79">
        <f>SUM(BASE_DATOS[[#This Row],[Capital($)]:[Interés
Resarcitorio($)]])</f>
        <v>4708.5689999999995</v>
      </c>
      <c r="G2577" s="8">
        <v>45612</v>
      </c>
      <c r="H2577" s="80" t="s">
        <v>53</v>
      </c>
      <c r="I2577" s="79" t="s">
        <v>9</v>
      </c>
      <c r="J2577" s="81">
        <v>120</v>
      </c>
      <c r="K2577" t="s">
        <v>47</v>
      </c>
    </row>
    <row r="2578" spans="2:11" x14ac:dyDescent="0.25">
      <c r="B2578" s="2">
        <f>+B2577</f>
        <v>54</v>
      </c>
      <c r="C2578" s="4">
        <v>1700.827</v>
      </c>
      <c r="D2578" s="4">
        <v>3007.7419999999997</v>
      </c>
      <c r="E2578" s="79">
        <v>1006.06</v>
      </c>
      <c r="F2578" s="79">
        <f>SUM(BASE_DATOS[[#This Row],[Capital($)]:[Interés
Resarcitorio($)]])</f>
        <v>5714.628999999999</v>
      </c>
      <c r="G2578" s="8">
        <v>45622</v>
      </c>
      <c r="H2578" s="80" t="s">
        <v>53</v>
      </c>
      <c r="I2578" s="79" t="s">
        <v>7</v>
      </c>
      <c r="J2578" s="81">
        <v>120</v>
      </c>
      <c r="K2578" t="s">
        <v>47</v>
      </c>
    </row>
    <row r="2579" spans="2:11" x14ac:dyDescent="0.25">
      <c r="B2579" s="2">
        <v>55</v>
      </c>
      <c r="C2579" s="4">
        <v>1700.827</v>
      </c>
      <c r="D2579" s="4">
        <v>3061.319</v>
      </c>
      <c r="E2579" s="79">
        <v>0</v>
      </c>
      <c r="F2579" s="79">
        <f>SUM(BASE_DATOS[[#This Row],[Capital($)]:[Interés
Resarcitorio($)]])</f>
        <v>4762.1459999999997</v>
      </c>
      <c r="G2579" s="8">
        <v>45642</v>
      </c>
      <c r="H2579" s="80" t="s">
        <v>53</v>
      </c>
      <c r="I2579" s="79" t="s">
        <v>9</v>
      </c>
      <c r="J2579" s="81">
        <v>120</v>
      </c>
      <c r="K2579" t="s">
        <v>47</v>
      </c>
    </row>
    <row r="2580" spans="2:11" x14ac:dyDescent="0.25">
      <c r="B2580" s="2">
        <f>+B2579</f>
        <v>55</v>
      </c>
      <c r="C2580" s="4">
        <v>1700.827</v>
      </c>
      <c r="D2580" s="4">
        <v>3061.319</v>
      </c>
      <c r="E2580" s="79">
        <v>1185.77</v>
      </c>
      <c r="F2580" s="79">
        <f>SUM(BASE_DATOS[[#This Row],[Capital($)]:[Interés
Resarcitorio($)]])</f>
        <v>5947.9159999999993</v>
      </c>
      <c r="G2580" s="8">
        <v>45652</v>
      </c>
      <c r="H2580" s="80" t="s">
        <v>53</v>
      </c>
      <c r="I2580" s="79" t="s">
        <v>7</v>
      </c>
      <c r="J2580" s="81">
        <v>120</v>
      </c>
      <c r="K2580" t="s">
        <v>47</v>
      </c>
    </row>
    <row r="2581" spans="2:11" x14ac:dyDescent="0.25">
      <c r="B2581" s="2">
        <v>56</v>
      </c>
      <c r="C2581" s="4">
        <v>1700.827</v>
      </c>
      <c r="D2581" s="4">
        <v>3114.895</v>
      </c>
      <c r="E2581" s="79">
        <v>0</v>
      </c>
      <c r="F2581" s="79">
        <f>SUM(BASE_DATOS[[#This Row],[Capital($)]:[Interés
Resarcitorio($)]])</f>
        <v>4815.7219999999998</v>
      </c>
      <c r="G2581" s="8">
        <v>45673</v>
      </c>
      <c r="H2581" s="80" t="s">
        <v>53</v>
      </c>
      <c r="I2581" s="79" t="s">
        <v>9</v>
      </c>
      <c r="J2581" s="81">
        <v>120</v>
      </c>
      <c r="K2581" t="s">
        <v>47</v>
      </c>
    </row>
    <row r="2582" spans="2:11" x14ac:dyDescent="0.25">
      <c r="B2582" s="2">
        <f>+B2581</f>
        <v>56</v>
      </c>
      <c r="C2582" s="4">
        <v>1700.827</v>
      </c>
      <c r="D2582" s="4">
        <v>3114.895</v>
      </c>
      <c r="E2582" s="79">
        <v>1199.1099999999999</v>
      </c>
      <c r="F2582" s="79">
        <f>SUM(BASE_DATOS[[#This Row],[Capital($)]:[Interés
Resarcitorio($)]])</f>
        <v>6014.8319999999994</v>
      </c>
      <c r="G2582" s="8">
        <v>45683</v>
      </c>
      <c r="H2582" s="80" t="s">
        <v>53</v>
      </c>
      <c r="I2582" s="79" t="s">
        <v>7</v>
      </c>
      <c r="J2582" s="81">
        <v>120</v>
      </c>
      <c r="K2582" t="s">
        <v>47</v>
      </c>
    </row>
    <row r="2583" spans="2:11" x14ac:dyDescent="0.25">
      <c r="B2583" s="2">
        <v>57</v>
      </c>
      <c r="C2583" s="4">
        <v>1700.827</v>
      </c>
      <c r="D2583" s="4">
        <v>3158.6060000000002</v>
      </c>
      <c r="E2583" s="79">
        <v>0</v>
      </c>
      <c r="F2583" s="79">
        <f>SUM(BASE_DATOS[[#This Row],[Capital($)]:[Interés
Resarcitorio($)]])</f>
        <v>4859.433</v>
      </c>
      <c r="G2583" s="8">
        <v>45704</v>
      </c>
      <c r="H2583" s="80" t="s">
        <v>53</v>
      </c>
      <c r="I2583" s="79" t="s">
        <v>9</v>
      </c>
      <c r="J2583" s="81">
        <v>120</v>
      </c>
      <c r="K2583" t="s">
        <v>47</v>
      </c>
    </row>
    <row r="2584" spans="2:11" x14ac:dyDescent="0.25">
      <c r="B2584" s="2">
        <f>+B2583</f>
        <v>57</v>
      </c>
      <c r="C2584" s="4">
        <v>1700.827</v>
      </c>
      <c r="D2584" s="4">
        <v>3158.6060000000002</v>
      </c>
      <c r="E2584" s="79">
        <v>1175.98</v>
      </c>
      <c r="F2584" s="79">
        <f>SUM(BASE_DATOS[[#This Row],[Capital($)]:[Interés
Resarcitorio($)]])</f>
        <v>6035.4130000000005</v>
      </c>
      <c r="G2584" s="8">
        <v>45714</v>
      </c>
      <c r="H2584" s="80" t="s">
        <v>53</v>
      </c>
      <c r="I2584" s="79" t="s">
        <v>7</v>
      </c>
      <c r="J2584" s="81">
        <v>120</v>
      </c>
      <c r="K2584" t="s">
        <v>47</v>
      </c>
    </row>
    <row r="2585" spans="2:11" x14ac:dyDescent="0.25">
      <c r="B2585" s="2">
        <v>58</v>
      </c>
      <c r="C2585" s="4">
        <v>1700.827</v>
      </c>
      <c r="D2585" s="4">
        <v>3202.317</v>
      </c>
      <c r="E2585" s="79">
        <v>0</v>
      </c>
      <c r="F2585" s="79">
        <f>SUM(BASE_DATOS[[#This Row],[Capital($)]:[Interés
Resarcitorio($)]])</f>
        <v>4903.1440000000002</v>
      </c>
      <c r="G2585" s="8">
        <v>45732</v>
      </c>
      <c r="H2585" s="80" t="s">
        <v>53</v>
      </c>
      <c r="I2585" s="79" t="s">
        <v>9</v>
      </c>
      <c r="J2585" s="81">
        <v>120</v>
      </c>
      <c r="K2585" t="s">
        <v>47</v>
      </c>
    </row>
    <row r="2586" spans="2:11" x14ac:dyDescent="0.25">
      <c r="B2586" s="2">
        <f>+B2585</f>
        <v>58</v>
      </c>
      <c r="C2586" s="4">
        <v>1700.827</v>
      </c>
      <c r="D2586" s="4">
        <v>3202.317</v>
      </c>
      <c r="E2586" s="79">
        <v>653.75</v>
      </c>
      <c r="F2586" s="79">
        <f>SUM(BASE_DATOS[[#This Row],[Capital($)]:[Interés
Resarcitorio($)]])</f>
        <v>5556.8940000000002</v>
      </c>
      <c r="G2586" s="8">
        <v>45742</v>
      </c>
      <c r="H2586" s="80" t="s">
        <v>53</v>
      </c>
      <c r="I2586" s="79" t="s">
        <v>7</v>
      </c>
      <c r="J2586" s="81">
        <v>120</v>
      </c>
      <c r="K2586" t="s">
        <v>47</v>
      </c>
    </row>
    <row r="2587" spans="2:11" x14ac:dyDescent="0.25">
      <c r="B2587" s="2">
        <v>59</v>
      </c>
      <c r="C2587" s="4">
        <v>1700.827</v>
      </c>
      <c r="D2587" s="4">
        <v>3246.0279999999998</v>
      </c>
      <c r="E2587" s="79">
        <v>0</v>
      </c>
      <c r="F2587" s="79">
        <f>SUM(BASE_DATOS[[#This Row],[Capital($)]:[Interés
Resarcitorio($)]])</f>
        <v>4946.8549999999996</v>
      </c>
      <c r="G2587" s="8">
        <v>45763</v>
      </c>
      <c r="H2587" s="80" t="s">
        <v>53</v>
      </c>
      <c r="I2587" s="79" t="s">
        <v>9</v>
      </c>
      <c r="J2587" s="81">
        <v>120</v>
      </c>
      <c r="K2587" t="s">
        <v>47</v>
      </c>
    </row>
    <row r="2588" spans="2:11" x14ac:dyDescent="0.25">
      <c r="B2588" s="2">
        <f>+B2587</f>
        <v>59</v>
      </c>
      <c r="C2588" s="4">
        <v>1700.827</v>
      </c>
      <c r="D2588" s="4">
        <v>3246.0279999999998</v>
      </c>
      <c r="E2588" s="79">
        <v>659.58</v>
      </c>
      <c r="F2588" s="79">
        <f>SUM(BASE_DATOS[[#This Row],[Capital($)]:[Interés
Resarcitorio($)]])</f>
        <v>5606.4349999999995</v>
      </c>
      <c r="G2588" s="8">
        <v>45773</v>
      </c>
      <c r="H2588" s="80" t="s">
        <v>53</v>
      </c>
      <c r="I2588" s="79" t="s">
        <v>7</v>
      </c>
      <c r="J2588" s="81">
        <v>120</v>
      </c>
      <c r="K2588" t="s">
        <v>47</v>
      </c>
    </row>
    <row r="2589" spans="2:11" x14ac:dyDescent="0.25">
      <c r="B2589" s="2">
        <v>60</v>
      </c>
      <c r="C2589" s="4">
        <v>1700.827</v>
      </c>
      <c r="D2589" s="4">
        <v>3289.7400000000002</v>
      </c>
      <c r="E2589" s="79">
        <v>0</v>
      </c>
      <c r="F2589" s="79">
        <f>SUM(BASE_DATOS[[#This Row],[Capital($)]:[Interés
Resarcitorio($)]])</f>
        <v>4990.567</v>
      </c>
      <c r="G2589" s="8">
        <v>45793</v>
      </c>
      <c r="H2589" s="80" t="s">
        <v>53</v>
      </c>
      <c r="I2589" s="79" t="s">
        <v>9</v>
      </c>
      <c r="J2589" s="81">
        <v>120</v>
      </c>
      <c r="K2589" t="s">
        <v>47</v>
      </c>
    </row>
    <row r="2590" spans="2:11" x14ac:dyDescent="0.25">
      <c r="B2590" s="2">
        <f>+B2589</f>
        <v>60</v>
      </c>
      <c r="C2590" s="4">
        <v>1700.827</v>
      </c>
      <c r="D2590" s="4">
        <v>3289.7400000000002</v>
      </c>
      <c r="E2590" s="79">
        <v>665.41</v>
      </c>
      <c r="F2590" s="79">
        <f>SUM(BASE_DATOS[[#This Row],[Capital($)]:[Interés
Resarcitorio($)]])</f>
        <v>5655.9769999999999</v>
      </c>
      <c r="G2590" s="8">
        <v>45803</v>
      </c>
      <c r="H2590" s="80" t="s">
        <v>53</v>
      </c>
      <c r="I2590" s="79" t="s">
        <v>7</v>
      </c>
      <c r="J2590" s="81">
        <v>120</v>
      </c>
      <c r="K2590" t="s">
        <v>47</v>
      </c>
    </row>
    <row r="2591" spans="2:11" x14ac:dyDescent="0.25">
      <c r="B2591" s="2">
        <v>61</v>
      </c>
      <c r="C2591" s="4">
        <v>1700.827</v>
      </c>
      <c r="D2591" s="4">
        <v>3333.451</v>
      </c>
      <c r="E2591" s="79">
        <v>0</v>
      </c>
      <c r="F2591" s="79">
        <f>SUM(BASE_DATOS[[#This Row],[Capital($)]:[Interés
Resarcitorio($)]])</f>
        <v>5034.2780000000002</v>
      </c>
      <c r="G2591" s="8">
        <v>45824</v>
      </c>
      <c r="H2591" s="80" t="s">
        <v>53</v>
      </c>
      <c r="I2591" s="79" t="s">
        <v>9</v>
      </c>
      <c r="J2591" s="81">
        <v>120</v>
      </c>
      <c r="K2591" t="s">
        <v>47</v>
      </c>
    </row>
    <row r="2592" spans="2:11" x14ac:dyDescent="0.25">
      <c r="B2592" s="2">
        <f>+B2591</f>
        <v>61</v>
      </c>
      <c r="C2592" s="4">
        <v>1700.827</v>
      </c>
      <c r="D2592" s="4">
        <v>3333.451</v>
      </c>
      <c r="E2592" s="79">
        <v>671.24</v>
      </c>
      <c r="F2592" s="79">
        <f>SUM(BASE_DATOS[[#This Row],[Capital($)]:[Interés
Resarcitorio($)]])</f>
        <v>5705.518</v>
      </c>
      <c r="G2592" s="8">
        <v>45834</v>
      </c>
      <c r="H2592" s="80" t="s">
        <v>53</v>
      </c>
      <c r="I2592" s="79" t="s">
        <v>7</v>
      </c>
      <c r="J2592" s="81">
        <v>120</v>
      </c>
      <c r="K2592" t="s">
        <v>47</v>
      </c>
    </row>
    <row r="2593" spans="2:11" x14ac:dyDescent="0.25">
      <c r="B2593" s="2">
        <v>62</v>
      </c>
      <c r="C2593" s="4">
        <v>1700.827</v>
      </c>
      <c r="D2593" s="4">
        <v>3377.1620000000003</v>
      </c>
      <c r="E2593" s="79">
        <v>0</v>
      </c>
      <c r="F2593" s="79">
        <f>SUM(BASE_DATOS[[#This Row],[Capital($)]:[Interés
Resarcitorio($)]])</f>
        <v>5077.9890000000005</v>
      </c>
      <c r="G2593" s="8">
        <v>45854</v>
      </c>
      <c r="H2593" s="80" t="s">
        <v>53</v>
      </c>
      <c r="I2593" s="79" t="s">
        <v>6</v>
      </c>
      <c r="J2593" s="81">
        <v>120</v>
      </c>
      <c r="K2593" t="s">
        <v>47</v>
      </c>
    </row>
    <row r="2594" spans="2:11" x14ac:dyDescent="0.25">
      <c r="B2594" s="2">
        <f>+B2593</f>
        <v>62</v>
      </c>
      <c r="C2594" s="4">
        <v>1700.827</v>
      </c>
      <c r="D2594" s="4">
        <v>3377.1620000000003</v>
      </c>
      <c r="E2594" s="79">
        <v>677.07</v>
      </c>
      <c r="F2594" s="79">
        <f>SUM(BASE_DATOS[[#This Row],[Capital($)]:[Interés
Resarcitorio($)]])</f>
        <v>5755.0590000000002</v>
      </c>
      <c r="G2594" s="8">
        <v>45864</v>
      </c>
      <c r="H2594" s="80" t="s">
        <v>53</v>
      </c>
      <c r="I2594" s="79" t="s">
        <v>7</v>
      </c>
      <c r="J2594" s="81">
        <v>120</v>
      </c>
      <c r="K2594" t="s">
        <v>47</v>
      </c>
    </row>
    <row r="2595" spans="2:11" x14ac:dyDescent="0.25">
      <c r="B2595" s="2">
        <v>63</v>
      </c>
      <c r="C2595" s="4">
        <v>1700.827</v>
      </c>
      <c r="D2595" s="4">
        <v>3420.8730000000005</v>
      </c>
      <c r="E2595" s="79">
        <v>0</v>
      </c>
      <c r="F2595" s="79">
        <f>SUM(BASE_DATOS[[#This Row],[Capital($)]:[Interés
Resarcitorio($)]])</f>
        <v>5121.7000000000007</v>
      </c>
      <c r="G2595" s="8">
        <v>45885</v>
      </c>
      <c r="H2595" s="80" t="s">
        <v>53</v>
      </c>
      <c r="I2595" s="79" t="s">
        <v>6</v>
      </c>
      <c r="J2595" s="81">
        <v>120</v>
      </c>
      <c r="K2595" t="s">
        <v>47</v>
      </c>
    </row>
    <row r="2596" spans="2:11" x14ac:dyDescent="0.25">
      <c r="B2596" s="2">
        <f>+B2595</f>
        <v>63</v>
      </c>
      <c r="C2596" s="4">
        <v>1700.827</v>
      </c>
      <c r="D2596" s="4">
        <v>3420.8730000000005</v>
      </c>
      <c r="E2596" s="79">
        <v>682.89</v>
      </c>
      <c r="F2596" s="79">
        <f>SUM(BASE_DATOS[[#This Row],[Capital($)]:[Interés
Resarcitorio($)]])</f>
        <v>5804.5900000000011</v>
      </c>
      <c r="G2596" s="8">
        <v>45895</v>
      </c>
      <c r="H2596" s="80" t="s">
        <v>53</v>
      </c>
      <c r="I2596" s="79" t="s">
        <v>7</v>
      </c>
      <c r="J2596" s="81">
        <v>120</v>
      </c>
      <c r="K2596" t="s">
        <v>47</v>
      </c>
    </row>
    <row r="2597" spans="2:11" x14ac:dyDescent="0.25">
      <c r="B2597" s="2">
        <v>64</v>
      </c>
      <c r="C2597" s="4">
        <v>1700.827</v>
      </c>
      <c r="D2597" s="4">
        <v>3464.585</v>
      </c>
      <c r="E2597" s="79">
        <v>0</v>
      </c>
      <c r="F2597" s="79">
        <f>SUM(BASE_DATOS[[#This Row],[Capital($)]:[Interés
Resarcitorio($)]])</f>
        <v>5165.4120000000003</v>
      </c>
      <c r="G2597" s="8">
        <v>45916</v>
      </c>
      <c r="H2597" s="80" t="s">
        <v>53</v>
      </c>
      <c r="I2597" s="79" t="s">
        <v>6</v>
      </c>
      <c r="J2597" s="81">
        <v>120</v>
      </c>
      <c r="K2597" t="s">
        <v>47</v>
      </c>
    </row>
    <row r="2598" spans="2:11" x14ac:dyDescent="0.25">
      <c r="B2598" s="2">
        <f>+B2597</f>
        <v>64</v>
      </c>
      <c r="C2598" s="4">
        <v>1700.827</v>
      </c>
      <c r="D2598" s="4">
        <v>3464.585</v>
      </c>
      <c r="E2598" s="79">
        <v>688.72</v>
      </c>
      <c r="F2598" s="79">
        <f>SUM(BASE_DATOS[[#This Row],[Capital($)]:[Interés
Resarcitorio($)]])</f>
        <v>5854.1320000000005</v>
      </c>
      <c r="G2598" s="8">
        <v>45926</v>
      </c>
      <c r="H2598" s="80" t="s">
        <v>53</v>
      </c>
      <c r="I2598" s="79" t="s">
        <v>7</v>
      </c>
      <c r="J2598" s="81">
        <v>120</v>
      </c>
      <c r="K2598" t="s">
        <v>47</v>
      </c>
    </row>
    <row r="2599" spans="2:11" x14ac:dyDescent="0.25">
      <c r="B2599" s="2">
        <v>65</v>
      </c>
      <c r="C2599" s="4">
        <v>1700.827</v>
      </c>
      <c r="D2599" s="4">
        <v>3508.2959999999998</v>
      </c>
      <c r="E2599" s="79">
        <v>0</v>
      </c>
      <c r="F2599" s="79">
        <f>SUM(BASE_DATOS[[#This Row],[Capital($)]:[Interés
Resarcitorio($)]])</f>
        <v>5209.1229999999996</v>
      </c>
      <c r="G2599" s="8">
        <v>45946</v>
      </c>
      <c r="H2599" s="80" t="s">
        <v>53</v>
      </c>
      <c r="I2599" s="79" t="s">
        <v>6</v>
      </c>
      <c r="J2599" s="81">
        <v>120</v>
      </c>
      <c r="K2599" t="s">
        <v>47</v>
      </c>
    </row>
    <row r="2600" spans="2:11" x14ac:dyDescent="0.25">
      <c r="B2600" s="2">
        <f>+B2599</f>
        <v>65</v>
      </c>
      <c r="C2600" s="4">
        <v>1700.827</v>
      </c>
      <c r="D2600" s="4">
        <v>3508.2959999999998</v>
      </c>
      <c r="E2600" s="79">
        <v>694.55</v>
      </c>
      <c r="F2600" s="79">
        <f>SUM(BASE_DATOS[[#This Row],[Capital($)]:[Interés
Resarcitorio($)]])</f>
        <v>5903.6729999999998</v>
      </c>
      <c r="G2600" s="8">
        <v>45956</v>
      </c>
      <c r="H2600" s="80" t="s">
        <v>53</v>
      </c>
      <c r="I2600" s="79" t="s">
        <v>7</v>
      </c>
      <c r="J2600" s="81">
        <v>120</v>
      </c>
      <c r="K2600" t="s">
        <v>47</v>
      </c>
    </row>
    <row r="2601" spans="2:11" x14ac:dyDescent="0.25">
      <c r="B2601" s="2">
        <v>66</v>
      </c>
      <c r="C2601" s="4">
        <v>1700.827</v>
      </c>
      <c r="D2601" s="4">
        <v>3552.0070000000001</v>
      </c>
      <c r="E2601" s="79">
        <v>0</v>
      </c>
      <c r="F2601" s="79">
        <f>SUM(BASE_DATOS[[#This Row],[Capital($)]:[Interés
Resarcitorio($)]])</f>
        <v>5252.8339999999998</v>
      </c>
      <c r="G2601" s="8">
        <v>45977</v>
      </c>
      <c r="H2601" s="80" t="s">
        <v>53</v>
      </c>
      <c r="I2601" s="79" t="s">
        <v>6</v>
      </c>
      <c r="J2601" s="81">
        <v>120</v>
      </c>
      <c r="K2601" t="s">
        <v>47</v>
      </c>
    </row>
    <row r="2602" spans="2:11" x14ac:dyDescent="0.25">
      <c r="B2602" s="2">
        <f>+B2601</f>
        <v>66</v>
      </c>
      <c r="C2602" s="4">
        <v>1700.827</v>
      </c>
      <c r="D2602" s="4">
        <v>3552.0070000000001</v>
      </c>
      <c r="E2602" s="79">
        <v>700.38</v>
      </c>
      <c r="F2602" s="79">
        <f>SUM(BASE_DATOS[[#This Row],[Capital($)]:[Interés
Resarcitorio($)]])</f>
        <v>5953.2139999999999</v>
      </c>
      <c r="G2602" s="8">
        <v>45987</v>
      </c>
      <c r="H2602" s="80" t="s">
        <v>53</v>
      </c>
      <c r="I2602" s="79" t="s">
        <v>7</v>
      </c>
      <c r="J2602" s="81">
        <v>120</v>
      </c>
      <c r="K2602" t="s">
        <v>47</v>
      </c>
    </row>
    <row r="2603" spans="2:11" x14ac:dyDescent="0.25">
      <c r="B2603" s="2">
        <v>67</v>
      </c>
      <c r="C2603" s="4">
        <v>1700.827</v>
      </c>
      <c r="D2603" s="4">
        <v>3595.7179999999998</v>
      </c>
      <c r="E2603" s="79">
        <v>0</v>
      </c>
      <c r="F2603" s="79">
        <f>SUM(BASE_DATOS[[#This Row],[Capital($)]:[Interés
Resarcitorio($)]])</f>
        <v>5296.5450000000001</v>
      </c>
      <c r="G2603" s="8">
        <v>46007</v>
      </c>
      <c r="H2603" s="80" t="s">
        <v>53</v>
      </c>
      <c r="I2603" s="79" t="s">
        <v>6</v>
      </c>
      <c r="J2603" s="81">
        <v>120</v>
      </c>
      <c r="K2603" t="s">
        <v>47</v>
      </c>
    </row>
    <row r="2604" spans="2:11" x14ac:dyDescent="0.25">
      <c r="B2604" s="2">
        <f>+B2603</f>
        <v>67</v>
      </c>
      <c r="C2604" s="4">
        <v>1700.827</v>
      </c>
      <c r="D2604" s="4">
        <v>3595.7179999999998</v>
      </c>
      <c r="E2604" s="79">
        <v>706.21</v>
      </c>
      <c r="F2604" s="79">
        <f>SUM(BASE_DATOS[[#This Row],[Capital($)]:[Interés
Resarcitorio($)]])</f>
        <v>6002.7550000000001</v>
      </c>
      <c r="G2604" s="8">
        <v>46017</v>
      </c>
      <c r="H2604" s="80" t="s">
        <v>53</v>
      </c>
      <c r="I2604" s="79" t="s">
        <v>7</v>
      </c>
      <c r="J2604" s="81">
        <v>120</v>
      </c>
      <c r="K2604" t="s">
        <v>47</v>
      </c>
    </row>
    <row r="2605" spans="2:11" x14ac:dyDescent="0.25">
      <c r="B2605" s="2">
        <v>68</v>
      </c>
      <c r="C2605" s="4">
        <v>1700.827</v>
      </c>
      <c r="D2605" s="4">
        <v>3639.4300000000003</v>
      </c>
      <c r="E2605" s="79">
        <v>0</v>
      </c>
      <c r="F2605" s="79">
        <f>SUM(BASE_DATOS[[#This Row],[Capital($)]:[Interés
Resarcitorio($)]])</f>
        <v>5340.2570000000005</v>
      </c>
      <c r="G2605" s="8">
        <v>46038</v>
      </c>
      <c r="H2605" s="80" t="s">
        <v>53</v>
      </c>
      <c r="I2605" s="79" t="s">
        <v>6</v>
      </c>
      <c r="J2605" s="81">
        <v>120</v>
      </c>
      <c r="K2605" t="s">
        <v>47</v>
      </c>
    </row>
    <row r="2606" spans="2:11" x14ac:dyDescent="0.25">
      <c r="B2606" s="2">
        <f>+B2605</f>
        <v>68</v>
      </c>
      <c r="C2606" s="4">
        <v>1700.827</v>
      </c>
      <c r="D2606" s="4">
        <v>3639.4300000000003</v>
      </c>
      <c r="E2606" s="79">
        <v>712.03</v>
      </c>
      <c r="F2606" s="79">
        <f>SUM(BASE_DATOS[[#This Row],[Capital($)]:[Interés
Resarcitorio($)]])</f>
        <v>6052.2870000000003</v>
      </c>
      <c r="G2606" s="8">
        <v>46048</v>
      </c>
      <c r="H2606" s="80" t="s">
        <v>53</v>
      </c>
      <c r="I2606" s="79" t="s">
        <v>7</v>
      </c>
      <c r="J2606" s="81">
        <v>120</v>
      </c>
      <c r="K2606" t="s">
        <v>47</v>
      </c>
    </row>
    <row r="2607" spans="2:11" x14ac:dyDescent="0.25">
      <c r="B2607" s="2">
        <v>69</v>
      </c>
      <c r="C2607" s="4">
        <v>1700.827</v>
      </c>
      <c r="D2607" s="4">
        <v>3683.1410000000005</v>
      </c>
      <c r="E2607" s="79">
        <v>0</v>
      </c>
      <c r="F2607" s="79">
        <f>SUM(BASE_DATOS[[#This Row],[Capital($)]:[Interés
Resarcitorio($)]])</f>
        <v>5383.9680000000008</v>
      </c>
      <c r="G2607" s="8">
        <v>46069</v>
      </c>
      <c r="H2607" s="80" t="s">
        <v>53</v>
      </c>
      <c r="I2607" s="79" t="s">
        <v>6</v>
      </c>
      <c r="J2607" s="81">
        <v>120</v>
      </c>
      <c r="K2607" t="s">
        <v>47</v>
      </c>
    </row>
    <row r="2608" spans="2:11" x14ac:dyDescent="0.25">
      <c r="B2608" s="2">
        <f>+B2607</f>
        <v>69</v>
      </c>
      <c r="C2608" s="4">
        <v>1700.827</v>
      </c>
      <c r="D2608" s="4">
        <v>3683.1410000000005</v>
      </c>
      <c r="E2608" s="79">
        <v>717.86</v>
      </c>
      <c r="F2608" s="79">
        <f>SUM(BASE_DATOS[[#This Row],[Capital($)]:[Interés
Resarcitorio($)]])</f>
        <v>6101.8280000000004</v>
      </c>
      <c r="G2608" s="8">
        <v>46079</v>
      </c>
      <c r="H2608" s="80" t="s">
        <v>53</v>
      </c>
      <c r="I2608" s="79" t="s">
        <v>7</v>
      </c>
      <c r="J2608" s="81">
        <v>120</v>
      </c>
      <c r="K2608" t="s">
        <v>47</v>
      </c>
    </row>
    <row r="2609" spans="2:14" x14ac:dyDescent="0.25">
      <c r="B2609" s="2">
        <v>70</v>
      </c>
      <c r="C2609" s="4">
        <v>1700.827</v>
      </c>
      <c r="D2609" s="4">
        <v>3726.8519999999999</v>
      </c>
      <c r="E2609" s="79">
        <v>0</v>
      </c>
      <c r="F2609" s="79">
        <f>SUM(BASE_DATOS[[#This Row],[Capital($)]:[Interés
Resarcitorio($)]])</f>
        <v>5427.6790000000001</v>
      </c>
      <c r="G2609" s="8">
        <v>46097</v>
      </c>
      <c r="H2609" s="80" t="s">
        <v>53</v>
      </c>
      <c r="I2609" s="79" t="s">
        <v>6</v>
      </c>
      <c r="J2609" s="81">
        <v>120</v>
      </c>
      <c r="K2609" t="s">
        <v>47</v>
      </c>
    </row>
    <row r="2610" spans="2:14" x14ac:dyDescent="0.25">
      <c r="B2610" s="2">
        <f>+B2609</f>
        <v>70</v>
      </c>
      <c r="C2610" s="4">
        <v>1700.827</v>
      </c>
      <c r="D2610" s="4">
        <v>3726.8519999999999</v>
      </c>
      <c r="E2610" s="79">
        <v>723.69</v>
      </c>
      <c r="F2610" s="79">
        <f>SUM(BASE_DATOS[[#This Row],[Capital($)]:[Interés
Resarcitorio($)]])</f>
        <v>6151.3690000000006</v>
      </c>
      <c r="G2610" s="8">
        <v>46107</v>
      </c>
      <c r="H2610" s="80" t="s">
        <v>53</v>
      </c>
      <c r="I2610" s="79" t="s">
        <v>7</v>
      </c>
      <c r="J2610" s="81">
        <v>120</v>
      </c>
      <c r="K2610" t="s">
        <v>47</v>
      </c>
    </row>
    <row r="2611" spans="2:14" x14ac:dyDescent="0.25">
      <c r="B2611" s="2">
        <v>71</v>
      </c>
      <c r="C2611" s="4">
        <v>1700.827</v>
      </c>
      <c r="D2611" s="4">
        <v>3770.5629999999996</v>
      </c>
      <c r="E2611" s="79">
        <v>0</v>
      </c>
      <c r="F2611" s="79">
        <f>SUM(BASE_DATOS[[#This Row],[Capital($)]:[Interés
Resarcitorio($)]])</f>
        <v>5471.3899999999994</v>
      </c>
      <c r="G2611" s="8">
        <v>46128</v>
      </c>
      <c r="H2611" s="80" t="s">
        <v>53</v>
      </c>
      <c r="I2611" s="79" t="s">
        <v>6</v>
      </c>
      <c r="J2611" s="81">
        <v>120</v>
      </c>
      <c r="K2611" t="s">
        <v>47</v>
      </c>
    </row>
    <row r="2612" spans="2:14" x14ac:dyDescent="0.25">
      <c r="B2612" s="2">
        <f>+B2611</f>
        <v>71</v>
      </c>
      <c r="C2612" s="4">
        <v>1700.827</v>
      </c>
      <c r="D2612" s="4">
        <v>3770.5629999999996</v>
      </c>
      <c r="E2612" s="79">
        <v>729.52</v>
      </c>
      <c r="F2612" s="79">
        <f>SUM(BASE_DATOS[[#This Row],[Capital($)]:[Interés
Resarcitorio($)]])</f>
        <v>6200.91</v>
      </c>
      <c r="G2612" s="8">
        <v>46138</v>
      </c>
      <c r="H2612" s="80" t="s">
        <v>53</v>
      </c>
      <c r="I2612" s="79" t="s">
        <v>7</v>
      </c>
      <c r="J2612" s="81">
        <v>120</v>
      </c>
      <c r="K2612" t="s">
        <v>47</v>
      </c>
    </row>
    <row r="2613" spans="2:14" x14ac:dyDescent="0.25">
      <c r="B2613" s="2">
        <v>72</v>
      </c>
      <c r="C2613" s="4">
        <v>1700.827</v>
      </c>
      <c r="D2613" s="4">
        <v>3814.2750000000001</v>
      </c>
      <c r="E2613" s="79">
        <v>0</v>
      </c>
      <c r="F2613" s="79">
        <f>SUM(BASE_DATOS[[#This Row],[Capital($)]:[Interés
Resarcitorio($)]])</f>
        <v>5515.1019999999999</v>
      </c>
      <c r="G2613" s="8">
        <v>46158</v>
      </c>
      <c r="H2613" s="80" t="s">
        <v>53</v>
      </c>
      <c r="I2613" s="79" t="s">
        <v>6</v>
      </c>
      <c r="J2613" s="81">
        <v>120</v>
      </c>
      <c r="K2613" t="s">
        <v>47</v>
      </c>
    </row>
    <row r="2614" spans="2:14" x14ac:dyDescent="0.25">
      <c r="B2614" s="2">
        <f>+B2613</f>
        <v>72</v>
      </c>
      <c r="C2614" s="4">
        <v>1700.827</v>
      </c>
      <c r="D2614" s="4">
        <v>3814.2750000000001</v>
      </c>
      <c r="E2614" s="79">
        <v>735.35</v>
      </c>
      <c r="F2614" s="79">
        <f>SUM(BASE_DATOS[[#This Row],[Capital($)]:[Interés
Resarcitorio($)]])</f>
        <v>6250.4520000000002</v>
      </c>
      <c r="G2614" s="8">
        <v>46168</v>
      </c>
      <c r="H2614" s="80" t="s">
        <v>53</v>
      </c>
      <c r="I2614" s="79" t="s">
        <v>7</v>
      </c>
      <c r="J2614" s="81">
        <v>120</v>
      </c>
      <c r="K2614" t="s">
        <v>47</v>
      </c>
    </row>
    <row r="2615" spans="2:14" x14ac:dyDescent="0.25">
      <c r="B2615" s="2">
        <v>73</v>
      </c>
      <c r="C2615" s="4">
        <v>1700.827</v>
      </c>
      <c r="D2615" s="4">
        <v>3857.9859999999999</v>
      </c>
      <c r="E2615" s="79">
        <v>0</v>
      </c>
      <c r="F2615" s="79">
        <f>SUM(BASE_DATOS[[#This Row],[Capital($)]:[Interés
Resarcitorio($)]])</f>
        <v>5558.8130000000001</v>
      </c>
      <c r="G2615" s="8">
        <v>46189</v>
      </c>
      <c r="H2615" s="80" t="s">
        <v>53</v>
      </c>
      <c r="I2615" s="79" t="s">
        <v>6</v>
      </c>
      <c r="J2615" s="81">
        <v>120</v>
      </c>
      <c r="K2615" t="s">
        <v>47</v>
      </c>
    </row>
    <row r="2616" spans="2:14" x14ac:dyDescent="0.25">
      <c r="B2616" s="2">
        <f>+B2615</f>
        <v>73</v>
      </c>
      <c r="C2616" s="4">
        <v>1700.827</v>
      </c>
      <c r="D2616" s="4">
        <v>3857.9859999999999</v>
      </c>
      <c r="E2616" s="79">
        <v>741.18</v>
      </c>
      <c r="F2616" s="79">
        <f>SUM(BASE_DATOS[[#This Row],[Capital($)]:[Interés
Resarcitorio($)]])</f>
        <v>6299.9930000000004</v>
      </c>
      <c r="G2616" s="8">
        <v>46199</v>
      </c>
      <c r="H2616" s="80" t="s">
        <v>53</v>
      </c>
      <c r="I2616" s="79" t="s">
        <v>7</v>
      </c>
      <c r="J2616" s="81">
        <v>120</v>
      </c>
      <c r="K2616" t="s">
        <v>47</v>
      </c>
      <c r="N2616" s="4"/>
    </row>
    <row r="2617" spans="2:14" x14ac:dyDescent="0.25">
      <c r="B2617" s="2">
        <v>74</v>
      </c>
      <c r="C2617" s="4">
        <v>1700.827</v>
      </c>
      <c r="D2617" s="4">
        <v>3901.6970000000001</v>
      </c>
      <c r="E2617" s="79">
        <v>0</v>
      </c>
      <c r="F2617" s="79">
        <f>SUM(BASE_DATOS[[#This Row],[Capital($)]:[Interés
Resarcitorio($)]])</f>
        <v>5602.5240000000003</v>
      </c>
      <c r="G2617" s="8">
        <v>46219</v>
      </c>
      <c r="H2617" s="80" t="s">
        <v>53</v>
      </c>
      <c r="I2617" s="79" t="s">
        <v>6</v>
      </c>
      <c r="J2617" s="81">
        <v>120</v>
      </c>
      <c r="K2617" t="s">
        <v>47</v>
      </c>
    </row>
    <row r="2618" spans="2:14" x14ac:dyDescent="0.25">
      <c r="B2618" s="2">
        <f>+B2617</f>
        <v>74</v>
      </c>
      <c r="C2618" s="4">
        <v>1700.827</v>
      </c>
      <c r="D2618" s="4">
        <v>3901.6970000000001</v>
      </c>
      <c r="E2618" s="79">
        <v>747</v>
      </c>
      <c r="F2618" s="79">
        <f>SUM(BASE_DATOS[[#This Row],[Capital($)]:[Interés
Resarcitorio($)]])</f>
        <v>6349.5240000000003</v>
      </c>
      <c r="G2618" s="8">
        <v>46229</v>
      </c>
      <c r="H2618" s="80" t="s">
        <v>53</v>
      </c>
      <c r="I2618" s="79" t="s">
        <v>7</v>
      </c>
      <c r="J2618" s="81">
        <v>120</v>
      </c>
      <c r="K2618" t="s">
        <v>47</v>
      </c>
    </row>
    <row r="2619" spans="2:14" x14ac:dyDescent="0.25">
      <c r="B2619" s="2">
        <v>75</v>
      </c>
      <c r="C2619" s="4">
        <v>1700.827</v>
      </c>
      <c r="D2619" s="4">
        <v>3945.4080000000004</v>
      </c>
      <c r="E2619" s="79">
        <v>0</v>
      </c>
      <c r="F2619" s="79">
        <f>SUM(BASE_DATOS[[#This Row],[Capital($)]:[Interés
Resarcitorio($)]])</f>
        <v>5646.2350000000006</v>
      </c>
      <c r="G2619" s="8">
        <v>46250</v>
      </c>
      <c r="H2619" s="80" t="s">
        <v>53</v>
      </c>
      <c r="I2619" s="79" t="s">
        <v>6</v>
      </c>
      <c r="J2619" s="81">
        <v>120</v>
      </c>
      <c r="K2619" t="s">
        <v>47</v>
      </c>
    </row>
    <row r="2620" spans="2:14" x14ac:dyDescent="0.25">
      <c r="B2620" s="2">
        <f>+B2619</f>
        <v>75</v>
      </c>
      <c r="C2620" s="4">
        <v>1700.827</v>
      </c>
      <c r="D2620" s="4">
        <v>3945.4080000000004</v>
      </c>
      <c r="E2620" s="79">
        <v>752.83</v>
      </c>
      <c r="F2620" s="79">
        <f>SUM(BASE_DATOS[[#This Row],[Capital($)]:[Interés
Resarcitorio($)]])</f>
        <v>6399.0650000000005</v>
      </c>
      <c r="G2620" s="8">
        <v>46260</v>
      </c>
      <c r="H2620" s="80" t="s">
        <v>53</v>
      </c>
      <c r="I2620" s="79" t="s">
        <v>7</v>
      </c>
      <c r="J2620" s="81">
        <v>120</v>
      </c>
      <c r="K2620" t="s">
        <v>47</v>
      </c>
    </row>
    <row r="2621" spans="2:14" x14ac:dyDescent="0.25">
      <c r="B2621" s="2">
        <v>76</v>
      </c>
      <c r="C2621" s="4">
        <v>1700.827</v>
      </c>
      <c r="D2621" s="4">
        <v>3989.12</v>
      </c>
      <c r="E2621" s="79">
        <v>0</v>
      </c>
      <c r="F2621" s="79">
        <f>SUM(BASE_DATOS[[#This Row],[Capital($)]:[Interés
Resarcitorio($)]])</f>
        <v>5689.9470000000001</v>
      </c>
      <c r="G2621" s="8">
        <v>46281</v>
      </c>
      <c r="H2621" s="80" t="s">
        <v>53</v>
      </c>
      <c r="I2621" s="79" t="s">
        <v>6</v>
      </c>
      <c r="J2621" s="81">
        <v>120</v>
      </c>
      <c r="K2621" t="s">
        <v>47</v>
      </c>
    </row>
    <row r="2622" spans="2:14" x14ac:dyDescent="0.25">
      <c r="B2622" s="2">
        <f>+B2621</f>
        <v>76</v>
      </c>
      <c r="C2622" s="4">
        <v>1700.827</v>
      </c>
      <c r="D2622" s="4">
        <v>3989.12</v>
      </c>
      <c r="E2622" s="79">
        <v>758.66</v>
      </c>
      <c r="F2622" s="79">
        <f>SUM(BASE_DATOS[[#This Row],[Capital($)]:[Interés
Resarcitorio($)]])</f>
        <v>6448.607</v>
      </c>
      <c r="G2622" s="8">
        <v>46291</v>
      </c>
      <c r="H2622" s="80" t="s">
        <v>53</v>
      </c>
      <c r="I2622" s="79" t="s">
        <v>7</v>
      </c>
      <c r="J2622" s="81">
        <v>120</v>
      </c>
      <c r="K2622" t="s">
        <v>47</v>
      </c>
    </row>
    <row r="2623" spans="2:14" x14ac:dyDescent="0.25">
      <c r="B2623" s="2">
        <v>77</v>
      </c>
      <c r="C2623" s="4">
        <v>1700.827</v>
      </c>
      <c r="D2623" s="4">
        <v>4032.8309999999997</v>
      </c>
      <c r="E2623" s="79">
        <v>0</v>
      </c>
      <c r="F2623" s="79">
        <f>SUM(BASE_DATOS[[#This Row],[Capital($)]:[Interés
Resarcitorio($)]])</f>
        <v>5733.6579999999994</v>
      </c>
      <c r="G2623" s="8">
        <v>46311</v>
      </c>
      <c r="H2623" s="80" t="s">
        <v>53</v>
      </c>
      <c r="I2623" s="79" t="s">
        <v>6</v>
      </c>
      <c r="J2623" s="81">
        <v>120</v>
      </c>
      <c r="K2623" t="s">
        <v>47</v>
      </c>
    </row>
    <row r="2624" spans="2:14" x14ac:dyDescent="0.25">
      <c r="B2624" s="2">
        <f>+B2623</f>
        <v>77</v>
      </c>
      <c r="C2624" s="4">
        <v>1700.827</v>
      </c>
      <c r="D2624" s="4">
        <v>4032.8309999999997</v>
      </c>
      <c r="E2624" s="79">
        <v>764.49</v>
      </c>
      <c r="F2624" s="79">
        <f>SUM(BASE_DATOS[[#This Row],[Capital($)]:[Interés
Resarcitorio($)]])</f>
        <v>6498.1479999999992</v>
      </c>
      <c r="G2624" s="8">
        <v>46321</v>
      </c>
      <c r="H2624" s="80" t="s">
        <v>53</v>
      </c>
      <c r="I2624" s="79" t="s">
        <v>7</v>
      </c>
      <c r="J2624" s="81">
        <v>120</v>
      </c>
      <c r="K2624" t="s">
        <v>47</v>
      </c>
    </row>
    <row r="2625" spans="2:11" x14ac:dyDescent="0.25">
      <c r="B2625" s="2">
        <v>78</v>
      </c>
      <c r="C2625" s="4">
        <v>1700.827</v>
      </c>
      <c r="D2625" s="4">
        <v>4076.5419999999999</v>
      </c>
      <c r="E2625" s="79">
        <v>0</v>
      </c>
      <c r="F2625" s="79">
        <f>SUM(BASE_DATOS[[#This Row],[Capital($)]:[Interés
Resarcitorio($)]])</f>
        <v>5777.3689999999997</v>
      </c>
      <c r="G2625" s="8">
        <v>46342</v>
      </c>
      <c r="H2625" s="80" t="s">
        <v>53</v>
      </c>
      <c r="I2625" s="79" t="s">
        <v>6</v>
      </c>
      <c r="J2625" s="81">
        <v>120</v>
      </c>
      <c r="K2625" t="s">
        <v>47</v>
      </c>
    </row>
    <row r="2626" spans="2:11" x14ac:dyDescent="0.25">
      <c r="B2626" s="2">
        <f>+B2625</f>
        <v>78</v>
      </c>
      <c r="C2626" s="4">
        <v>1700.827</v>
      </c>
      <c r="D2626" s="4">
        <v>4076.5419999999999</v>
      </c>
      <c r="E2626" s="79">
        <v>770.32</v>
      </c>
      <c r="F2626" s="79">
        <f>SUM(BASE_DATOS[[#This Row],[Capital($)]:[Interés
Resarcitorio($)]])</f>
        <v>6547.6889999999994</v>
      </c>
      <c r="G2626" s="8">
        <v>46352</v>
      </c>
      <c r="H2626" s="80" t="s">
        <v>53</v>
      </c>
      <c r="I2626" s="79" t="s">
        <v>7</v>
      </c>
      <c r="J2626" s="81">
        <v>120</v>
      </c>
      <c r="K2626" t="s">
        <v>47</v>
      </c>
    </row>
    <row r="2627" spans="2:11" x14ac:dyDescent="0.25">
      <c r="B2627" s="2">
        <v>79</v>
      </c>
      <c r="C2627" s="4">
        <v>1700.827</v>
      </c>
      <c r="D2627" s="4">
        <v>4120.2529999999997</v>
      </c>
      <c r="E2627" s="79">
        <v>0</v>
      </c>
      <c r="F2627" s="79">
        <f>SUM(BASE_DATOS[[#This Row],[Capital($)]:[Interés
Resarcitorio($)]])</f>
        <v>5821.08</v>
      </c>
      <c r="G2627" s="8">
        <v>46372</v>
      </c>
      <c r="H2627" s="80" t="s">
        <v>53</v>
      </c>
      <c r="I2627" s="79" t="s">
        <v>6</v>
      </c>
      <c r="J2627" s="81">
        <v>120</v>
      </c>
      <c r="K2627" t="s">
        <v>47</v>
      </c>
    </row>
    <row r="2628" spans="2:11" x14ac:dyDescent="0.25">
      <c r="B2628" s="2">
        <f>+B2627</f>
        <v>79</v>
      </c>
      <c r="C2628" s="4">
        <v>1700.827</v>
      </c>
      <c r="D2628" s="4">
        <v>4120.2529999999997</v>
      </c>
      <c r="E2628" s="79">
        <v>776.14</v>
      </c>
      <c r="F2628" s="79">
        <f>SUM(BASE_DATOS[[#This Row],[Capital($)]:[Interés
Resarcitorio($)]])</f>
        <v>6597.22</v>
      </c>
      <c r="G2628" s="8">
        <v>46382</v>
      </c>
      <c r="H2628" s="80" t="s">
        <v>53</v>
      </c>
      <c r="I2628" s="79" t="s">
        <v>7</v>
      </c>
      <c r="J2628" s="81">
        <v>120</v>
      </c>
      <c r="K2628" t="s">
        <v>47</v>
      </c>
    </row>
    <row r="2629" spans="2:11" x14ac:dyDescent="0.25">
      <c r="B2629" s="2">
        <v>80</v>
      </c>
      <c r="C2629" s="4">
        <v>1700.827</v>
      </c>
      <c r="D2629" s="4">
        <v>4163.9650000000001</v>
      </c>
      <c r="E2629" s="79">
        <v>0</v>
      </c>
      <c r="F2629" s="79">
        <f>SUM(BASE_DATOS[[#This Row],[Capital($)]:[Interés
Resarcitorio($)]])</f>
        <v>5864.7920000000004</v>
      </c>
      <c r="G2629" s="8">
        <v>46403</v>
      </c>
      <c r="H2629" s="80" t="s">
        <v>53</v>
      </c>
      <c r="I2629" s="79" t="s">
        <v>6</v>
      </c>
      <c r="J2629" s="81">
        <v>120</v>
      </c>
      <c r="K2629" t="s">
        <v>47</v>
      </c>
    </row>
    <row r="2630" spans="2:11" x14ac:dyDescent="0.25">
      <c r="B2630" s="2">
        <f>+B2629</f>
        <v>80</v>
      </c>
      <c r="C2630" s="4">
        <v>1700.827</v>
      </c>
      <c r="D2630" s="4">
        <v>4163.9650000000001</v>
      </c>
      <c r="E2630" s="79">
        <v>781.97</v>
      </c>
      <c r="F2630" s="79">
        <f>SUM(BASE_DATOS[[#This Row],[Capital($)]:[Interés
Resarcitorio($)]])</f>
        <v>6646.7620000000006</v>
      </c>
      <c r="G2630" s="8">
        <v>46413</v>
      </c>
      <c r="H2630" s="80" t="s">
        <v>53</v>
      </c>
      <c r="I2630" s="79" t="s">
        <v>7</v>
      </c>
      <c r="J2630" s="81">
        <v>120</v>
      </c>
      <c r="K2630" t="s">
        <v>47</v>
      </c>
    </row>
    <row r="2631" spans="2:11" x14ac:dyDescent="0.25">
      <c r="B2631" s="2">
        <v>81</v>
      </c>
      <c r="C2631" s="4">
        <v>1700.827</v>
      </c>
      <c r="D2631" s="4">
        <v>4207.6760000000004</v>
      </c>
      <c r="E2631" s="79">
        <v>0</v>
      </c>
      <c r="F2631" s="79">
        <f>SUM(BASE_DATOS[[#This Row],[Capital($)]:[Interés
Resarcitorio($)]])</f>
        <v>5908.5030000000006</v>
      </c>
      <c r="G2631" s="8">
        <v>46434</v>
      </c>
      <c r="H2631" s="80" t="s">
        <v>53</v>
      </c>
      <c r="I2631" s="79" t="s">
        <v>6</v>
      </c>
      <c r="J2631" s="81">
        <v>120</v>
      </c>
      <c r="K2631" t="s">
        <v>47</v>
      </c>
    </row>
    <row r="2632" spans="2:11" x14ac:dyDescent="0.25">
      <c r="B2632" s="2">
        <f>+B2631</f>
        <v>81</v>
      </c>
      <c r="C2632" s="4">
        <v>1700.827</v>
      </c>
      <c r="D2632" s="4">
        <v>4207.6760000000004</v>
      </c>
      <c r="E2632" s="79">
        <v>787.8</v>
      </c>
      <c r="F2632" s="79">
        <f>SUM(BASE_DATOS[[#This Row],[Capital($)]:[Interés
Resarcitorio($)]])</f>
        <v>6696.3030000000008</v>
      </c>
      <c r="G2632" s="8">
        <v>46444</v>
      </c>
      <c r="H2632" s="80" t="s">
        <v>53</v>
      </c>
      <c r="I2632" s="79" t="s">
        <v>7</v>
      </c>
      <c r="J2632" s="81">
        <v>120</v>
      </c>
      <c r="K2632" t="s">
        <v>47</v>
      </c>
    </row>
    <row r="2633" spans="2:11" x14ac:dyDescent="0.25">
      <c r="B2633" s="2">
        <v>82</v>
      </c>
      <c r="C2633" s="4">
        <v>1700.827</v>
      </c>
      <c r="D2633" s="4">
        <v>4251.3870000000006</v>
      </c>
      <c r="E2633" s="79">
        <v>0</v>
      </c>
      <c r="F2633" s="79">
        <f>SUM(BASE_DATOS[[#This Row],[Capital($)]:[Interés
Resarcitorio($)]])</f>
        <v>5952.2140000000009</v>
      </c>
      <c r="G2633" s="8">
        <v>46462</v>
      </c>
      <c r="H2633" s="80" t="s">
        <v>53</v>
      </c>
      <c r="I2633" s="79" t="s">
        <v>6</v>
      </c>
      <c r="J2633" s="81">
        <v>120</v>
      </c>
      <c r="K2633" t="s">
        <v>47</v>
      </c>
    </row>
    <row r="2634" spans="2:11" x14ac:dyDescent="0.25">
      <c r="B2634" s="2">
        <f>+B2633</f>
        <v>82</v>
      </c>
      <c r="C2634" s="4">
        <v>1700.827</v>
      </c>
      <c r="D2634" s="4">
        <v>4251.3870000000006</v>
      </c>
      <c r="E2634" s="79">
        <v>793.63</v>
      </c>
      <c r="F2634" s="79">
        <f>SUM(BASE_DATOS[[#This Row],[Capital($)]:[Interés
Resarcitorio($)]])</f>
        <v>6745.844000000001</v>
      </c>
      <c r="G2634" s="8">
        <v>46472</v>
      </c>
      <c r="H2634" s="80" t="s">
        <v>53</v>
      </c>
      <c r="I2634" s="79" t="s">
        <v>7</v>
      </c>
      <c r="J2634" s="81">
        <v>120</v>
      </c>
      <c r="K2634" t="s">
        <v>47</v>
      </c>
    </row>
    <row r="2635" spans="2:11" x14ac:dyDescent="0.25">
      <c r="B2635" s="2">
        <v>83</v>
      </c>
      <c r="C2635" s="4">
        <v>1700.827</v>
      </c>
      <c r="D2635" s="4">
        <v>4295.098</v>
      </c>
      <c r="E2635" s="79">
        <v>0</v>
      </c>
      <c r="F2635" s="79">
        <f>SUM(BASE_DATOS[[#This Row],[Capital($)]:[Interés
Resarcitorio($)]])</f>
        <v>5995.9250000000002</v>
      </c>
      <c r="G2635" s="8">
        <v>46493</v>
      </c>
      <c r="H2635" s="80" t="s">
        <v>53</v>
      </c>
      <c r="I2635" s="79" t="s">
        <v>6</v>
      </c>
      <c r="J2635" s="81">
        <v>120</v>
      </c>
      <c r="K2635" t="s">
        <v>47</v>
      </c>
    </row>
    <row r="2636" spans="2:11" x14ac:dyDescent="0.25">
      <c r="B2636" s="2">
        <f>+B2635</f>
        <v>83</v>
      </c>
      <c r="C2636" s="4">
        <v>1700.827</v>
      </c>
      <c r="D2636" s="4">
        <v>4295.098</v>
      </c>
      <c r="E2636" s="79">
        <v>799.46</v>
      </c>
      <c r="F2636" s="79">
        <f>SUM(BASE_DATOS[[#This Row],[Capital($)]:[Interés
Resarcitorio($)]])</f>
        <v>6795.3850000000002</v>
      </c>
      <c r="G2636" s="8">
        <v>46503</v>
      </c>
      <c r="H2636" s="80" t="s">
        <v>53</v>
      </c>
      <c r="I2636" s="79" t="s">
        <v>7</v>
      </c>
      <c r="J2636" s="81">
        <v>120</v>
      </c>
      <c r="K2636" t="s">
        <v>47</v>
      </c>
    </row>
    <row r="2637" spans="2:11" x14ac:dyDescent="0.25">
      <c r="B2637" s="2">
        <v>84</v>
      </c>
      <c r="C2637" s="4">
        <v>1700.827</v>
      </c>
      <c r="D2637" s="4">
        <v>4338.8099999999995</v>
      </c>
      <c r="E2637" s="79">
        <v>0</v>
      </c>
      <c r="F2637" s="79">
        <f>SUM(BASE_DATOS[[#This Row],[Capital($)]:[Interés
Resarcitorio($)]])</f>
        <v>6039.6369999999997</v>
      </c>
      <c r="G2637" s="8">
        <v>46523</v>
      </c>
      <c r="H2637" s="80" t="s">
        <v>53</v>
      </c>
      <c r="I2637" s="79" t="s">
        <v>6</v>
      </c>
      <c r="J2637" s="81">
        <v>120</v>
      </c>
      <c r="K2637" t="s">
        <v>47</v>
      </c>
    </row>
    <row r="2638" spans="2:11" x14ac:dyDescent="0.25">
      <c r="B2638" s="2">
        <f>+B2637</f>
        <v>84</v>
      </c>
      <c r="C2638" s="4">
        <v>1700.827</v>
      </c>
      <c r="D2638" s="4">
        <v>4338.8099999999995</v>
      </c>
      <c r="E2638" s="79">
        <v>805.28</v>
      </c>
      <c r="F2638" s="79">
        <f>SUM(BASE_DATOS[[#This Row],[Capital($)]:[Interés
Resarcitorio($)]])</f>
        <v>6844.9169999999995</v>
      </c>
      <c r="G2638" s="8">
        <v>46533</v>
      </c>
      <c r="H2638" s="80" t="s">
        <v>53</v>
      </c>
      <c r="I2638" s="79" t="s">
        <v>7</v>
      </c>
      <c r="J2638" s="81">
        <v>120</v>
      </c>
      <c r="K2638" t="s">
        <v>47</v>
      </c>
    </row>
    <row r="2639" spans="2:11" x14ac:dyDescent="0.25">
      <c r="B2639" s="2">
        <v>85</v>
      </c>
      <c r="C2639" s="4">
        <v>1700.827</v>
      </c>
      <c r="D2639" s="4">
        <v>4382.5209999999997</v>
      </c>
      <c r="E2639" s="79">
        <v>0</v>
      </c>
      <c r="F2639" s="79">
        <f>SUM(BASE_DATOS[[#This Row],[Capital($)]:[Interés
Resarcitorio($)]])</f>
        <v>6083.348</v>
      </c>
      <c r="G2639" s="8">
        <v>46554</v>
      </c>
      <c r="H2639" s="80" t="s">
        <v>53</v>
      </c>
      <c r="I2639" s="79" t="s">
        <v>6</v>
      </c>
      <c r="J2639" s="81">
        <v>120</v>
      </c>
      <c r="K2639" t="s">
        <v>47</v>
      </c>
    </row>
    <row r="2640" spans="2:11" x14ac:dyDescent="0.25">
      <c r="B2640" s="2">
        <f>+B2639</f>
        <v>85</v>
      </c>
      <c r="C2640" s="4">
        <v>1700.827</v>
      </c>
      <c r="D2640" s="4">
        <v>4382.5209999999997</v>
      </c>
      <c r="E2640" s="79">
        <v>811.11</v>
      </c>
      <c r="F2640" s="79">
        <f>SUM(BASE_DATOS[[#This Row],[Capital($)]:[Interés
Resarcitorio($)]])</f>
        <v>6894.4579999999996</v>
      </c>
      <c r="G2640" s="8">
        <v>46564</v>
      </c>
      <c r="H2640" s="80" t="s">
        <v>53</v>
      </c>
      <c r="I2640" s="79" t="s">
        <v>7</v>
      </c>
      <c r="J2640" s="81">
        <v>120</v>
      </c>
      <c r="K2640" t="s">
        <v>47</v>
      </c>
    </row>
    <row r="2641" spans="2:11" x14ac:dyDescent="0.25">
      <c r="B2641" s="2">
        <v>86</v>
      </c>
      <c r="C2641" s="4">
        <v>1700.827</v>
      </c>
      <c r="D2641" s="4">
        <v>4426.232</v>
      </c>
      <c r="E2641" s="79">
        <v>0</v>
      </c>
      <c r="F2641" s="79">
        <f>SUM(BASE_DATOS[[#This Row],[Capital($)]:[Interés
Resarcitorio($)]])</f>
        <v>6127.0590000000002</v>
      </c>
      <c r="G2641" s="8">
        <v>46584</v>
      </c>
      <c r="H2641" s="80" t="s">
        <v>53</v>
      </c>
      <c r="I2641" s="79" t="s">
        <v>6</v>
      </c>
      <c r="J2641" s="81">
        <v>120</v>
      </c>
      <c r="K2641" t="s">
        <v>47</v>
      </c>
    </row>
    <row r="2642" spans="2:11" x14ac:dyDescent="0.25">
      <c r="B2642" s="2">
        <f>+B2641</f>
        <v>86</v>
      </c>
      <c r="C2642" s="4">
        <v>1700.827</v>
      </c>
      <c r="D2642" s="4">
        <v>4426.232</v>
      </c>
      <c r="E2642" s="79">
        <v>816.94</v>
      </c>
      <c r="F2642" s="79">
        <f>SUM(BASE_DATOS[[#This Row],[Capital($)]:[Interés
Resarcitorio($)]])</f>
        <v>6943.9989999999998</v>
      </c>
      <c r="G2642" s="8">
        <v>46594</v>
      </c>
      <c r="H2642" s="80" t="s">
        <v>53</v>
      </c>
      <c r="I2642" s="79" t="s">
        <v>7</v>
      </c>
      <c r="J2642" s="81">
        <v>120</v>
      </c>
      <c r="K2642" t="s">
        <v>47</v>
      </c>
    </row>
    <row r="2643" spans="2:11" x14ac:dyDescent="0.25">
      <c r="B2643" s="2">
        <v>87</v>
      </c>
      <c r="C2643" s="4">
        <v>1700.827</v>
      </c>
      <c r="D2643" s="4">
        <v>4469.9430000000002</v>
      </c>
      <c r="E2643" s="79">
        <v>0</v>
      </c>
      <c r="F2643" s="79">
        <f>SUM(BASE_DATOS[[#This Row],[Capital($)]:[Interés
Resarcitorio($)]])</f>
        <v>6170.77</v>
      </c>
      <c r="G2643" s="8">
        <v>46615</v>
      </c>
      <c r="H2643" s="80" t="s">
        <v>53</v>
      </c>
      <c r="I2643" s="79" t="s">
        <v>6</v>
      </c>
      <c r="J2643" s="81">
        <v>120</v>
      </c>
      <c r="K2643" t="s">
        <v>47</v>
      </c>
    </row>
    <row r="2644" spans="2:11" x14ac:dyDescent="0.25">
      <c r="B2644" s="2">
        <f>+B2643</f>
        <v>87</v>
      </c>
      <c r="C2644" s="4">
        <v>1700.827</v>
      </c>
      <c r="D2644" s="4">
        <v>4469.9430000000002</v>
      </c>
      <c r="E2644" s="79">
        <v>822.77</v>
      </c>
      <c r="F2644" s="79">
        <f>SUM(BASE_DATOS[[#This Row],[Capital($)]:[Interés
Resarcitorio($)]])</f>
        <v>6993.5400000000009</v>
      </c>
      <c r="G2644" s="8">
        <v>46625</v>
      </c>
      <c r="H2644" s="80" t="s">
        <v>53</v>
      </c>
      <c r="I2644" s="79" t="s">
        <v>7</v>
      </c>
      <c r="J2644" s="81">
        <v>120</v>
      </c>
      <c r="K2644" t="s">
        <v>47</v>
      </c>
    </row>
    <row r="2645" spans="2:11" x14ac:dyDescent="0.25">
      <c r="B2645" s="2">
        <v>88</v>
      </c>
      <c r="C2645" s="4">
        <v>1700.827</v>
      </c>
      <c r="D2645" s="4">
        <v>4513.6550000000007</v>
      </c>
      <c r="E2645" s="79">
        <v>0</v>
      </c>
      <c r="F2645" s="79">
        <f>SUM(BASE_DATOS[[#This Row],[Capital($)]:[Interés
Resarcitorio($)]])</f>
        <v>6214.4820000000009</v>
      </c>
      <c r="G2645" s="8">
        <v>46646</v>
      </c>
      <c r="H2645" s="80" t="s">
        <v>53</v>
      </c>
      <c r="I2645" s="79" t="s">
        <v>6</v>
      </c>
      <c r="J2645" s="81">
        <v>120</v>
      </c>
      <c r="K2645" t="s">
        <v>47</v>
      </c>
    </row>
    <row r="2646" spans="2:11" x14ac:dyDescent="0.25">
      <c r="B2646" s="2">
        <f>+B2645</f>
        <v>88</v>
      </c>
      <c r="C2646" s="4">
        <v>1700.827</v>
      </c>
      <c r="D2646" s="4">
        <v>4513.6550000000007</v>
      </c>
      <c r="E2646" s="79">
        <v>828.6</v>
      </c>
      <c r="F2646" s="79">
        <f>SUM(BASE_DATOS[[#This Row],[Capital($)]:[Interés
Resarcitorio($)]])</f>
        <v>7043.0820000000012</v>
      </c>
      <c r="G2646" s="8">
        <v>46656</v>
      </c>
      <c r="H2646" s="80" t="s">
        <v>53</v>
      </c>
      <c r="I2646" s="79" t="s">
        <v>7</v>
      </c>
      <c r="J2646" s="81">
        <v>120</v>
      </c>
      <c r="K2646" t="s">
        <v>47</v>
      </c>
    </row>
    <row r="2647" spans="2:11" x14ac:dyDescent="0.25">
      <c r="B2647" s="2">
        <v>89</v>
      </c>
      <c r="C2647" s="4">
        <v>1700.827</v>
      </c>
      <c r="D2647" s="4">
        <v>4557.366</v>
      </c>
      <c r="E2647" s="79">
        <v>0</v>
      </c>
      <c r="F2647" s="79">
        <f>SUM(BASE_DATOS[[#This Row],[Capital($)]:[Interés
Resarcitorio($)]])</f>
        <v>6258.1930000000002</v>
      </c>
      <c r="G2647" s="8">
        <v>46676</v>
      </c>
      <c r="H2647" s="80" t="s">
        <v>53</v>
      </c>
      <c r="I2647" s="79" t="s">
        <v>6</v>
      </c>
      <c r="J2647" s="81">
        <v>120</v>
      </c>
      <c r="K2647" t="s">
        <v>47</v>
      </c>
    </row>
    <row r="2648" spans="2:11" x14ac:dyDescent="0.25">
      <c r="B2648" s="2">
        <f>+B2647</f>
        <v>89</v>
      </c>
      <c r="C2648" s="4">
        <v>1700.827</v>
      </c>
      <c r="D2648" s="4">
        <v>4557.366</v>
      </c>
      <c r="E2648" s="79">
        <v>834.43</v>
      </c>
      <c r="F2648" s="79">
        <f>SUM(BASE_DATOS[[#This Row],[Capital($)]:[Interés
Resarcitorio($)]])</f>
        <v>7092.6230000000005</v>
      </c>
      <c r="G2648" s="8">
        <v>46686</v>
      </c>
      <c r="H2648" s="80" t="s">
        <v>53</v>
      </c>
      <c r="I2648" s="79" t="s">
        <v>7</v>
      </c>
      <c r="J2648" s="81">
        <v>120</v>
      </c>
      <c r="K2648" t="s">
        <v>47</v>
      </c>
    </row>
    <row r="2649" spans="2:11" x14ac:dyDescent="0.25">
      <c r="B2649" s="2">
        <v>90</v>
      </c>
      <c r="C2649" s="4">
        <v>1700.827</v>
      </c>
      <c r="D2649" s="4">
        <v>4601.0769999999993</v>
      </c>
      <c r="E2649" s="79">
        <v>0</v>
      </c>
      <c r="F2649" s="79">
        <f>SUM(BASE_DATOS[[#This Row],[Capital($)]:[Interés
Resarcitorio($)]])</f>
        <v>6301.9039999999995</v>
      </c>
      <c r="G2649" s="8">
        <v>46707</v>
      </c>
      <c r="H2649" s="80" t="s">
        <v>53</v>
      </c>
      <c r="I2649" s="79" t="s">
        <v>6</v>
      </c>
      <c r="J2649" s="81">
        <v>120</v>
      </c>
      <c r="K2649" t="s">
        <v>47</v>
      </c>
    </row>
    <row r="2650" spans="2:11" x14ac:dyDescent="0.25">
      <c r="B2650" s="2">
        <f>+B2649</f>
        <v>90</v>
      </c>
      <c r="C2650" s="4">
        <v>1700.827</v>
      </c>
      <c r="D2650" s="4">
        <v>4601.0769999999993</v>
      </c>
      <c r="E2650" s="79">
        <v>840.25</v>
      </c>
      <c r="F2650" s="79">
        <f>SUM(BASE_DATOS[[#This Row],[Capital($)]:[Interés
Resarcitorio($)]])</f>
        <v>7142.1539999999995</v>
      </c>
      <c r="G2650" s="8">
        <v>46717</v>
      </c>
      <c r="H2650" s="80" t="s">
        <v>53</v>
      </c>
      <c r="I2650" s="79" t="s">
        <v>7</v>
      </c>
      <c r="J2650" s="81">
        <v>120</v>
      </c>
      <c r="K2650" t="s">
        <v>47</v>
      </c>
    </row>
    <row r="2651" spans="2:11" x14ac:dyDescent="0.25">
      <c r="B2651" s="2">
        <v>91</v>
      </c>
      <c r="C2651" s="4">
        <v>1700.827</v>
      </c>
      <c r="D2651" s="4">
        <v>4644.7879999999996</v>
      </c>
      <c r="E2651" s="79">
        <v>0</v>
      </c>
      <c r="F2651" s="79">
        <f>SUM(BASE_DATOS[[#This Row],[Capital($)]:[Interés
Resarcitorio($)]])</f>
        <v>6345.6149999999998</v>
      </c>
      <c r="G2651" s="8">
        <v>46737</v>
      </c>
      <c r="H2651" s="80" t="s">
        <v>53</v>
      </c>
      <c r="I2651" s="79" t="s">
        <v>6</v>
      </c>
      <c r="J2651" s="81">
        <v>120</v>
      </c>
      <c r="K2651" t="s">
        <v>47</v>
      </c>
    </row>
    <row r="2652" spans="2:11" x14ac:dyDescent="0.25">
      <c r="B2652" s="2">
        <f>+B2651</f>
        <v>91</v>
      </c>
      <c r="C2652" s="4">
        <v>1700.827</v>
      </c>
      <c r="D2652" s="4">
        <v>4644.7879999999996</v>
      </c>
      <c r="E2652" s="79">
        <v>846.08</v>
      </c>
      <c r="F2652" s="79">
        <f>SUM(BASE_DATOS[[#This Row],[Capital($)]:[Interés
Resarcitorio($)]])</f>
        <v>7191.6949999999997</v>
      </c>
      <c r="G2652" s="8">
        <v>46747</v>
      </c>
      <c r="H2652" s="80" t="s">
        <v>53</v>
      </c>
      <c r="I2652" s="79" t="s">
        <v>7</v>
      </c>
      <c r="J2652" s="81">
        <v>120</v>
      </c>
      <c r="K2652" t="s">
        <v>47</v>
      </c>
    </row>
    <row r="2653" spans="2:11" x14ac:dyDescent="0.25">
      <c r="B2653" s="2">
        <v>92</v>
      </c>
      <c r="C2653" s="4">
        <v>1700.827</v>
      </c>
      <c r="D2653" s="4">
        <v>4688.5</v>
      </c>
      <c r="E2653" s="79">
        <v>0</v>
      </c>
      <c r="F2653" s="79">
        <f>SUM(BASE_DATOS[[#This Row],[Capital($)]:[Interés
Resarcitorio($)]])</f>
        <v>6389.3270000000002</v>
      </c>
      <c r="G2653" s="8">
        <v>46768</v>
      </c>
      <c r="H2653" s="80" t="s">
        <v>53</v>
      </c>
      <c r="I2653" s="79" t="s">
        <v>6</v>
      </c>
      <c r="J2653" s="81">
        <v>120</v>
      </c>
      <c r="K2653" t="s">
        <v>47</v>
      </c>
    </row>
    <row r="2654" spans="2:11" x14ac:dyDescent="0.25">
      <c r="B2654" s="2">
        <f>+B2653</f>
        <v>92</v>
      </c>
      <c r="C2654" s="4">
        <v>1700.827</v>
      </c>
      <c r="D2654" s="4">
        <v>4688.5</v>
      </c>
      <c r="E2654" s="79">
        <v>851.91</v>
      </c>
      <c r="F2654" s="79">
        <f>SUM(BASE_DATOS[[#This Row],[Capital($)]:[Interés
Resarcitorio($)]])</f>
        <v>7241.2370000000001</v>
      </c>
      <c r="G2654" s="8">
        <v>46778</v>
      </c>
      <c r="H2654" s="80" t="s">
        <v>53</v>
      </c>
      <c r="I2654" s="79" t="s">
        <v>7</v>
      </c>
      <c r="J2654" s="81">
        <v>120</v>
      </c>
      <c r="K2654" t="s">
        <v>47</v>
      </c>
    </row>
    <row r="2655" spans="2:11" x14ac:dyDescent="0.25">
      <c r="B2655" s="2">
        <v>93</v>
      </c>
      <c r="C2655" s="4">
        <v>1700.827</v>
      </c>
      <c r="D2655" s="4">
        <v>4732.2110000000002</v>
      </c>
      <c r="E2655" s="79">
        <v>0</v>
      </c>
      <c r="F2655" s="79">
        <f>SUM(BASE_DATOS[[#This Row],[Capital($)]:[Interés
Resarcitorio($)]])</f>
        <v>6433.0380000000005</v>
      </c>
      <c r="G2655" s="8">
        <v>46799</v>
      </c>
      <c r="H2655" s="80" t="s">
        <v>53</v>
      </c>
      <c r="I2655" s="79" t="s">
        <v>6</v>
      </c>
      <c r="J2655" s="81">
        <v>120</v>
      </c>
      <c r="K2655" t="s">
        <v>47</v>
      </c>
    </row>
    <row r="2656" spans="2:11" x14ac:dyDescent="0.25">
      <c r="B2656" s="2">
        <f>+B2655</f>
        <v>93</v>
      </c>
      <c r="C2656" s="4">
        <v>1700.827</v>
      </c>
      <c r="D2656" s="4">
        <v>4732.2110000000002</v>
      </c>
      <c r="E2656" s="79">
        <v>857.74</v>
      </c>
      <c r="F2656" s="79">
        <f>SUM(BASE_DATOS[[#This Row],[Capital($)]:[Interés
Resarcitorio($)]])</f>
        <v>7290.7780000000002</v>
      </c>
      <c r="G2656" s="8">
        <v>46809</v>
      </c>
      <c r="H2656" s="80" t="s">
        <v>53</v>
      </c>
      <c r="I2656" s="79" t="s">
        <v>7</v>
      </c>
      <c r="J2656" s="81">
        <v>120</v>
      </c>
      <c r="K2656" t="s">
        <v>47</v>
      </c>
    </row>
    <row r="2657" spans="2:11" x14ac:dyDescent="0.25">
      <c r="B2657" s="2">
        <v>94</v>
      </c>
      <c r="C2657" s="4">
        <v>1700.827</v>
      </c>
      <c r="D2657" s="4">
        <v>4775.9220000000005</v>
      </c>
      <c r="E2657" s="79">
        <v>0</v>
      </c>
      <c r="F2657" s="79">
        <f>SUM(BASE_DATOS[[#This Row],[Capital($)]:[Interés
Resarcitorio($)]])</f>
        <v>6476.7490000000007</v>
      </c>
      <c r="G2657" s="8">
        <v>46828</v>
      </c>
      <c r="H2657" s="80" t="s">
        <v>53</v>
      </c>
      <c r="I2657" s="79" t="s">
        <v>6</v>
      </c>
      <c r="J2657" s="81">
        <v>120</v>
      </c>
      <c r="K2657" t="s">
        <v>47</v>
      </c>
    </row>
    <row r="2658" spans="2:11" x14ac:dyDescent="0.25">
      <c r="B2658" s="2">
        <f>+B2657</f>
        <v>94</v>
      </c>
      <c r="C2658" s="4">
        <v>1700.827</v>
      </c>
      <c r="D2658" s="4">
        <v>4775.9220000000005</v>
      </c>
      <c r="E2658" s="79">
        <v>863.57</v>
      </c>
      <c r="F2658" s="79">
        <f>SUM(BASE_DATOS[[#This Row],[Capital($)]:[Interés
Resarcitorio($)]])</f>
        <v>7340.3190000000004</v>
      </c>
      <c r="G2658" s="8">
        <v>46838</v>
      </c>
      <c r="H2658" s="80" t="s">
        <v>53</v>
      </c>
      <c r="I2658" s="79" t="s">
        <v>7</v>
      </c>
      <c r="J2658" s="81">
        <v>120</v>
      </c>
      <c r="K2658" t="s">
        <v>47</v>
      </c>
    </row>
    <row r="2659" spans="2:11" x14ac:dyDescent="0.25">
      <c r="B2659" s="2">
        <v>95</v>
      </c>
      <c r="C2659" s="4">
        <v>1700.827</v>
      </c>
      <c r="D2659" s="4">
        <v>4819.6329999999998</v>
      </c>
      <c r="E2659" s="79">
        <v>0</v>
      </c>
      <c r="F2659" s="79">
        <f>SUM(BASE_DATOS[[#This Row],[Capital($)]:[Interés
Resarcitorio($)]])</f>
        <v>6520.46</v>
      </c>
      <c r="G2659" s="8">
        <v>46859</v>
      </c>
      <c r="H2659" s="80" t="s">
        <v>53</v>
      </c>
      <c r="I2659" s="79" t="s">
        <v>6</v>
      </c>
      <c r="J2659" s="81">
        <v>120</v>
      </c>
      <c r="K2659" t="s">
        <v>47</v>
      </c>
    </row>
    <row r="2660" spans="2:11" x14ac:dyDescent="0.25">
      <c r="B2660" s="2">
        <f>+B2659</f>
        <v>95</v>
      </c>
      <c r="C2660" s="4">
        <v>1700.827</v>
      </c>
      <c r="D2660" s="4">
        <v>4819.6329999999998</v>
      </c>
      <c r="E2660" s="79">
        <v>869.39</v>
      </c>
      <c r="F2660" s="79">
        <f>SUM(BASE_DATOS[[#This Row],[Capital($)]:[Interés
Resarcitorio($)]])</f>
        <v>7389.85</v>
      </c>
      <c r="G2660" s="8">
        <v>46869</v>
      </c>
      <c r="H2660" s="80" t="s">
        <v>53</v>
      </c>
      <c r="I2660" s="79" t="s">
        <v>7</v>
      </c>
      <c r="J2660" s="81">
        <v>120</v>
      </c>
      <c r="K2660" t="s">
        <v>47</v>
      </c>
    </row>
    <row r="2661" spans="2:11" x14ac:dyDescent="0.25">
      <c r="B2661" s="2">
        <v>96</v>
      </c>
      <c r="C2661" s="4">
        <v>1700.827</v>
      </c>
      <c r="D2661" s="4">
        <v>4863.3449999999993</v>
      </c>
      <c r="E2661" s="79">
        <v>0</v>
      </c>
      <c r="F2661" s="79">
        <f>SUM(BASE_DATOS[[#This Row],[Capital($)]:[Interés
Resarcitorio($)]])</f>
        <v>6564.1719999999996</v>
      </c>
      <c r="G2661" s="8">
        <v>46889</v>
      </c>
      <c r="H2661" s="80" t="s">
        <v>53</v>
      </c>
      <c r="I2661" s="79" t="s">
        <v>6</v>
      </c>
      <c r="J2661" s="81">
        <v>120</v>
      </c>
      <c r="K2661" t="s">
        <v>47</v>
      </c>
    </row>
    <row r="2662" spans="2:11" x14ac:dyDescent="0.25">
      <c r="B2662" s="2">
        <f>+B2661</f>
        <v>96</v>
      </c>
      <c r="C2662" s="4">
        <v>1700.827</v>
      </c>
      <c r="D2662" s="4">
        <v>4863.3449999999993</v>
      </c>
      <c r="E2662" s="79">
        <v>875.22</v>
      </c>
      <c r="F2662" s="79">
        <f>SUM(BASE_DATOS[[#This Row],[Capital($)]:[Interés
Resarcitorio($)]])</f>
        <v>7439.3919999999998</v>
      </c>
      <c r="G2662" s="8">
        <v>46899</v>
      </c>
      <c r="H2662" s="80" t="s">
        <v>53</v>
      </c>
      <c r="I2662" s="79" t="s">
        <v>7</v>
      </c>
      <c r="J2662" s="81">
        <v>120</v>
      </c>
      <c r="K2662" t="s">
        <v>47</v>
      </c>
    </row>
    <row r="2663" spans="2:11" x14ac:dyDescent="0.25">
      <c r="B2663" s="2">
        <v>97</v>
      </c>
      <c r="C2663" s="4">
        <v>1700.827</v>
      </c>
      <c r="D2663" s="4">
        <v>4907.0559999999996</v>
      </c>
      <c r="E2663" s="79">
        <v>0</v>
      </c>
      <c r="F2663" s="79">
        <f>SUM(BASE_DATOS[[#This Row],[Capital($)]:[Interés
Resarcitorio($)]])</f>
        <v>6607.8829999999998</v>
      </c>
      <c r="G2663" s="8">
        <v>46920</v>
      </c>
      <c r="H2663" s="80" t="s">
        <v>53</v>
      </c>
      <c r="I2663" s="79" t="s">
        <v>6</v>
      </c>
      <c r="J2663" s="81">
        <v>120</v>
      </c>
      <c r="K2663" t="s">
        <v>47</v>
      </c>
    </row>
    <row r="2664" spans="2:11" x14ac:dyDescent="0.25">
      <c r="B2664" s="2">
        <f>+B2663</f>
        <v>97</v>
      </c>
      <c r="C2664" s="4">
        <v>1700.827</v>
      </c>
      <c r="D2664" s="4">
        <v>4907.0559999999996</v>
      </c>
      <c r="E2664" s="79">
        <v>881.05</v>
      </c>
      <c r="F2664" s="79">
        <f>SUM(BASE_DATOS[[#This Row],[Capital($)]:[Interés
Resarcitorio($)]])</f>
        <v>7488.933</v>
      </c>
      <c r="G2664" s="8">
        <v>46930</v>
      </c>
      <c r="H2664" s="80" t="s">
        <v>53</v>
      </c>
      <c r="I2664" s="79" t="s">
        <v>7</v>
      </c>
      <c r="J2664" s="81">
        <v>120</v>
      </c>
      <c r="K2664" t="s">
        <v>47</v>
      </c>
    </row>
    <row r="2665" spans="2:11" x14ac:dyDescent="0.25">
      <c r="B2665" s="2">
        <v>98</v>
      </c>
      <c r="C2665" s="4">
        <v>1700.827</v>
      </c>
      <c r="D2665" s="4">
        <v>4950.7669999999998</v>
      </c>
      <c r="E2665" s="79">
        <v>0</v>
      </c>
      <c r="F2665" s="79">
        <f>SUM(BASE_DATOS[[#This Row],[Capital($)]:[Interés
Resarcitorio($)]])</f>
        <v>6651.5940000000001</v>
      </c>
      <c r="G2665" s="8">
        <v>46950</v>
      </c>
      <c r="H2665" s="80" t="s">
        <v>53</v>
      </c>
      <c r="I2665" s="79" t="s">
        <v>6</v>
      </c>
      <c r="J2665" s="81">
        <v>120</v>
      </c>
      <c r="K2665" t="s">
        <v>47</v>
      </c>
    </row>
    <row r="2666" spans="2:11" x14ac:dyDescent="0.25">
      <c r="B2666" s="2">
        <f>+B2665</f>
        <v>98</v>
      </c>
      <c r="C2666" s="4">
        <v>1700.827</v>
      </c>
      <c r="D2666" s="4">
        <v>4950.7669999999998</v>
      </c>
      <c r="E2666" s="79">
        <v>886.88</v>
      </c>
      <c r="F2666" s="79">
        <f>SUM(BASE_DATOS[[#This Row],[Capital($)]:[Interés
Resarcitorio($)]])</f>
        <v>7538.4740000000002</v>
      </c>
      <c r="G2666" s="8">
        <v>46960</v>
      </c>
      <c r="H2666" s="80" t="s">
        <v>53</v>
      </c>
      <c r="I2666" s="79" t="s">
        <v>7</v>
      </c>
      <c r="J2666" s="81">
        <v>120</v>
      </c>
      <c r="K2666" t="s">
        <v>47</v>
      </c>
    </row>
    <row r="2667" spans="2:11" x14ac:dyDescent="0.25">
      <c r="B2667" s="2">
        <v>99</v>
      </c>
      <c r="C2667" s="4">
        <v>1700.827</v>
      </c>
      <c r="D2667" s="4">
        <v>4994.4780000000001</v>
      </c>
      <c r="E2667" s="79">
        <v>0</v>
      </c>
      <c r="F2667" s="79">
        <f>SUM(BASE_DATOS[[#This Row],[Capital($)]:[Interés
Resarcitorio($)]])</f>
        <v>6695.3050000000003</v>
      </c>
      <c r="G2667" s="8">
        <v>46981</v>
      </c>
      <c r="H2667" s="80" t="s">
        <v>53</v>
      </c>
      <c r="I2667" s="79" t="s">
        <v>6</v>
      </c>
      <c r="J2667" s="81">
        <v>120</v>
      </c>
      <c r="K2667" t="s">
        <v>47</v>
      </c>
    </row>
    <row r="2668" spans="2:11" x14ac:dyDescent="0.25">
      <c r="B2668" s="2">
        <f>+B2667</f>
        <v>99</v>
      </c>
      <c r="C2668" s="4">
        <v>1700.827</v>
      </c>
      <c r="D2668" s="4">
        <v>4994.4780000000001</v>
      </c>
      <c r="E2668" s="79">
        <v>892.71</v>
      </c>
      <c r="F2668" s="79">
        <f>SUM(BASE_DATOS[[#This Row],[Capital($)]:[Interés
Resarcitorio($)]])</f>
        <v>7588.0150000000003</v>
      </c>
      <c r="G2668" s="8">
        <v>46991</v>
      </c>
      <c r="H2668" s="80" t="s">
        <v>53</v>
      </c>
      <c r="I2668" s="79" t="s">
        <v>7</v>
      </c>
      <c r="J2668" s="81">
        <v>120</v>
      </c>
      <c r="K2668" t="s">
        <v>47</v>
      </c>
    </row>
    <row r="2669" spans="2:11" x14ac:dyDescent="0.25">
      <c r="B2669" s="2">
        <v>100</v>
      </c>
      <c r="C2669" s="4">
        <v>1700.827</v>
      </c>
      <c r="D2669" s="4">
        <v>5038.1900000000005</v>
      </c>
      <c r="E2669" s="79">
        <v>0</v>
      </c>
      <c r="F2669" s="79">
        <f>SUM(BASE_DATOS[[#This Row],[Capital($)]:[Interés
Resarcitorio($)]])</f>
        <v>6739.0170000000007</v>
      </c>
      <c r="G2669" s="8">
        <v>47012</v>
      </c>
      <c r="H2669" s="80" t="s">
        <v>53</v>
      </c>
      <c r="I2669" s="79" t="s">
        <v>6</v>
      </c>
      <c r="J2669" s="81">
        <v>120</v>
      </c>
      <c r="K2669" t="s">
        <v>47</v>
      </c>
    </row>
    <row r="2670" spans="2:11" x14ac:dyDescent="0.25">
      <c r="B2670" s="2">
        <f>+B2669</f>
        <v>100</v>
      </c>
      <c r="C2670" s="4">
        <v>1700.827</v>
      </c>
      <c r="D2670" s="4">
        <v>5038.1900000000005</v>
      </c>
      <c r="E2670" s="79">
        <v>898.54</v>
      </c>
      <c r="F2670" s="79">
        <f>SUM(BASE_DATOS[[#This Row],[Capital($)]:[Interés
Resarcitorio($)]])</f>
        <v>7637.5570000000007</v>
      </c>
      <c r="G2670" s="8">
        <v>47022</v>
      </c>
      <c r="H2670" s="80" t="s">
        <v>53</v>
      </c>
      <c r="I2670" s="79" t="s">
        <v>7</v>
      </c>
      <c r="J2670" s="81">
        <v>120</v>
      </c>
      <c r="K2670" t="s">
        <v>47</v>
      </c>
    </row>
    <row r="2671" spans="2:11" x14ac:dyDescent="0.25">
      <c r="B2671" s="2">
        <v>101</v>
      </c>
      <c r="C2671" s="4">
        <v>1700.827</v>
      </c>
      <c r="D2671" s="4">
        <v>5081.9009999999998</v>
      </c>
      <c r="E2671" s="79">
        <v>0</v>
      </c>
      <c r="F2671" s="79">
        <f>SUM(BASE_DATOS[[#This Row],[Capital($)]:[Interés
Resarcitorio($)]])</f>
        <v>6782.7280000000001</v>
      </c>
      <c r="G2671" s="8">
        <v>47042</v>
      </c>
      <c r="H2671" s="80" t="s">
        <v>53</v>
      </c>
      <c r="I2671" s="79" t="s">
        <v>6</v>
      </c>
      <c r="J2671" s="81">
        <v>120</v>
      </c>
      <c r="K2671" t="s">
        <v>47</v>
      </c>
    </row>
    <row r="2672" spans="2:11" x14ac:dyDescent="0.25">
      <c r="B2672" s="2">
        <f>+B2671</f>
        <v>101</v>
      </c>
      <c r="C2672" s="4">
        <v>1700.827</v>
      </c>
      <c r="D2672" s="4">
        <v>5081.9009999999998</v>
      </c>
      <c r="E2672" s="79">
        <v>904.36</v>
      </c>
      <c r="F2672" s="79">
        <f>SUM(BASE_DATOS[[#This Row],[Capital($)]:[Interés
Resarcitorio($)]])</f>
        <v>7687.0879999999997</v>
      </c>
      <c r="G2672" s="8">
        <v>47052</v>
      </c>
      <c r="H2672" s="80" t="s">
        <v>53</v>
      </c>
      <c r="I2672" s="79" t="s">
        <v>7</v>
      </c>
      <c r="J2672" s="81">
        <v>120</v>
      </c>
      <c r="K2672" t="s">
        <v>47</v>
      </c>
    </row>
    <row r="2673" spans="2:11" x14ac:dyDescent="0.25">
      <c r="B2673" s="2">
        <v>102</v>
      </c>
      <c r="C2673" s="4">
        <v>1700.827</v>
      </c>
      <c r="D2673" s="4">
        <v>5125.6120000000001</v>
      </c>
      <c r="E2673" s="79">
        <v>0</v>
      </c>
      <c r="F2673" s="79">
        <f>SUM(BASE_DATOS[[#This Row],[Capital($)]:[Interés
Resarcitorio($)]])</f>
        <v>6826.4390000000003</v>
      </c>
      <c r="G2673" s="8">
        <v>47073</v>
      </c>
      <c r="H2673" s="80" t="s">
        <v>53</v>
      </c>
      <c r="I2673" s="79" t="s">
        <v>6</v>
      </c>
      <c r="J2673" s="81">
        <v>120</v>
      </c>
      <c r="K2673" t="s">
        <v>47</v>
      </c>
    </row>
    <row r="2674" spans="2:11" x14ac:dyDescent="0.25">
      <c r="B2674" s="2">
        <f>+B2673</f>
        <v>102</v>
      </c>
      <c r="C2674" s="4">
        <v>1700.827</v>
      </c>
      <c r="D2674" s="4">
        <v>5125.6120000000001</v>
      </c>
      <c r="E2674" s="79">
        <v>910.19</v>
      </c>
      <c r="F2674" s="79">
        <f>SUM(BASE_DATOS[[#This Row],[Capital($)]:[Interés
Resarcitorio($)]])</f>
        <v>7736.6290000000008</v>
      </c>
      <c r="G2674" s="8">
        <v>47083</v>
      </c>
      <c r="H2674" s="80" t="s">
        <v>53</v>
      </c>
      <c r="I2674" s="79" t="s">
        <v>7</v>
      </c>
      <c r="J2674" s="81">
        <v>120</v>
      </c>
      <c r="K2674" t="s">
        <v>47</v>
      </c>
    </row>
    <row r="2675" spans="2:11" x14ac:dyDescent="0.25">
      <c r="B2675" s="2">
        <v>103</v>
      </c>
      <c r="C2675" s="4">
        <v>1700.827</v>
      </c>
      <c r="D2675" s="4">
        <v>5169.3239999999996</v>
      </c>
      <c r="E2675" s="79">
        <v>0</v>
      </c>
      <c r="F2675" s="79">
        <f>SUM(BASE_DATOS[[#This Row],[Capital($)]:[Interés
Resarcitorio($)]])</f>
        <v>6870.1509999999998</v>
      </c>
      <c r="G2675" s="8">
        <v>47103</v>
      </c>
      <c r="H2675" s="80" t="s">
        <v>53</v>
      </c>
      <c r="I2675" s="79" t="s">
        <v>6</v>
      </c>
      <c r="J2675" s="81">
        <v>120</v>
      </c>
      <c r="K2675" t="s">
        <v>47</v>
      </c>
    </row>
    <row r="2676" spans="2:11" x14ac:dyDescent="0.25">
      <c r="B2676" s="2">
        <f>+B2675</f>
        <v>103</v>
      </c>
      <c r="C2676" s="4">
        <v>1700.827</v>
      </c>
      <c r="D2676" s="4">
        <v>5169.3239999999996</v>
      </c>
      <c r="E2676" s="79">
        <v>916.02</v>
      </c>
      <c r="F2676" s="79">
        <f>SUM(BASE_DATOS[[#This Row],[Capital($)]:[Interés
Resarcitorio($)]])</f>
        <v>7786.1710000000003</v>
      </c>
      <c r="G2676" s="8">
        <v>47113</v>
      </c>
      <c r="H2676" s="80" t="s">
        <v>53</v>
      </c>
      <c r="I2676" s="79" t="s">
        <v>7</v>
      </c>
      <c r="J2676" s="81">
        <v>120</v>
      </c>
      <c r="K2676" t="s">
        <v>47</v>
      </c>
    </row>
    <row r="2677" spans="2:11" x14ac:dyDescent="0.25">
      <c r="B2677" s="2">
        <v>104</v>
      </c>
      <c r="C2677" s="4">
        <v>1700.827</v>
      </c>
      <c r="D2677" s="4">
        <v>5213.0349999999999</v>
      </c>
      <c r="E2677" s="79">
        <v>0</v>
      </c>
      <c r="F2677" s="79">
        <f>SUM(BASE_DATOS[[#This Row],[Capital($)]:[Interés
Resarcitorio($)]])</f>
        <v>6913.8620000000001</v>
      </c>
      <c r="G2677" s="8">
        <v>47134</v>
      </c>
      <c r="H2677" s="80" t="s">
        <v>53</v>
      </c>
      <c r="I2677" s="79" t="s">
        <v>6</v>
      </c>
      <c r="J2677" s="81">
        <v>120</v>
      </c>
      <c r="K2677" t="s">
        <v>47</v>
      </c>
    </row>
    <row r="2678" spans="2:11" x14ac:dyDescent="0.25">
      <c r="B2678" s="2">
        <f>+B2677</f>
        <v>104</v>
      </c>
      <c r="C2678" s="4">
        <v>1700.827</v>
      </c>
      <c r="D2678" s="4">
        <v>5213.0349999999999</v>
      </c>
      <c r="E2678" s="79">
        <v>921.85</v>
      </c>
      <c r="F2678" s="79">
        <f>SUM(BASE_DATOS[[#This Row],[Capital($)]:[Interés
Resarcitorio($)]])</f>
        <v>7835.7120000000004</v>
      </c>
      <c r="G2678" s="8">
        <v>47144</v>
      </c>
      <c r="H2678" s="80" t="s">
        <v>53</v>
      </c>
      <c r="I2678" s="79" t="s">
        <v>7</v>
      </c>
      <c r="J2678" s="81">
        <v>120</v>
      </c>
      <c r="K2678" t="s">
        <v>47</v>
      </c>
    </row>
    <row r="2679" spans="2:11" x14ac:dyDescent="0.25">
      <c r="B2679" s="2">
        <v>105</v>
      </c>
      <c r="C2679" s="4">
        <v>1700.827</v>
      </c>
      <c r="D2679" s="4">
        <v>5256.7460000000001</v>
      </c>
      <c r="E2679" s="79">
        <v>0</v>
      </c>
      <c r="F2679" s="79">
        <f>SUM(BASE_DATOS[[#This Row],[Capital($)]:[Interés
Resarcitorio($)]])</f>
        <v>6957.5730000000003</v>
      </c>
      <c r="G2679" s="8">
        <v>47165</v>
      </c>
      <c r="H2679" s="80" t="s">
        <v>53</v>
      </c>
      <c r="I2679" s="79" t="s">
        <v>6</v>
      </c>
      <c r="J2679" s="81">
        <v>120</v>
      </c>
      <c r="K2679" t="s">
        <v>47</v>
      </c>
    </row>
    <row r="2680" spans="2:11" x14ac:dyDescent="0.25">
      <c r="B2680" s="2">
        <f>+B2679</f>
        <v>105</v>
      </c>
      <c r="C2680" s="4">
        <v>1700.827</v>
      </c>
      <c r="D2680" s="4">
        <v>5256.7460000000001</v>
      </c>
      <c r="E2680" s="79">
        <v>927.68</v>
      </c>
      <c r="F2680" s="79">
        <f>SUM(BASE_DATOS[[#This Row],[Capital($)]:[Interés
Resarcitorio($)]])</f>
        <v>7885.2530000000006</v>
      </c>
      <c r="G2680" s="8">
        <v>47175</v>
      </c>
      <c r="H2680" s="80" t="s">
        <v>53</v>
      </c>
      <c r="I2680" s="79" t="s">
        <v>7</v>
      </c>
      <c r="J2680" s="81">
        <v>120</v>
      </c>
      <c r="K2680" t="s">
        <v>47</v>
      </c>
    </row>
    <row r="2681" spans="2:11" x14ac:dyDescent="0.25">
      <c r="B2681" s="2">
        <v>106</v>
      </c>
      <c r="C2681" s="4">
        <v>1700.827</v>
      </c>
      <c r="D2681" s="4">
        <v>5300.4570000000003</v>
      </c>
      <c r="E2681" s="79">
        <v>0</v>
      </c>
      <c r="F2681" s="79">
        <f>SUM(BASE_DATOS[[#This Row],[Capital($)]:[Interés
Resarcitorio($)]])</f>
        <v>7001.2840000000006</v>
      </c>
      <c r="G2681" s="8">
        <v>47193</v>
      </c>
      <c r="H2681" s="80" t="s">
        <v>53</v>
      </c>
      <c r="I2681" s="79" t="s">
        <v>6</v>
      </c>
      <c r="J2681" s="81">
        <v>120</v>
      </c>
      <c r="K2681" t="s">
        <v>47</v>
      </c>
    </row>
    <row r="2682" spans="2:11" x14ac:dyDescent="0.25">
      <c r="B2682" s="2">
        <f>+B2681</f>
        <v>106</v>
      </c>
      <c r="C2682" s="4">
        <v>1700.827</v>
      </c>
      <c r="D2682" s="4">
        <v>5300.4570000000003</v>
      </c>
      <c r="E2682" s="79">
        <v>933.5</v>
      </c>
      <c r="F2682" s="79">
        <f>SUM(BASE_DATOS[[#This Row],[Capital($)]:[Interés
Resarcitorio($)]])</f>
        <v>7934.7840000000006</v>
      </c>
      <c r="G2682" s="8">
        <v>47203</v>
      </c>
      <c r="H2682" s="80" t="s">
        <v>53</v>
      </c>
      <c r="I2682" s="79" t="s">
        <v>7</v>
      </c>
      <c r="J2682" s="81">
        <v>120</v>
      </c>
      <c r="K2682" t="s">
        <v>47</v>
      </c>
    </row>
    <row r="2683" spans="2:11" x14ac:dyDescent="0.25">
      <c r="B2683" s="2">
        <v>107</v>
      </c>
      <c r="C2683" s="4">
        <v>1700.827</v>
      </c>
      <c r="D2683" s="4">
        <v>5344.1689999999999</v>
      </c>
      <c r="E2683" s="79">
        <v>0</v>
      </c>
      <c r="F2683" s="79">
        <f>SUM(BASE_DATOS[[#This Row],[Capital($)]:[Interés
Resarcitorio($)]])</f>
        <v>7044.9960000000001</v>
      </c>
      <c r="G2683" s="8">
        <v>47224</v>
      </c>
      <c r="H2683" s="80" t="s">
        <v>53</v>
      </c>
      <c r="I2683" s="79" t="s">
        <v>6</v>
      </c>
      <c r="J2683" s="81">
        <v>120</v>
      </c>
      <c r="K2683" t="s">
        <v>47</v>
      </c>
    </row>
    <row r="2684" spans="2:11" x14ac:dyDescent="0.25">
      <c r="B2684" s="2">
        <f>+B2683</f>
        <v>107</v>
      </c>
      <c r="C2684" s="4">
        <v>1700.827</v>
      </c>
      <c r="D2684" s="4">
        <v>5344.1689999999999</v>
      </c>
      <c r="E2684" s="79">
        <v>939.33</v>
      </c>
      <c r="F2684" s="79">
        <f>SUM(BASE_DATOS[[#This Row],[Capital($)]:[Interés
Resarcitorio($)]])</f>
        <v>7984.326</v>
      </c>
      <c r="G2684" s="8">
        <v>47234</v>
      </c>
      <c r="H2684" s="80" t="s">
        <v>53</v>
      </c>
      <c r="I2684" s="79" t="s">
        <v>7</v>
      </c>
      <c r="J2684" s="81">
        <v>120</v>
      </c>
      <c r="K2684" t="s">
        <v>47</v>
      </c>
    </row>
    <row r="2685" spans="2:11" x14ac:dyDescent="0.25">
      <c r="B2685" s="2">
        <v>108</v>
      </c>
      <c r="C2685" s="4">
        <v>1700.827</v>
      </c>
      <c r="D2685" s="4">
        <v>5387.88</v>
      </c>
      <c r="E2685" s="79">
        <v>0</v>
      </c>
      <c r="F2685" s="79">
        <f>SUM(BASE_DATOS[[#This Row],[Capital($)]:[Interés
Resarcitorio($)]])</f>
        <v>7088.7070000000003</v>
      </c>
      <c r="G2685" s="8">
        <v>47254</v>
      </c>
      <c r="H2685" s="80" t="s">
        <v>53</v>
      </c>
      <c r="I2685" s="79" t="s">
        <v>6</v>
      </c>
      <c r="J2685" s="81">
        <v>120</v>
      </c>
      <c r="K2685" t="s">
        <v>47</v>
      </c>
    </row>
    <row r="2686" spans="2:11" x14ac:dyDescent="0.25">
      <c r="B2686" s="2">
        <f>+B2685</f>
        <v>108</v>
      </c>
      <c r="C2686" s="4">
        <v>1700.827</v>
      </c>
      <c r="D2686" s="4">
        <v>5387.88</v>
      </c>
      <c r="E2686" s="79">
        <v>945.16</v>
      </c>
      <c r="F2686" s="79">
        <f>SUM(BASE_DATOS[[#This Row],[Capital($)]:[Interés
Resarcitorio($)]])</f>
        <v>8033.8670000000002</v>
      </c>
      <c r="G2686" s="8">
        <v>47264</v>
      </c>
      <c r="H2686" s="80" t="s">
        <v>53</v>
      </c>
      <c r="I2686" s="79" t="s">
        <v>7</v>
      </c>
      <c r="J2686" s="81">
        <v>120</v>
      </c>
      <c r="K2686" t="s">
        <v>47</v>
      </c>
    </row>
    <row r="2687" spans="2:11" x14ac:dyDescent="0.25">
      <c r="B2687" s="2">
        <v>109</v>
      </c>
      <c r="C2687" s="4">
        <v>1700.827</v>
      </c>
      <c r="D2687" s="4">
        <v>5431.5910000000003</v>
      </c>
      <c r="E2687" s="79">
        <v>0</v>
      </c>
      <c r="F2687" s="79">
        <f>SUM(BASE_DATOS[[#This Row],[Capital($)]:[Interés
Resarcitorio($)]])</f>
        <v>7132.4180000000006</v>
      </c>
      <c r="G2687" s="8">
        <v>47285</v>
      </c>
      <c r="H2687" s="80" t="s">
        <v>53</v>
      </c>
      <c r="I2687" s="79" t="s">
        <v>6</v>
      </c>
      <c r="J2687" s="81">
        <v>120</v>
      </c>
      <c r="K2687" t="s">
        <v>47</v>
      </c>
    </row>
    <row r="2688" spans="2:11" x14ac:dyDescent="0.25">
      <c r="B2688" s="2">
        <f>+B2687</f>
        <v>109</v>
      </c>
      <c r="C2688" s="4">
        <v>1700.827</v>
      </c>
      <c r="D2688" s="4">
        <v>5431.5910000000003</v>
      </c>
      <c r="E2688" s="79">
        <v>950.99</v>
      </c>
      <c r="F2688" s="79">
        <f>SUM(BASE_DATOS[[#This Row],[Capital($)]:[Interés
Resarcitorio($)]])</f>
        <v>8083.4080000000004</v>
      </c>
      <c r="G2688" s="8">
        <v>47295</v>
      </c>
      <c r="H2688" s="80" t="s">
        <v>53</v>
      </c>
      <c r="I2688" s="79" t="s">
        <v>7</v>
      </c>
      <c r="J2688" s="81">
        <v>120</v>
      </c>
      <c r="K2688" t="s">
        <v>47</v>
      </c>
    </row>
    <row r="2689" spans="2:11" x14ac:dyDescent="0.25">
      <c r="B2689" s="2">
        <v>110</v>
      </c>
      <c r="C2689" s="4">
        <v>1700.827</v>
      </c>
      <c r="D2689" s="4">
        <v>5475.3019999999997</v>
      </c>
      <c r="E2689" s="79">
        <v>0</v>
      </c>
      <c r="F2689" s="79">
        <f>SUM(BASE_DATOS[[#This Row],[Capital($)]:[Interés
Resarcitorio($)]])</f>
        <v>7176.1289999999999</v>
      </c>
      <c r="G2689" s="8">
        <v>47315</v>
      </c>
      <c r="H2689" s="80" t="s">
        <v>53</v>
      </c>
      <c r="I2689" s="79" t="s">
        <v>6</v>
      </c>
      <c r="J2689" s="81">
        <v>120</v>
      </c>
      <c r="K2689" t="s">
        <v>47</v>
      </c>
    </row>
    <row r="2690" spans="2:11" x14ac:dyDescent="0.25">
      <c r="B2690" s="2">
        <f>+B2689</f>
        <v>110</v>
      </c>
      <c r="C2690" s="4">
        <v>1700.827</v>
      </c>
      <c r="D2690" s="4">
        <v>5475.3019999999997</v>
      </c>
      <c r="E2690" s="79">
        <v>956.82</v>
      </c>
      <c r="F2690" s="79">
        <f>SUM(BASE_DATOS[[#This Row],[Capital($)]:[Interés
Resarcitorio($)]])</f>
        <v>8132.9489999999996</v>
      </c>
      <c r="G2690" s="8">
        <v>47325</v>
      </c>
      <c r="H2690" s="80" t="s">
        <v>53</v>
      </c>
      <c r="I2690" s="79" t="s">
        <v>7</v>
      </c>
      <c r="J2690" s="81">
        <v>120</v>
      </c>
      <c r="K2690" t="s">
        <v>47</v>
      </c>
    </row>
    <row r="2691" spans="2:11" x14ac:dyDescent="0.25">
      <c r="B2691" s="2">
        <v>111</v>
      </c>
      <c r="C2691" s="4">
        <v>1700.827</v>
      </c>
      <c r="D2691" s="4">
        <v>5519.0140000000001</v>
      </c>
      <c r="E2691" s="79">
        <v>0</v>
      </c>
      <c r="F2691" s="79">
        <f>SUM(BASE_DATOS[[#This Row],[Capital($)]:[Interés
Resarcitorio($)]])</f>
        <v>7219.8410000000003</v>
      </c>
      <c r="G2691" s="8">
        <v>47346</v>
      </c>
      <c r="H2691" s="80" t="s">
        <v>53</v>
      </c>
      <c r="I2691" s="79" t="s">
        <v>6</v>
      </c>
      <c r="J2691" s="81">
        <v>120</v>
      </c>
      <c r="K2691" t="s">
        <v>47</v>
      </c>
    </row>
    <row r="2692" spans="2:11" x14ac:dyDescent="0.25">
      <c r="B2692" s="2">
        <f>+B2691</f>
        <v>111</v>
      </c>
      <c r="C2692" s="4">
        <v>1700.827</v>
      </c>
      <c r="D2692" s="4">
        <v>5519.0140000000001</v>
      </c>
      <c r="E2692" s="79">
        <v>962.65</v>
      </c>
      <c r="F2692" s="79">
        <f>SUM(BASE_DATOS[[#This Row],[Capital($)]:[Interés
Resarcitorio($)]])</f>
        <v>8182.491</v>
      </c>
      <c r="G2692" s="8">
        <v>47356</v>
      </c>
      <c r="H2692" s="80" t="s">
        <v>53</v>
      </c>
      <c r="I2692" s="79" t="s">
        <v>7</v>
      </c>
      <c r="J2692" s="81">
        <v>120</v>
      </c>
      <c r="K2692" t="s">
        <v>47</v>
      </c>
    </row>
    <row r="2693" spans="2:11" x14ac:dyDescent="0.25">
      <c r="B2693" s="2">
        <v>112</v>
      </c>
      <c r="C2693" s="4">
        <v>1700.827</v>
      </c>
      <c r="D2693" s="4">
        <v>5562.7250000000004</v>
      </c>
      <c r="E2693" s="79">
        <v>0</v>
      </c>
      <c r="F2693" s="79">
        <f>SUM(BASE_DATOS[[#This Row],[Capital($)]:[Interés
Resarcitorio($)]])</f>
        <v>7263.5520000000006</v>
      </c>
      <c r="G2693" s="8">
        <v>47377</v>
      </c>
      <c r="H2693" s="80" t="s">
        <v>53</v>
      </c>
      <c r="I2693" s="79" t="s">
        <v>6</v>
      </c>
      <c r="J2693" s="81">
        <v>120</v>
      </c>
      <c r="K2693" t="s">
        <v>47</v>
      </c>
    </row>
    <row r="2694" spans="2:11" x14ac:dyDescent="0.25">
      <c r="B2694" s="2">
        <f>+B2693</f>
        <v>112</v>
      </c>
      <c r="C2694" s="4">
        <v>1700.827</v>
      </c>
      <c r="D2694" s="4">
        <v>5562.7250000000004</v>
      </c>
      <c r="E2694" s="79">
        <v>968.47</v>
      </c>
      <c r="F2694" s="79">
        <f>SUM(BASE_DATOS[[#This Row],[Capital($)]:[Interés
Resarcitorio($)]])</f>
        <v>8232.0220000000008</v>
      </c>
      <c r="G2694" s="8">
        <v>47387</v>
      </c>
      <c r="H2694" s="80" t="s">
        <v>53</v>
      </c>
      <c r="I2694" s="79" t="s">
        <v>7</v>
      </c>
      <c r="J2694" s="81">
        <v>120</v>
      </c>
      <c r="K2694" t="s">
        <v>47</v>
      </c>
    </row>
    <row r="2695" spans="2:11" x14ac:dyDescent="0.25">
      <c r="B2695" s="2">
        <v>113</v>
      </c>
      <c r="C2695" s="4">
        <v>1700.827</v>
      </c>
      <c r="D2695" s="4">
        <v>5606.4359999999997</v>
      </c>
      <c r="E2695" s="79">
        <v>0</v>
      </c>
      <c r="F2695" s="79">
        <f>SUM(BASE_DATOS[[#This Row],[Capital($)]:[Interés
Resarcitorio($)]])</f>
        <v>7307.2629999999999</v>
      </c>
      <c r="G2695" s="8">
        <v>47407</v>
      </c>
      <c r="H2695" s="80" t="s">
        <v>53</v>
      </c>
      <c r="I2695" s="79" t="s">
        <v>6</v>
      </c>
      <c r="J2695" s="81">
        <v>120</v>
      </c>
      <c r="K2695" t="s">
        <v>47</v>
      </c>
    </row>
    <row r="2696" spans="2:11" x14ac:dyDescent="0.25">
      <c r="B2696" s="2">
        <f>+B2695</f>
        <v>113</v>
      </c>
      <c r="C2696" s="4">
        <v>1700.827</v>
      </c>
      <c r="D2696" s="4">
        <v>5606.4359999999997</v>
      </c>
      <c r="E2696" s="79">
        <v>974.3</v>
      </c>
      <c r="F2696" s="79">
        <f>SUM(BASE_DATOS[[#This Row],[Capital($)]:[Interés
Resarcitorio($)]])</f>
        <v>8281.5630000000001</v>
      </c>
      <c r="G2696" s="8">
        <v>47417</v>
      </c>
      <c r="H2696" s="80" t="s">
        <v>53</v>
      </c>
      <c r="I2696" s="79" t="s">
        <v>7</v>
      </c>
      <c r="J2696" s="81">
        <v>120</v>
      </c>
      <c r="K2696" t="s">
        <v>47</v>
      </c>
    </row>
    <row r="2697" spans="2:11" x14ac:dyDescent="0.25">
      <c r="B2697" s="2">
        <v>114</v>
      </c>
      <c r="C2697" s="4">
        <v>1700.827</v>
      </c>
      <c r="D2697" s="4">
        <v>5650.1469999999999</v>
      </c>
      <c r="E2697" s="79">
        <v>0</v>
      </c>
      <c r="F2697" s="79">
        <f>SUM(BASE_DATOS[[#This Row],[Capital($)]:[Interés
Resarcitorio($)]])</f>
        <v>7350.9740000000002</v>
      </c>
      <c r="G2697" s="8">
        <v>47438</v>
      </c>
      <c r="H2697" s="80" t="s">
        <v>53</v>
      </c>
      <c r="I2697" s="79" t="s">
        <v>6</v>
      </c>
      <c r="J2697" s="81">
        <v>120</v>
      </c>
      <c r="K2697" t="s">
        <v>47</v>
      </c>
    </row>
    <row r="2698" spans="2:11" x14ac:dyDescent="0.25">
      <c r="B2698" s="2">
        <f>+B2697</f>
        <v>114</v>
      </c>
      <c r="C2698" s="4">
        <v>1700.827</v>
      </c>
      <c r="D2698" s="4">
        <v>5650.1469999999999</v>
      </c>
      <c r="E2698" s="79">
        <v>980.13</v>
      </c>
      <c r="F2698" s="79">
        <f>SUM(BASE_DATOS[[#This Row],[Capital($)]:[Interés
Resarcitorio($)]])</f>
        <v>8331.1039999999994</v>
      </c>
      <c r="G2698" s="8">
        <v>47448</v>
      </c>
      <c r="H2698" s="80" t="s">
        <v>53</v>
      </c>
      <c r="I2698" s="79" t="s">
        <v>7</v>
      </c>
      <c r="J2698" s="81">
        <v>120</v>
      </c>
      <c r="K2698" t="s">
        <v>47</v>
      </c>
    </row>
    <row r="2699" spans="2:11" x14ac:dyDescent="0.25">
      <c r="B2699" s="2">
        <v>115</v>
      </c>
      <c r="C2699" s="4">
        <v>1700.827</v>
      </c>
      <c r="D2699" s="4">
        <v>5693.8589999999995</v>
      </c>
      <c r="E2699" s="79">
        <v>0</v>
      </c>
      <c r="F2699" s="79">
        <f>SUM(BASE_DATOS[[#This Row],[Capital($)]:[Interés
Resarcitorio($)]])</f>
        <v>7394.6859999999997</v>
      </c>
      <c r="G2699" s="8">
        <v>47468</v>
      </c>
      <c r="H2699" s="80" t="s">
        <v>53</v>
      </c>
      <c r="I2699" s="79" t="s">
        <v>6</v>
      </c>
      <c r="J2699" s="81">
        <v>120</v>
      </c>
      <c r="K2699" t="s">
        <v>47</v>
      </c>
    </row>
    <row r="2700" spans="2:11" x14ac:dyDescent="0.25">
      <c r="B2700" s="2">
        <f>+B2699</f>
        <v>115</v>
      </c>
      <c r="C2700" s="4">
        <v>1700.827</v>
      </c>
      <c r="D2700" s="4">
        <v>5693.8589999999995</v>
      </c>
      <c r="E2700" s="79">
        <v>985.96</v>
      </c>
      <c r="F2700" s="79">
        <f>SUM(BASE_DATOS[[#This Row],[Capital($)]:[Interés
Resarcitorio($)]])</f>
        <v>8380.6460000000006</v>
      </c>
      <c r="G2700" s="8">
        <v>47478</v>
      </c>
      <c r="H2700" s="80" t="s">
        <v>53</v>
      </c>
      <c r="I2700" s="79" t="s">
        <v>7</v>
      </c>
      <c r="J2700" s="81">
        <v>120</v>
      </c>
      <c r="K2700" t="s">
        <v>47</v>
      </c>
    </row>
    <row r="2701" spans="2:11" x14ac:dyDescent="0.25">
      <c r="B2701" s="2">
        <v>116</v>
      </c>
      <c r="C2701" s="4">
        <v>1700.827</v>
      </c>
      <c r="D2701" s="4">
        <v>5737.57</v>
      </c>
      <c r="E2701" s="79">
        <v>0</v>
      </c>
      <c r="F2701" s="79">
        <f>SUM(BASE_DATOS[[#This Row],[Capital($)]:[Interés
Resarcitorio($)]])</f>
        <v>7438.3969999999999</v>
      </c>
      <c r="G2701" s="8">
        <v>47499</v>
      </c>
      <c r="H2701" s="80" t="s">
        <v>53</v>
      </c>
      <c r="I2701" s="79" t="s">
        <v>6</v>
      </c>
      <c r="J2701" s="81">
        <v>120</v>
      </c>
      <c r="K2701" t="s">
        <v>47</v>
      </c>
    </row>
    <row r="2702" spans="2:11" x14ac:dyDescent="0.25">
      <c r="B2702" s="2">
        <f>+B2701</f>
        <v>116</v>
      </c>
      <c r="C2702" s="4">
        <v>1700.827</v>
      </c>
      <c r="D2702" s="4">
        <v>5737.57</v>
      </c>
      <c r="E2702" s="79">
        <v>991.79</v>
      </c>
      <c r="F2702" s="79">
        <f>SUM(BASE_DATOS[[#This Row],[Capital($)]:[Interés
Resarcitorio($)]])</f>
        <v>8430.1869999999999</v>
      </c>
      <c r="G2702" s="8">
        <v>47509</v>
      </c>
      <c r="H2702" s="80" t="s">
        <v>53</v>
      </c>
      <c r="I2702" s="79" t="s">
        <v>7</v>
      </c>
      <c r="J2702" s="81">
        <v>120</v>
      </c>
      <c r="K2702" t="s">
        <v>47</v>
      </c>
    </row>
    <row r="2703" spans="2:11" x14ac:dyDescent="0.25">
      <c r="B2703" s="2">
        <v>117</v>
      </c>
      <c r="C2703" s="4">
        <v>1700.827</v>
      </c>
      <c r="D2703" s="4">
        <v>5781.2809999999999</v>
      </c>
      <c r="E2703" s="79">
        <v>0</v>
      </c>
      <c r="F2703" s="79">
        <f>SUM(BASE_DATOS[[#This Row],[Capital($)]:[Interés
Resarcitorio($)]])</f>
        <v>7482.1080000000002</v>
      </c>
      <c r="G2703" s="8">
        <v>47530</v>
      </c>
      <c r="H2703" s="80" t="s">
        <v>53</v>
      </c>
      <c r="I2703" s="79" t="s">
        <v>6</v>
      </c>
      <c r="J2703" s="81">
        <v>120</v>
      </c>
      <c r="K2703" t="s">
        <v>47</v>
      </c>
    </row>
    <row r="2704" spans="2:11" x14ac:dyDescent="0.25">
      <c r="B2704" s="2">
        <f>+B2703</f>
        <v>117</v>
      </c>
      <c r="C2704" s="4">
        <v>1700.827</v>
      </c>
      <c r="D2704" s="4">
        <v>5781.2809999999999</v>
      </c>
      <c r="E2704" s="79">
        <v>997.61</v>
      </c>
      <c r="F2704" s="79">
        <f>SUM(BASE_DATOS[[#This Row],[Capital($)]:[Interés
Resarcitorio($)]])</f>
        <v>8479.7180000000008</v>
      </c>
      <c r="G2704" s="8">
        <v>47540</v>
      </c>
      <c r="H2704" s="80" t="s">
        <v>53</v>
      </c>
      <c r="I2704" s="79" t="s">
        <v>7</v>
      </c>
      <c r="J2704" s="81">
        <v>120</v>
      </c>
      <c r="K2704" t="s">
        <v>47</v>
      </c>
    </row>
    <row r="2705" spans="2:11" x14ac:dyDescent="0.25">
      <c r="B2705" s="2">
        <v>118</v>
      </c>
      <c r="C2705" s="4">
        <v>1700.827</v>
      </c>
      <c r="D2705" s="4">
        <v>5824.9920000000002</v>
      </c>
      <c r="E2705" s="79">
        <v>0</v>
      </c>
      <c r="F2705" s="79">
        <f>SUM(BASE_DATOS[[#This Row],[Capital($)]:[Interés
Resarcitorio($)]])</f>
        <v>7525.8190000000004</v>
      </c>
      <c r="G2705" s="8">
        <v>47558</v>
      </c>
      <c r="H2705" s="80" t="s">
        <v>53</v>
      </c>
      <c r="I2705" s="79" t="s">
        <v>6</v>
      </c>
      <c r="J2705" s="81">
        <v>120</v>
      </c>
      <c r="K2705" t="s">
        <v>47</v>
      </c>
    </row>
    <row r="2706" spans="2:11" x14ac:dyDescent="0.25">
      <c r="B2706" s="2">
        <f>+B2705</f>
        <v>118</v>
      </c>
      <c r="C2706" s="4">
        <v>1700.827</v>
      </c>
      <c r="D2706" s="4">
        <v>5824.9920000000002</v>
      </c>
      <c r="E2706" s="79">
        <v>1003.44</v>
      </c>
      <c r="F2706" s="79">
        <f>SUM(BASE_DATOS[[#This Row],[Capital($)]:[Interés
Resarcitorio($)]])</f>
        <v>8529.259</v>
      </c>
      <c r="G2706" s="8">
        <v>47568</v>
      </c>
      <c r="H2706" s="80" t="s">
        <v>53</v>
      </c>
      <c r="I2706" s="79" t="s">
        <v>7</v>
      </c>
      <c r="J2706" s="81">
        <v>120</v>
      </c>
      <c r="K2706" t="s">
        <v>47</v>
      </c>
    </row>
    <row r="2707" spans="2:11" x14ac:dyDescent="0.25">
      <c r="B2707" s="2">
        <v>119</v>
      </c>
      <c r="C2707" s="4">
        <v>1700.827</v>
      </c>
      <c r="D2707" s="4">
        <v>5868.7039999999997</v>
      </c>
      <c r="E2707" s="79">
        <v>0</v>
      </c>
      <c r="F2707" s="79">
        <f>SUM(BASE_DATOS[[#This Row],[Capital($)]:[Interés
Resarcitorio($)]])</f>
        <v>7569.5309999999999</v>
      </c>
      <c r="G2707" s="8">
        <v>47589</v>
      </c>
      <c r="H2707" s="80" t="s">
        <v>53</v>
      </c>
      <c r="I2707" s="79" t="s">
        <v>6</v>
      </c>
      <c r="J2707" s="81">
        <v>120</v>
      </c>
      <c r="K2707" t="s">
        <v>47</v>
      </c>
    </row>
    <row r="2708" spans="2:11" x14ac:dyDescent="0.25">
      <c r="B2708" s="2">
        <f>+B2707</f>
        <v>119</v>
      </c>
      <c r="C2708" s="4">
        <v>1700.827</v>
      </c>
      <c r="D2708" s="4">
        <v>5868.7039999999997</v>
      </c>
      <c r="E2708" s="79">
        <v>1009.27</v>
      </c>
      <c r="F2708" s="79">
        <f>SUM(BASE_DATOS[[#This Row],[Capital($)]:[Interés
Resarcitorio($)]])</f>
        <v>8578.8009999999995</v>
      </c>
      <c r="G2708" s="8">
        <v>47599</v>
      </c>
      <c r="H2708" s="80" t="s">
        <v>53</v>
      </c>
      <c r="I2708" s="79" t="s">
        <v>7</v>
      </c>
      <c r="J2708" s="81">
        <v>120</v>
      </c>
      <c r="K2708" t="s">
        <v>47</v>
      </c>
    </row>
    <row r="2709" spans="2:11" x14ac:dyDescent="0.25">
      <c r="B2709" s="2">
        <v>120</v>
      </c>
      <c r="C2709" s="4">
        <v>1700.8400000000001</v>
      </c>
      <c r="D2709" s="4">
        <v>5912.46</v>
      </c>
      <c r="E2709" s="79">
        <v>0</v>
      </c>
      <c r="F2709" s="79">
        <f>SUM(BASE_DATOS[[#This Row],[Capital($)]:[Interés
Resarcitorio($)]])</f>
        <v>7613.3</v>
      </c>
      <c r="G2709" s="8">
        <v>47619</v>
      </c>
      <c r="H2709" s="80" t="s">
        <v>53</v>
      </c>
      <c r="I2709" s="79" t="s">
        <v>6</v>
      </c>
      <c r="J2709" s="81">
        <v>120</v>
      </c>
      <c r="K2709" t="s">
        <v>47</v>
      </c>
    </row>
    <row r="2710" spans="2:11" x14ac:dyDescent="0.25">
      <c r="B2710" s="2">
        <v>120</v>
      </c>
      <c r="C2710" s="4">
        <v>1700.8400000000001</v>
      </c>
      <c r="D2710" s="4">
        <v>5912.46</v>
      </c>
      <c r="E2710" s="79">
        <v>1015.11</v>
      </c>
      <c r="F2710" s="79">
        <f>SUM(BASE_DATOS[[#This Row],[Capital($)]:[Interés
Resarcitorio($)]])</f>
        <v>8628.41</v>
      </c>
      <c r="G2710" s="8">
        <v>47629</v>
      </c>
      <c r="H2710" s="80" t="s">
        <v>53</v>
      </c>
      <c r="I2710" s="79" t="s">
        <v>7</v>
      </c>
      <c r="J2710" s="81">
        <v>120</v>
      </c>
      <c r="K2710" t="s">
        <v>47</v>
      </c>
    </row>
    <row r="2711" spans="2:11" x14ac:dyDescent="0.25">
      <c r="B2711" s="2">
        <v>1</v>
      </c>
      <c r="C2711" s="4">
        <v>22357.310999999998</v>
      </c>
      <c r="D2711" s="4">
        <v>1028.4360000000001</v>
      </c>
      <c r="E2711" s="79">
        <v>0</v>
      </c>
      <c r="F2711" s="79">
        <f>SUM(BASE_DATOS[[#This Row],[Capital($)]:[Interés
Resarcitorio($)]])</f>
        <v>23385.746999999999</v>
      </c>
      <c r="G2711" s="8">
        <v>44181</v>
      </c>
      <c r="H2711" s="80" t="s">
        <v>57</v>
      </c>
      <c r="I2711" s="79" t="s">
        <v>9</v>
      </c>
      <c r="J2711" s="81">
        <v>120</v>
      </c>
      <c r="K2711" t="s">
        <v>47</v>
      </c>
    </row>
    <row r="2712" spans="2:11" x14ac:dyDescent="0.25">
      <c r="B2712" s="2">
        <v>1</v>
      </c>
      <c r="C2712" s="4">
        <v>22357.310999999998</v>
      </c>
      <c r="D2712" s="4">
        <v>1028.4360000000001</v>
      </c>
      <c r="E2712" s="79">
        <v>2354.16</v>
      </c>
      <c r="F2712" s="79">
        <f>SUM(BASE_DATOS[[#This Row],[Capital($)]:[Interés
Resarcitorio($)]])</f>
        <v>25739.906999999999</v>
      </c>
      <c r="G2712" s="8">
        <v>44191</v>
      </c>
      <c r="H2712" s="80" t="s">
        <v>57</v>
      </c>
      <c r="I2712" s="79" t="s">
        <v>7</v>
      </c>
      <c r="J2712" s="81">
        <v>120</v>
      </c>
      <c r="K2712" t="s">
        <v>47</v>
      </c>
    </row>
    <row r="2713" spans="2:11" x14ac:dyDescent="0.25">
      <c r="B2713" s="2">
        <v>2</v>
      </c>
      <c r="C2713" s="4">
        <v>22357.310999999998</v>
      </c>
      <c r="D2713" s="4">
        <v>1475.5830000000001</v>
      </c>
      <c r="E2713" s="79">
        <v>0</v>
      </c>
      <c r="F2713" s="79">
        <f>SUM(BASE_DATOS[[#This Row],[Capital($)]:[Interés
Resarcitorio($)]])</f>
        <v>23832.893999999997</v>
      </c>
      <c r="G2713" s="8">
        <v>44212</v>
      </c>
      <c r="H2713" s="80" t="s">
        <v>57</v>
      </c>
      <c r="I2713" s="79" t="s">
        <v>9</v>
      </c>
      <c r="J2713" s="81">
        <v>120</v>
      </c>
      <c r="K2713" t="s">
        <v>47</v>
      </c>
    </row>
    <row r="2714" spans="2:11" x14ac:dyDescent="0.25">
      <c r="B2714" s="2">
        <v>2</v>
      </c>
      <c r="C2714" s="4">
        <v>22357.310999999998</v>
      </c>
      <c r="D2714" s="4">
        <v>1475.5830000000001</v>
      </c>
      <c r="E2714" s="79">
        <v>2661.34</v>
      </c>
      <c r="F2714" s="79">
        <f>SUM(BASE_DATOS[[#This Row],[Capital($)]:[Interés
Resarcitorio($)]])</f>
        <v>26494.233999999997</v>
      </c>
      <c r="G2714" s="8">
        <v>44222</v>
      </c>
      <c r="H2714" s="80" t="s">
        <v>57</v>
      </c>
      <c r="I2714" s="79" t="s">
        <v>7</v>
      </c>
      <c r="J2714" s="81">
        <v>120</v>
      </c>
      <c r="K2714" t="s">
        <v>47</v>
      </c>
    </row>
    <row r="2715" spans="2:11" x14ac:dyDescent="0.25">
      <c r="B2715" s="2">
        <v>3</v>
      </c>
      <c r="C2715" s="4">
        <v>22357.310999999998</v>
      </c>
      <c r="D2715" s="4">
        <v>1922.729</v>
      </c>
      <c r="E2715" s="79">
        <v>0</v>
      </c>
      <c r="F2715" s="79">
        <f>SUM(BASE_DATOS[[#This Row],[Capital($)]:[Interés
Resarcitorio($)]])</f>
        <v>24280.039999999997</v>
      </c>
      <c r="G2715" s="8">
        <v>44243</v>
      </c>
      <c r="H2715" s="80" t="s">
        <v>57</v>
      </c>
      <c r="I2715" s="79" t="s">
        <v>9</v>
      </c>
      <c r="J2715" s="81">
        <v>120</v>
      </c>
      <c r="K2715" t="s">
        <v>47</v>
      </c>
    </row>
    <row r="2716" spans="2:11" x14ac:dyDescent="0.25">
      <c r="B2716" s="2">
        <v>3</v>
      </c>
      <c r="C2716" s="4">
        <v>22357.310999999998</v>
      </c>
      <c r="D2716" s="4">
        <v>1922.729</v>
      </c>
      <c r="E2716" s="79">
        <v>2711.27</v>
      </c>
      <c r="F2716" s="79">
        <f>SUM(BASE_DATOS[[#This Row],[Capital($)]:[Interés
Resarcitorio($)]])</f>
        <v>26991.309999999998</v>
      </c>
      <c r="G2716" s="8">
        <v>44253</v>
      </c>
      <c r="H2716" s="80" t="s">
        <v>57</v>
      </c>
      <c r="I2716" s="79" t="s">
        <v>7</v>
      </c>
      <c r="J2716" s="81">
        <v>120</v>
      </c>
      <c r="K2716" t="s">
        <v>47</v>
      </c>
    </row>
    <row r="2717" spans="2:11" x14ac:dyDescent="0.25">
      <c r="B2717" s="2">
        <v>4</v>
      </c>
      <c r="C2717" s="4">
        <v>22357.310999999998</v>
      </c>
      <c r="D2717" s="4">
        <v>2369.875</v>
      </c>
      <c r="E2717" s="79">
        <v>0</v>
      </c>
      <c r="F2717" s="79">
        <f>SUM(BASE_DATOS[[#This Row],[Capital($)]:[Interés
Resarcitorio($)]])</f>
        <v>24727.185999999998</v>
      </c>
      <c r="G2717" s="8">
        <v>44271</v>
      </c>
      <c r="H2717" s="80" t="s">
        <v>57</v>
      </c>
      <c r="I2717" s="79" t="s">
        <v>9</v>
      </c>
      <c r="J2717" s="81">
        <v>120</v>
      </c>
      <c r="K2717" t="s">
        <v>47</v>
      </c>
    </row>
    <row r="2718" spans="2:11" x14ac:dyDescent="0.25">
      <c r="B2718" s="2">
        <v>4</v>
      </c>
      <c r="C2718" s="4">
        <v>22357.310999999998</v>
      </c>
      <c r="D2718" s="4">
        <v>2369.875</v>
      </c>
      <c r="E2718" s="79">
        <v>2761.21</v>
      </c>
      <c r="F2718" s="79">
        <f>SUM(BASE_DATOS[[#This Row],[Capital($)]:[Interés
Resarcitorio($)]])</f>
        <v>27488.395999999997</v>
      </c>
      <c r="G2718" s="8">
        <v>44281</v>
      </c>
      <c r="H2718" s="80" t="s">
        <v>57</v>
      </c>
      <c r="I2718" s="79" t="s">
        <v>7</v>
      </c>
      <c r="J2718" s="81">
        <v>120</v>
      </c>
      <c r="K2718" t="s">
        <v>47</v>
      </c>
    </row>
    <row r="2719" spans="2:11" x14ac:dyDescent="0.25">
      <c r="B2719" s="2">
        <v>5</v>
      </c>
      <c r="C2719" s="4">
        <v>22357.310999999998</v>
      </c>
      <c r="D2719" s="4">
        <v>2817.0219999999999</v>
      </c>
      <c r="E2719" s="79">
        <v>0</v>
      </c>
      <c r="F2719" s="79">
        <f>SUM(BASE_DATOS[[#This Row],[Capital($)]:[Interés
Resarcitorio($)]])</f>
        <v>25174.332999999999</v>
      </c>
      <c r="G2719" s="8">
        <v>44302</v>
      </c>
      <c r="H2719" s="80" t="s">
        <v>57</v>
      </c>
      <c r="I2719" s="79" t="s">
        <v>9</v>
      </c>
      <c r="J2719" s="81">
        <v>120</v>
      </c>
      <c r="K2719" t="s">
        <v>47</v>
      </c>
    </row>
    <row r="2720" spans="2:11" x14ac:dyDescent="0.25">
      <c r="B2720" s="2">
        <v>5</v>
      </c>
      <c r="C2720" s="4">
        <v>22357.310999999998</v>
      </c>
      <c r="D2720" s="4">
        <v>2817.0219999999999</v>
      </c>
      <c r="E2720" s="79">
        <v>2811.13</v>
      </c>
      <c r="F2720" s="79">
        <f>SUM(BASE_DATOS[[#This Row],[Capital($)]:[Interés
Resarcitorio($)]])</f>
        <v>27985.463</v>
      </c>
      <c r="G2720" s="8">
        <v>44312</v>
      </c>
      <c r="H2720" s="80" t="s">
        <v>57</v>
      </c>
      <c r="I2720" s="79" t="s">
        <v>7</v>
      </c>
      <c r="J2720" s="81">
        <v>120</v>
      </c>
      <c r="K2720" t="s">
        <v>47</v>
      </c>
    </row>
    <row r="2721" spans="2:11" x14ac:dyDescent="0.25">
      <c r="B2721" s="2">
        <v>6</v>
      </c>
      <c r="C2721" s="4">
        <v>22357.310999999998</v>
      </c>
      <c r="D2721" s="4">
        <v>3264.1680000000001</v>
      </c>
      <c r="E2721" s="79">
        <v>0</v>
      </c>
      <c r="F2721" s="79">
        <f>SUM(BASE_DATOS[[#This Row],[Capital($)]:[Interés
Resarcitorio($)]])</f>
        <v>25621.478999999999</v>
      </c>
      <c r="G2721" s="8">
        <v>44332</v>
      </c>
      <c r="H2721" s="80" t="s">
        <v>57</v>
      </c>
      <c r="I2721" s="79" t="s">
        <v>9</v>
      </c>
      <c r="J2721" s="81">
        <v>120</v>
      </c>
      <c r="K2721" t="s">
        <v>47</v>
      </c>
    </row>
    <row r="2722" spans="2:11" x14ac:dyDescent="0.25">
      <c r="B2722" s="2">
        <v>6</v>
      </c>
      <c r="C2722" s="4">
        <v>22357.310999999998</v>
      </c>
      <c r="D2722" s="4">
        <v>3264.1680000000001</v>
      </c>
      <c r="E2722" s="79">
        <v>2861.06</v>
      </c>
      <c r="F2722" s="79">
        <f>SUM(BASE_DATOS[[#This Row],[Capital($)]:[Interés
Resarcitorio($)]])</f>
        <v>28482.539000000001</v>
      </c>
      <c r="G2722" s="8">
        <v>44342</v>
      </c>
      <c r="H2722" s="80" t="s">
        <v>57</v>
      </c>
      <c r="I2722" s="79" t="s">
        <v>7</v>
      </c>
      <c r="J2722" s="81">
        <v>120</v>
      </c>
      <c r="K2722" t="s">
        <v>47</v>
      </c>
    </row>
    <row r="2723" spans="2:11" x14ac:dyDescent="0.25">
      <c r="B2723" s="2">
        <v>7</v>
      </c>
      <c r="C2723" s="4">
        <v>22357.310999999998</v>
      </c>
      <c r="D2723" s="4">
        <v>3899.1150000000002</v>
      </c>
      <c r="E2723" s="79">
        <v>0</v>
      </c>
      <c r="F2723" s="79">
        <f>SUM(BASE_DATOS[[#This Row],[Capital($)]:[Interés
Resarcitorio($)]])</f>
        <v>26256.425999999999</v>
      </c>
      <c r="G2723" s="8">
        <v>44363</v>
      </c>
      <c r="H2723" s="80" t="s">
        <v>57</v>
      </c>
      <c r="I2723" s="79" t="s">
        <v>9</v>
      </c>
      <c r="J2723" s="81">
        <v>120</v>
      </c>
      <c r="K2723" t="s">
        <v>47</v>
      </c>
    </row>
    <row r="2724" spans="2:11" x14ac:dyDescent="0.25">
      <c r="B2724" s="2">
        <v>7</v>
      </c>
      <c r="C2724" s="4">
        <v>22357.310999999998</v>
      </c>
      <c r="D2724" s="4">
        <v>3899.1150000000002</v>
      </c>
      <c r="E2724" s="79">
        <v>2931.96</v>
      </c>
      <c r="F2724" s="79">
        <f>SUM(BASE_DATOS[[#This Row],[Capital($)]:[Interés
Resarcitorio($)]])</f>
        <v>29188.385999999999</v>
      </c>
      <c r="G2724" s="8">
        <v>44373</v>
      </c>
      <c r="H2724" s="80" t="s">
        <v>57</v>
      </c>
      <c r="I2724" s="79" t="s">
        <v>7</v>
      </c>
      <c r="J2724" s="81">
        <v>120</v>
      </c>
      <c r="K2724" t="s">
        <v>47</v>
      </c>
    </row>
    <row r="2725" spans="2:11" x14ac:dyDescent="0.25">
      <c r="B2725" s="2">
        <v>8</v>
      </c>
      <c r="C2725" s="4">
        <v>22357.310999999998</v>
      </c>
      <c r="D2725" s="4">
        <v>4534.0619999999999</v>
      </c>
      <c r="E2725" s="79">
        <v>0</v>
      </c>
      <c r="F2725" s="79">
        <f>SUM(BASE_DATOS[[#This Row],[Capital($)]:[Interés
Resarcitorio($)]])</f>
        <v>26891.373</v>
      </c>
      <c r="G2725" s="8">
        <v>44393</v>
      </c>
      <c r="H2725" s="80" t="s">
        <v>57</v>
      </c>
      <c r="I2725" s="79" t="s">
        <v>9</v>
      </c>
      <c r="J2725" s="81">
        <v>120</v>
      </c>
      <c r="K2725" t="s">
        <v>47</v>
      </c>
    </row>
    <row r="2726" spans="2:11" x14ac:dyDescent="0.25">
      <c r="B2726" s="2">
        <v>8</v>
      </c>
      <c r="C2726" s="4">
        <v>22357.310999999998</v>
      </c>
      <c r="D2726" s="4">
        <v>4534.0619999999999</v>
      </c>
      <c r="E2726" s="79">
        <v>3002.87</v>
      </c>
      <c r="F2726" s="79">
        <f>SUM(BASE_DATOS[[#This Row],[Capital($)]:[Interés
Resarcitorio($)]])</f>
        <v>29894.242999999999</v>
      </c>
      <c r="G2726" s="8">
        <v>44403</v>
      </c>
      <c r="H2726" s="80" t="s">
        <v>57</v>
      </c>
      <c r="I2726" s="79" t="s">
        <v>7</v>
      </c>
      <c r="J2726" s="81">
        <v>120</v>
      </c>
      <c r="K2726" t="s">
        <v>47</v>
      </c>
    </row>
    <row r="2727" spans="2:11" x14ac:dyDescent="0.25">
      <c r="B2727" s="2">
        <v>9</v>
      </c>
      <c r="C2727" s="4">
        <v>22357.310999999998</v>
      </c>
      <c r="D2727" s="4">
        <v>5169.01</v>
      </c>
      <c r="E2727" s="79">
        <v>0</v>
      </c>
      <c r="F2727" s="79">
        <f>SUM(BASE_DATOS[[#This Row],[Capital($)]:[Interés
Resarcitorio($)]])</f>
        <v>27526.320999999996</v>
      </c>
      <c r="G2727" s="8">
        <v>44424</v>
      </c>
      <c r="H2727" s="80" t="s">
        <v>57</v>
      </c>
      <c r="I2727" s="79" t="s">
        <v>9</v>
      </c>
      <c r="J2727" s="81">
        <v>120</v>
      </c>
      <c r="K2727" t="s">
        <v>47</v>
      </c>
    </row>
    <row r="2728" spans="2:11" x14ac:dyDescent="0.25">
      <c r="B2728" s="2">
        <v>9</v>
      </c>
      <c r="C2728" s="4">
        <v>22357.310999999998</v>
      </c>
      <c r="D2728" s="4">
        <v>5169.01</v>
      </c>
      <c r="E2728" s="79">
        <v>3073.78</v>
      </c>
      <c r="F2728" s="79">
        <f>SUM(BASE_DATOS[[#This Row],[Capital($)]:[Interés
Resarcitorio($)]])</f>
        <v>30600.100999999995</v>
      </c>
      <c r="G2728" s="8">
        <v>44434</v>
      </c>
      <c r="H2728" s="80" t="s">
        <v>57</v>
      </c>
      <c r="I2728" s="79" t="s">
        <v>7</v>
      </c>
      <c r="J2728" s="81">
        <v>120</v>
      </c>
      <c r="K2728" t="s">
        <v>47</v>
      </c>
    </row>
    <row r="2729" spans="2:11" x14ac:dyDescent="0.25">
      <c r="B2729" s="2">
        <v>10</v>
      </c>
      <c r="C2729" s="4">
        <v>22357.310999999998</v>
      </c>
      <c r="D2729" s="4">
        <v>5803.9580000000005</v>
      </c>
      <c r="E2729" s="79">
        <v>0</v>
      </c>
      <c r="F2729" s="79">
        <f>SUM(BASE_DATOS[[#This Row],[Capital($)]:[Interés
Resarcitorio($)]])</f>
        <v>28161.269</v>
      </c>
      <c r="G2729" s="8">
        <v>44455</v>
      </c>
      <c r="H2729" s="80" t="s">
        <v>57</v>
      </c>
      <c r="I2729" s="79" t="s">
        <v>9</v>
      </c>
      <c r="J2729" s="81">
        <v>120</v>
      </c>
      <c r="K2729" t="s">
        <v>47</v>
      </c>
    </row>
    <row r="2730" spans="2:11" x14ac:dyDescent="0.25">
      <c r="B2730" s="2">
        <v>10</v>
      </c>
      <c r="C2730" s="4">
        <v>22357.310999999998</v>
      </c>
      <c r="D2730" s="4">
        <v>5803.9580000000005</v>
      </c>
      <c r="E2730" s="79">
        <v>3144.68</v>
      </c>
      <c r="F2730" s="79">
        <f>SUM(BASE_DATOS[[#This Row],[Capital($)]:[Interés
Resarcitorio($)]])</f>
        <v>31305.949000000001</v>
      </c>
      <c r="G2730" s="8">
        <v>44465</v>
      </c>
      <c r="H2730" s="80" t="s">
        <v>57</v>
      </c>
      <c r="I2730" s="79" t="s">
        <v>7</v>
      </c>
      <c r="J2730" s="81">
        <v>120</v>
      </c>
      <c r="K2730" t="s">
        <v>47</v>
      </c>
    </row>
    <row r="2731" spans="2:11" x14ac:dyDescent="0.25">
      <c r="B2731" s="2">
        <v>11</v>
      </c>
      <c r="C2731" s="4">
        <v>22357.310999999998</v>
      </c>
      <c r="D2731" s="4">
        <v>6438.9059999999999</v>
      </c>
      <c r="E2731" s="79">
        <v>0</v>
      </c>
      <c r="F2731" s="79">
        <f>SUM(BASE_DATOS[[#This Row],[Capital($)]:[Interés
Resarcitorio($)]])</f>
        <v>28796.216999999997</v>
      </c>
      <c r="G2731" s="8">
        <v>44485</v>
      </c>
      <c r="H2731" s="80" t="s">
        <v>57</v>
      </c>
      <c r="I2731" s="79" t="s">
        <v>9</v>
      </c>
      <c r="J2731" s="81">
        <v>120</v>
      </c>
      <c r="K2731" t="s">
        <v>47</v>
      </c>
    </row>
    <row r="2732" spans="2:11" x14ac:dyDescent="0.25">
      <c r="B2732" s="2">
        <v>11</v>
      </c>
      <c r="C2732" s="4">
        <v>22357.310999999998</v>
      </c>
      <c r="D2732" s="4">
        <v>6438.9059999999999</v>
      </c>
      <c r="E2732" s="79">
        <v>3215.58</v>
      </c>
      <c r="F2732" s="79">
        <f>SUM(BASE_DATOS[[#This Row],[Capital($)]:[Interés
Resarcitorio($)]])</f>
        <v>32011.796999999999</v>
      </c>
      <c r="G2732" s="8">
        <v>44495</v>
      </c>
      <c r="H2732" s="80" t="s">
        <v>57</v>
      </c>
      <c r="I2732" s="79" t="s">
        <v>7</v>
      </c>
      <c r="J2732" s="81">
        <v>120</v>
      </c>
      <c r="K2732" t="s">
        <v>47</v>
      </c>
    </row>
    <row r="2733" spans="2:11" x14ac:dyDescent="0.25">
      <c r="B2733" s="2">
        <v>12</v>
      </c>
      <c r="C2733" s="4">
        <v>22357.310999999998</v>
      </c>
      <c r="D2733" s="4">
        <v>7073.8530000000001</v>
      </c>
      <c r="E2733" s="79">
        <v>0</v>
      </c>
      <c r="F2733" s="79">
        <f>SUM(BASE_DATOS[[#This Row],[Capital($)]:[Interés
Resarcitorio($)]])</f>
        <v>29431.163999999997</v>
      </c>
      <c r="G2733" s="8">
        <v>44516</v>
      </c>
      <c r="H2733" s="80" t="s">
        <v>57</v>
      </c>
      <c r="I2733" s="79" t="s">
        <v>9</v>
      </c>
      <c r="J2733" s="81">
        <v>120</v>
      </c>
      <c r="K2733" t="s">
        <v>47</v>
      </c>
    </row>
    <row r="2734" spans="2:11" x14ac:dyDescent="0.25">
      <c r="B2734" s="2">
        <v>12</v>
      </c>
      <c r="C2734" s="4">
        <v>22357.310999999998</v>
      </c>
      <c r="D2734" s="4">
        <v>7073.8530000000001</v>
      </c>
      <c r="E2734" s="79">
        <v>3286.48</v>
      </c>
      <c r="F2734" s="79">
        <f>SUM(BASE_DATOS[[#This Row],[Capital($)]:[Interés
Resarcitorio($)]])</f>
        <v>32717.643999999997</v>
      </c>
      <c r="G2734" s="8">
        <v>44526</v>
      </c>
      <c r="H2734" s="80" t="s">
        <v>57</v>
      </c>
      <c r="I2734" s="79" t="s">
        <v>7</v>
      </c>
      <c r="J2734" s="81">
        <v>120</v>
      </c>
      <c r="K2734" t="s">
        <v>47</v>
      </c>
    </row>
    <row r="2735" spans="2:11" x14ac:dyDescent="0.25">
      <c r="B2735" s="2">
        <v>13</v>
      </c>
      <c r="C2735" s="4">
        <v>22357.310999999998</v>
      </c>
      <c r="D2735" s="4">
        <v>7708.8</v>
      </c>
      <c r="E2735" s="79">
        <v>0</v>
      </c>
      <c r="F2735" s="79">
        <f>SUM(BASE_DATOS[[#This Row],[Capital($)]:[Interés
Resarcitorio($)]])</f>
        <v>30066.110999999997</v>
      </c>
      <c r="G2735" s="8">
        <v>44546</v>
      </c>
      <c r="H2735" s="80" t="s">
        <v>57</v>
      </c>
      <c r="I2735" s="79" t="s">
        <v>9</v>
      </c>
      <c r="J2735" s="81">
        <v>120</v>
      </c>
      <c r="K2735" t="s">
        <v>47</v>
      </c>
    </row>
    <row r="2736" spans="2:11" x14ac:dyDescent="0.25">
      <c r="B2736" s="2">
        <v>13</v>
      </c>
      <c r="C2736" s="4">
        <v>22357.310999999998</v>
      </c>
      <c r="D2736" s="4">
        <v>7708.8</v>
      </c>
      <c r="E2736" s="79">
        <v>3357.38</v>
      </c>
      <c r="F2736" s="79">
        <f>SUM(BASE_DATOS[[#This Row],[Capital($)]:[Interés
Resarcitorio($)]])</f>
        <v>33423.490999999995</v>
      </c>
      <c r="G2736" s="8">
        <v>44556</v>
      </c>
      <c r="H2736" s="80" t="s">
        <v>57</v>
      </c>
      <c r="I2736" s="79" t="s">
        <v>7</v>
      </c>
      <c r="J2736" s="81">
        <v>120</v>
      </c>
      <c r="K2736" t="s">
        <v>47</v>
      </c>
    </row>
    <row r="2737" spans="2:11" x14ac:dyDescent="0.25">
      <c r="B2737" s="2">
        <v>14</v>
      </c>
      <c r="C2737" s="4">
        <v>22357.310999999998</v>
      </c>
      <c r="D2737" s="4">
        <v>8343.7489999999998</v>
      </c>
      <c r="E2737" s="79">
        <v>0</v>
      </c>
      <c r="F2737" s="79">
        <f>SUM(BASE_DATOS[[#This Row],[Capital($)]:[Interés
Resarcitorio($)]])</f>
        <v>30701.059999999998</v>
      </c>
      <c r="G2737" s="8">
        <v>44577</v>
      </c>
      <c r="H2737" s="80" t="s">
        <v>57</v>
      </c>
      <c r="I2737" s="79" t="s">
        <v>9</v>
      </c>
      <c r="J2737" s="81">
        <v>120</v>
      </c>
      <c r="K2737" t="s">
        <v>47</v>
      </c>
    </row>
    <row r="2738" spans="2:11" x14ac:dyDescent="0.25">
      <c r="B2738" s="2">
        <v>14</v>
      </c>
      <c r="C2738" s="4">
        <v>22357.310999999998</v>
      </c>
      <c r="D2738" s="4">
        <v>8343.7489999999998</v>
      </c>
      <c r="E2738" s="79">
        <v>3428.28</v>
      </c>
      <c r="F2738" s="79">
        <f>SUM(BASE_DATOS[[#This Row],[Capital($)]:[Interés
Resarcitorio($)]])</f>
        <v>34129.339999999997</v>
      </c>
      <c r="G2738" s="8">
        <v>44587</v>
      </c>
      <c r="H2738" s="80" t="s">
        <v>57</v>
      </c>
      <c r="I2738" s="79" t="s">
        <v>7</v>
      </c>
      <c r="J2738" s="81">
        <v>120</v>
      </c>
      <c r="K2738" t="s">
        <v>47</v>
      </c>
    </row>
    <row r="2739" spans="2:11" x14ac:dyDescent="0.25">
      <c r="B2739" s="2">
        <v>15</v>
      </c>
      <c r="C2739" s="4">
        <v>22357.310999999998</v>
      </c>
      <c r="D2739" s="4">
        <v>8978.6959999999999</v>
      </c>
      <c r="E2739" s="79">
        <v>0</v>
      </c>
      <c r="F2739" s="79">
        <f>SUM(BASE_DATOS[[#This Row],[Capital($)]:[Interés
Resarcitorio($)]])</f>
        <v>31336.006999999998</v>
      </c>
      <c r="G2739" s="8">
        <v>44608</v>
      </c>
      <c r="H2739" s="80" t="s">
        <v>57</v>
      </c>
      <c r="I2739" s="79" t="s">
        <v>9</v>
      </c>
      <c r="J2739" s="81">
        <v>120</v>
      </c>
      <c r="K2739" t="s">
        <v>47</v>
      </c>
    </row>
    <row r="2740" spans="2:11" x14ac:dyDescent="0.25">
      <c r="B2740" s="2">
        <v>15</v>
      </c>
      <c r="C2740" s="4">
        <v>22357.310999999998</v>
      </c>
      <c r="D2740" s="4">
        <v>8978.6959999999999</v>
      </c>
      <c r="E2740" s="79">
        <v>3499.19</v>
      </c>
      <c r="F2740" s="79">
        <f>SUM(BASE_DATOS[[#This Row],[Capital($)]:[Interés
Resarcitorio($)]])</f>
        <v>34835.197</v>
      </c>
      <c r="G2740" s="8">
        <v>44618</v>
      </c>
      <c r="H2740" s="80" t="s">
        <v>57</v>
      </c>
      <c r="I2740" s="79" t="s">
        <v>7</v>
      </c>
      <c r="J2740" s="81">
        <v>120</v>
      </c>
      <c r="K2740" t="s">
        <v>47</v>
      </c>
    </row>
    <row r="2741" spans="2:11" x14ac:dyDescent="0.25">
      <c r="B2741" s="2">
        <v>16</v>
      </c>
      <c r="C2741" s="4">
        <v>22357.310999999998</v>
      </c>
      <c r="D2741" s="4">
        <v>9613.6440000000002</v>
      </c>
      <c r="E2741" s="79">
        <v>0</v>
      </c>
      <c r="F2741" s="79">
        <f>SUM(BASE_DATOS[[#This Row],[Capital($)]:[Interés
Resarcitorio($)]])</f>
        <v>31970.954999999998</v>
      </c>
      <c r="G2741" s="8">
        <v>44636</v>
      </c>
      <c r="H2741" s="80" t="s">
        <v>57</v>
      </c>
      <c r="I2741" s="79" t="s">
        <v>9</v>
      </c>
      <c r="J2741" s="81">
        <v>120</v>
      </c>
      <c r="K2741" t="s">
        <v>47</v>
      </c>
    </row>
    <row r="2742" spans="2:11" x14ac:dyDescent="0.25">
      <c r="B2742" s="2">
        <v>16</v>
      </c>
      <c r="C2742" s="4">
        <v>22357.310999999998</v>
      </c>
      <c r="D2742" s="4">
        <v>9613.6440000000002</v>
      </c>
      <c r="E2742" s="79">
        <v>3570.09</v>
      </c>
      <c r="F2742" s="79">
        <f>SUM(BASE_DATOS[[#This Row],[Capital($)]:[Interés
Resarcitorio($)]])</f>
        <v>35541.044999999998</v>
      </c>
      <c r="G2742" s="8">
        <v>44646</v>
      </c>
      <c r="H2742" s="80" t="s">
        <v>57</v>
      </c>
      <c r="I2742" s="79" t="s">
        <v>7</v>
      </c>
      <c r="J2742" s="81">
        <v>120</v>
      </c>
      <c r="K2742" t="s">
        <v>47</v>
      </c>
    </row>
    <row r="2743" spans="2:11" x14ac:dyDescent="0.25">
      <c r="B2743" s="2">
        <v>17</v>
      </c>
      <c r="C2743" s="4">
        <v>22357.310999999998</v>
      </c>
      <c r="D2743" s="4">
        <v>10248.591</v>
      </c>
      <c r="E2743" s="79">
        <v>0</v>
      </c>
      <c r="F2743" s="79">
        <f>SUM(BASE_DATOS[[#This Row],[Capital($)]:[Interés
Resarcitorio($)]])</f>
        <v>32605.901999999998</v>
      </c>
      <c r="G2743" s="8">
        <v>44667</v>
      </c>
      <c r="H2743" s="80" t="s">
        <v>57</v>
      </c>
      <c r="I2743" s="79" t="s">
        <v>9</v>
      </c>
      <c r="J2743" s="81">
        <v>120</v>
      </c>
      <c r="K2743" t="s">
        <v>47</v>
      </c>
    </row>
    <row r="2744" spans="2:11" x14ac:dyDescent="0.25">
      <c r="B2744" s="2">
        <v>17</v>
      </c>
      <c r="C2744" s="4">
        <v>22357.310999999998</v>
      </c>
      <c r="D2744" s="4">
        <v>10248.591</v>
      </c>
      <c r="E2744" s="79">
        <v>4043.14</v>
      </c>
      <c r="F2744" s="79">
        <f>SUM(BASE_DATOS[[#This Row],[Capital($)]:[Interés
Resarcitorio($)]])</f>
        <v>36649.042000000001</v>
      </c>
      <c r="G2744" s="8">
        <v>44677</v>
      </c>
      <c r="H2744" s="80" t="s">
        <v>57</v>
      </c>
      <c r="I2744" s="79" t="s">
        <v>7</v>
      </c>
      <c r="J2744" s="81">
        <v>120</v>
      </c>
      <c r="K2744" t="s">
        <v>47</v>
      </c>
    </row>
    <row r="2745" spans="2:11" x14ac:dyDescent="0.25">
      <c r="B2745" s="2">
        <v>18</v>
      </c>
      <c r="C2745" s="4">
        <v>22357.310999999998</v>
      </c>
      <c r="D2745" s="4">
        <v>10883.539000000001</v>
      </c>
      <c r="E2745" s="79">
        <v>0</v>
      </c>
      <c r="F2745" s="79">
        <f>SUM(BASE_DATOS[[#This Row],[Capital($)]:[Interés
Resarcitorio($)]])</f>
        <v>33240.85</v>
      </c>
      <c r="G2745" s="8">
        <v>44697</v>
      </c>
      <c r="H2745" s="80" t="s">
        <v>57</v>
      </c>
      <c r="I2745" s="79" t="s">
        <v>9</v>
      </c>
      <c r="J2745" s="81">
        <v>120</v>
      </c>
      <c r="K2745" t="s">
        <v>47</v>
      </c>
    </row>
    <row r="2746" spans="2:11" x14ac:dyDescent="0.25">
      <c r="B2746" s="2">
        <v>18</v>
      </c>
      <c r="C2746" s="4">
        <v>22357.310999999998</v>
      </c>
      <c r="D2746" s="4">
        <v>10883.539000000001</v>
      </c>
      <c r="E2746" s="79">
        <v>4121.87</v>
      </c>
      <c r="F2746" s="79">
        <f>SUM(BASE_DATOS[[#This Row],[Capital($)]:[Interés
Resarcitorio($)]])</f>
        <v>37362.720000000001</v>
      </c>
      <c r="G2746" s="8">
        <v>44707</v>
      </c>
      <c r="H2746" s="80" t="s">
        <v>57</v>
      </c>
      <c r="I2746" s="79" t="s">
        <v>7</v>
      </c>
      <c r="J2746" s="81">
        <v>120</v>
      </c>
      <c r="K2746" t="s">
        <v>47</v>
      </c>
    </row>
    <row r="2747" spans="2:11" x14ac:dyDescent="0.25">
      <c r="B2747" s="2">
        <v>19</v>
      </c>
      <c r="C2747" s="4">
        <v>22357.310999999998</v>
      </c>
      <c r="D2747" s="4">
        <v>11746.530999999999</v>
      </c>
      <c r="E2747" s="79">
        <v>0</v>
      </c>
      <c r="F2747" s="79">
        <f>SUM(BASE_DATOS[[#This Row],[Capital($)]:[Interés
Resarcitorio($)]])</f>
        <v>34103.841999999997</v>
      </c>
      <c r="G2747" s="8">
        <v>44728</v>
      </c>
      <c r="H2747" s="80" t="s">
        <v>57</v>
      </c>
      <c r="I2747" s="79" t="s">
        <v>9</v>
      </c>
      <c r="J2747" s="81">
        <v>120</v>
      </c>
      <c r="K2747" t="s">
        <v>47</v>
      </c>
    </row>
    <row r="2748" spans="2:11" x14ac:dyDescent="0.25">
      <c r="B2748" s="2">
        <v>19</v>
      </c>
      <c r="C2748" s="4">
        <v>22357.310999999998</v>
      </c>
      <c r="D2748" s="4">
        <v>11746.530999999999</v>
      </c>
      <c r="E2748" s="79">
        <v>4228.87</v>
      </c>
      <c r="F2748" s="79">
        <f>SUM(BASE_DATOS[[#This Row],[Capital($)]:[Interés
Resarcitorio($)]])</f>
        <v>38332.712</v>
      </c>
      <c r="G2748" s="8">
        <v>44738</v>
      </c>
      <c r="H2748" s="80" t="s">
        <v>57</v>
      </c>
      <c r="I2748" s="79" t="s">
        <v>7</v>
      </c>
      <c r="J2748" s="81">
        <v>120</v>
      </c>
      <c r="K2748" t="s">
        <v>47</v>
      </c>
    </row>
    <row r="2749" spans="2:11" x14ac:dyDescent="0.25">
      <c r="B2749" s="2">
        <v>20</v>
      </c>
      <c r="C2749" s="4">
        <v>22357.310999999998</v>
      </c>
      <c r="D2749" s="4">
        <v>12609.522999999999</v>
      </c>
      <c r="E2749" s="79">
        <v>0</v>
      </c>
      <c r="F2749" s="79">
        <f>SUM(BASE_DATOS[[#This Row],[Capital($)]:[Interés
Resarcitorio($)]])</f>
        <v>34966.833999999995</v>
      </c>
      <c r="G2749" s="8">
        <v>44758</v>
      </c>
      <c r="H2749" s="80" t="s">
        <v>57</v>
      </c>
      <c r="I2749" s="79" t="s">
        <v>9</v>
      </c>
      <c r="J2749" s="81">
        <v>120</v>
      </c>
      <c r="K2749" t="s">
        <v>47</v>
      </c>
    </row>
    <row r="2750" spans="2:11" x14ac:dyDescent="0.25">
      <c r="B2750" s="2">
        <v>20</v>
      </c>
      <c r="C2750" s="4">
        <v>22357.310999999998</v>
      </c>
      <c r="D2750" s="4">
        <v>12609.522999999999</v>
      </c>
      <c r="E2750" s="79">
        <v>4953.6400000000003</v>
      </c>
      <c r="F2750" s="79">
        <f>SUM(BASE_DATOS[[#This Row],[Capital($)]:[Interés
Resarcitorio($)]])</f>
        <v>39920.473999999995</v>
      </c>
      <c r="G2750" s="8">
        <v>44768</v>
      </c>
      <c r="H2750" s="80" t="s">
        <v>57</v>
      </c>
      <c r="I2750" s="79" t="s">
        <v>7</v>
      </c>
      <c r="J2750" s="81">
        <v>120</v>
      </c>
      <c r="K2750" t="s">
        <v>47</v>
      </c>
    </row>
    <row r="2751" spans="2:11" x14ac:dyDescent="0.25">
      <c r="B2751" s="2">
        <v>21</v>
      </c>
      <c r="C2751" s="4">
        <v>22357.310999999998</v>
      </c>
      <c r="D2751" s="4">
        <v>13472.516</v>
      </c>
      <c r="E2751" s="79">
        <v>0</v>
      </c>
      <c r="F2751" s="79">
        <f>SUM(BASE_DATOS[[#This Row],[Capital($)]:[Interés
Resarcitorio($)]])</f>
        <v>35829.826999999997</v>
      </c>
      <c r="G2751" s="8">
        <v>44789</v>
      </c>
      <c r="H2751" s="80" t="s">
        <v>57</v>
      </c>
      <c r="I2751" s="79" t="s">
        <v>9</v>
      </c>
      <c r="J2751" s="81">
        <v>120</v>
      </c>
      <c r="K2751" t="s">
        <v>47</v>
      </c>
    </row>
    <row r="2752" spans="2:11" x14ac:dyDescent="0.25">
      <c r="B2752" s="2">
        <v>21</v>
      </c>
      <c r="C2752" s="4">
        <v>22357.310999999998</v>
      </c>
      <c r="D2752" s="4">
        <v>13472.516</v>
      </c>
      <c r="E2752" s="79">
        <v>5075.8900000000003</v>
      </c>
      <c r="F2752" s="79">
        <f>SUM(BASE_DATOS[[#This Row],[Capital($)]:[Interés
Resarcitorio($)]])</f>
        <v>40905.716999999997</v>
      </c>
      <c r="G2752" s="8">
        <v>44799</v>
      </c>
      <c r="H2752" s="80" t="s">
        <v>57</v>
      </c>
      <c r="I2752" s="79" t="s">
        <v>7</v>
      </c>
      <c r="J2752" s="81">
        <v>120</v>
      </c>
      <c r="K2752" t="s">
        <v>47</v>
      </c>
    </row>
    <row r="2753" spans="2:11" x14ac:dyDescent="0.25">
      <c r="B2753" s="2">
        <v>22</v>
      </c>
      <c r="C2753" s="4">
        <v>22357.310999999998</v>
      </c>
      <c r="D2753" s="4">
        <v>14335.507000000001</v>
      </c>
      <c r="E2753" s="79">
        <v>0</v>
      </c>
      <c r="F2753" s="79">
        <f>SUM(BASE_DATOS[[#This Row],[Capital($)]:[Interés
Resarcitorio($)]])</f>
        <v>36692.817999999999</v>
      </c>
      <c r="G2753" s="8">
        <v>44820</v>
      </c>
      <c r="H2753" s="80" t="s">
        <v>57</v>
      </c>
      <c r="I2753" s="79" t="s">
        <v>9</v>
      </c>
      <c r="J2753" s="81">
        <v>120</v>
      </c>
      <c r="K2753" t="s">
        <v>47</v>
      </c>
    </row>
    <row r="2754" spans="2:11" x14ac:dyDescent="0.25">
      <c r="B2754" s="2">
        <v>22</v>
      </c>
      <c r="C2754" s="4">
        <v>22357.310999999998</v>
      </c>
      <c r="D2754" s="4">
        <v>14335.507000000001</v>
      </c>
      <c r="E2754" s="79">
        <v>7228.48</v>
      </c>
      <c r="F2754" s="79">
        <f>SUM(BASE_DATOS[[#This Row],[Capital($)]:[Interés
Resarcitorio($)]])</f>
        <v>43921.297999999995</v>
      </c>
      <c r="G2754" s="8">
        <v>44830</v>
      </c>
      <c r="H2754" s="80" t="s">
        <v>57</v>
      </c>
      <c r="I2754" s="79" t="s">
        <v>7</v>
      </c>
      <c r="J2754" s="81">
        <v>120</v>
      </c>
      <c r="K2754" t="s">
        <v>47</v>
      </c>
    </row>
    <row r="2755" spans="2:11" x14ac:dyDescent="0.25">
      <c r="B2755" s="2">
        <v>23</v>
      </c>
      <c r="C2755" s="4">
        <v>22357.310999999998</v>
      </c>
      <c r="D2755" s="4">
        <v>15198.5</v>
      </c>
      <c r="E2755" s="79">
        <v>0</v>
      </c>
      <c r="F2755" s="79">
        <f>SUM(BASE_DATOS[[#This Row],[Capital($)]:[Interés
Resarcitorio($)]])</f>
        <v>37555.811000000002</v>
      </c>
      <c r="G2755" s="8">
        <v>44850</v>
      </c>
      <c r="H2755" s="80" t="s">
        <v>57</v>
      </c>
      <c r="I2755" s="79" t="s">
        <v>9</v>
      </c>
      <c r="J2755" s="81">
        <v>120</v>
      </c>
      <c r="K2755" t="s">
        <v>47</v>
      </c>
    </row>
    <row r="2756" spans="2:11" x14ac:dyDescent="0.25">
      <c r="B2756" s="2">
        <v>23</v>
      </c>
      <c r="C2756" s="4">
        <v>22357.310999999998</v>
      </c>
      <c r="D2756" s="4">
        <v>15198.5</v>
      </c>
      <c r="E2756" s="79">
        <v>7398.49</v>
      </c>
      <c r="F2756" s="79">
        <f>SUM(BASE_DATOS[[#This Row],[Capital($)]:[Interés
Resarcitorio($)]])</f>
        <v>44954.300999999999</v>
      </c>
      <c r="G2756" s="8">
        <v>44860</v>
      </c>
      <c r="H2756" s="80" t="s">
        <v>57</v>
      </c>
      <c r="I2756" s="79" t="s">
        <v>7</v>
      </c>
      <c r="J2756" s="81">
        <v>120</v>
      </c>
      <c r="K2756" t="s">
        <v>47</v>
      </c>
    </row>
    <row r="2757" spans="2:11" x14ac:dyDescent="0.25">
      <c r="B2757" s="2">
        <v>24</v>
      </c>
      <c r="C2757" s="4">
        <v>22357.310999999998</v>
      </c>
      <c r="D2757" s="4">
        <v>16061.492999999999</v>
      </c>
      <c r="E2757" s="79">
        <v>0</v>
      </c>
      <c r="F2757" s="79">
        <f>SUM(BASE_DATOS[[#This Row],[Capital($)]:[Interés
Resarcitorio($)]])</f>
        <v>38418.803999999996</v>
      </c>
      <c r="G2757" s="8">
        <v>44881</v>
      </c>
      <c r="H2757" s="80" t="s">
        <v>57</v>
      </c>
      <c r="I2757" s="79" t="s">
        <v>9</v>
      </c>
      <c r="J2757" s="81">
        <v>120</v>
      </c>
      <c r="K2757" t="s">
        <v>47</v>
      </c>
    </row>
    <row r="2758" spans="2:11" x14ac:dyDescent="0.25">
      <c r="B2758" s="2">
        <v>24</v>
      </c>
      <c r="C2758" s="4">
        <v>22357.310999999998</v>
      </c>
      <c r="D2758" s="4">
        <v>16061.492999999999</v>
      </c>
      <c r="E2758" s="79">
        <v>7568.51</v>
      </c>
      <c r="F2758" s="79">
        <f>SUM(BASE_DATOS[[#This Row],[Capital($)]:[Interés
Resarcitorio($)]])</f>
        <v>45987.313999999998</v>
      </c>
      <c r="G2758" s="8">
        <v>44891</v>
      </c>
      <c r="H2758" s="80" t="s">
        <v>57</v>
      </c>
      <c r="I2758" s="79" t="s">
        <v>7</v>
      </c>
      <c r="J2758" s="81">
        <v>120</v>
      </c>
      <c r="K2758" t="s">
        <v>47</v>
      </c>
    </row>
    <row r="2759" spans="2:11" x14ac:dyDescent="0.25">
      <c r="B2759" s="2">
        <v>25</v>
      </c>
      <c r="C2759" s="4">
        <v>22357.310999999998</v>
      </c>
      <c r="D2759" s="4">
        <v>17338.094000000001</v>
      </c>
      <c r="E2759" s="79">
        <v>0</v>
      </c>
      <c r="F2759" s="79">
        <f>SUM(BASE_DATOS[[#This Row],[Capital($)]:[Interés
Resarcitorio($)]])</f>
        <v>39695.404999999999</v>
      </c>
      <c r="G2759" s="8">
        <v>44911</v>
      </c>
      <c r="H2759" s="80" t="s">
        <v>57</v>
      </c>
      <c r="I2759" s="79" t="s">
        <v>9</v>
      </c>
      <c r="J2759" s="81">
        <v>120</v>
      </c>
      <c r="K2759" t="s">
        <v>47</v>
      </c>
    </row>
    <row r="2760" spans="2:11" x14ac:dyDescent="0.25">
      <c r="B2760" s="2">
        <v>25</v>
      </c>
      <c r="C2760" s="4">
        <v>22357.310999999998</v>
      </c>
      <c r="D2760" s="4">
        <v>17338.094000000001</v>
      </c>
      <c r="E2760" s="79">
        <v>7819.99</v>
      </c>
      <c r="F2760" s="79">
        <f>SUM(BASE_DATOS[[#This Row],[Capital($)]:[Interés
Resarcitorio($)]])</f>
        <v>47515.394999999997</v>
      </c>
      <c r="G2760" s="8">
        <v>44921</v>
      </c>
      <c r="H2760" s="80" t="s">
        <v>57</v>
      </c>
      <c r="I2760" s="79" t="s">
        <v>7</v>
      </c>
      <c r="J2760" s="81">
        <v>120</v>
      </c>
      <c r="K2760" t="s">
        <v>47</v>
      </c>
    </row>
    <row r="2761" spans="2:11" x14ac:dyDescent="0.25">
      <c r="B2761" s="2">
        <v>26</v>
      </c>
      <c r="C2761" s="4">
        <v>22357.310999999998</v>
      </c>
      <c r="D2761" s="4">
        <v>18614.697</v>
      </c>
      <c r="E2761" s="79">
        <v>0</v>
      </c>
      <c r="F2761" s="79">
        <f>SUM(BASE_DATOS[[#This Row],[Capital($)]:[Interés
Resarcitorio($)]])</f>
        <v>40972.008000000002</v>
      </c>
      <c r="G2761" s="8">
        <v>44942</v>
      </c>
      <c r="H2761" s="80" t="s">
        <v>57</v>
      </c>
      <c r="I2761" s="79" t="s">
        <v>9</v>
      </c>
      <c r="J2761" s="81">
        <v>120</v>
      </c>
      <c r="K2761" t="s">
        <v>47</v>
      </c>
    </row>
    <row r="2762" spans="2:11" x14ac:dyDescent="0.25">
      <c r="B2762" s="2">
        <v>26</v>
      </c>
      <c r="C2762" s="4">
        <v>22357.310999999998</v>
      </c>
      <c r="D2762" s="4">
        <v>18614.697</v>
      </c>
      <c r="E2762" s="79">
        <v>8071.48</v>
      </c>
      <c r="F2762" s="79">
        <f>SUM(BASE_DATOS[[#This Row],[Capital($)]:[Interés
Resarcitorio($)]])</f>
        <v>49043.487999999998</v>
      </c>
      <c r="G2762" s="8">
        <v>44952</v>
      </c>
      <c r="H2762" s="80" t="s">
        <v>57</v>
      </c>
      <c r="I2762" s="79" t="s">
        <v>7</v>
      </c>
      <c r="J2762" s="81">
        <v>120</v>
      </c>
      <c r="K2762" t="s">
        <v>47</v>
      </c>
    </row>
    <row r="2763" spans="2:11" x14ac:dyDescent="0.25">
      <c r="B2763" s="2">
        <v>27</v>
      </c>
      <c r="C2763" s="4">
        <v>22357.310999999998</v>
      </c>
      <c r="D2763" s="4">
        <v>19891.3</v>
      </c>
      <c r="E2763" s="79">
        <v>0</v>
      </c>
      <c r="F2763" s="79">
        <f>SUM(BASE_DATOS[[#This Row],[Capital($)]:[Interés
Resarcitorio($)]])</f>
        <v>42248.610999999997</v>
      </c>
      <c r="G2763" s="8">
        <v>44973</v>
      </c>
      <c r="H2763" s="80" t="s">
        <v>57</v>
      </c>
      <c r="I2763" s="79" t="s">
        <v>9</v>
      </c>
      <c r="J2763" s="81">
        <v>120</v>
      </c>
      <c r="K2763" t="s">
        <v>47</v>
      </c>
    </row>
    <row r="2764" spans="2:11" x14ac:dyDescent="0.25">
      <c r="B2764" s="2">
        <v>27</v>
      </c>
      <c r="C2764" s="4">
        <v>22357.310999999998</v>
      </c>
      <c r="D2764" s="4">
        <v>19891.3</v>
      </c>
      <c r="E2764" s="79">
        <v>8322.98</v>
      </c>
      <c r="F2764" s="79">
        <f>SUM(BASE_DATOS[[#This Row],[Capital($)]:[Interés
Resarcitorio($)]])</f>
        <v>50571.591</v>
      </c>
      <c r="G2764" s="8">
        <v>44983</v>
      </c>
      <c r="H2764" s="80" t="s">
        <v>57</v>
      </c>
      <c r="I2764" s="79" t="s">
        <v>7</v>
      </c>
      <c r="J2764" s="81">
        <v>120</v>
      </c>
      <c r="K2764" t="s">
        <v>47</v>
      </c>
    </row>
    <row r="2765" spans="2:11" x14ac:dyDescent="0.25">
      <c r="B2765" s="2">
        <v>28</v>
      </c>
      <c r="C2765" s="4">
        <v>22357.310999999998</v>
      </c>
      <c r="D2765" s="4">
        <v>21167.902999999998</v>
      </c>
      <c r="E2765" s="79">
        <v>0</v>
      </c>
      <c r="F2765" s="79">
        <f>SUM(BASE_DATOS[[#This Row],[Capital($)]:[Interés
Resarcitorio($)]])</f>
        <v>43525.213999999993</v>
      </c>
      <c r="G2765" s="8">
        <v>45001</v>
      </c>
      <c r="H2765" s="80" t="s">
        <v>57</v>
      </c>
      <c r="I2765" s="79" t="s">
        <v>9</v>
      </c>
      <c r="J2765" s="81">
        <v>120</v>
      </c>
      <c r="K2765" t="s">
        <v>47</v>
      </c>
    </row>
    <row r="2766" spans="2:11" x14ac:dyDescent="0.25">
      <c r="B2766" s="2">
        <v>28</v>
      </c>
      <c r="C2766" s="4">
        <v>22357.310999999998</v>
      </c>
      <c r="D2766" s="4">
        <v>21167.902999999998</v>
      </c>
      <c r="E2766" s="79">
        <v>8574.4699999999993</v>
      </c>
      <c r="F2766" s="79">
        <f>SUM(BASE_DATOS[[#This Row],[Capital($)]:[Interés
Resarcitorio($)]])</f>
        <v>52099.683999999994</v>
      </c>
      <c r="G2766" s="8">
        <v>45011</v>
      </c>
      <c r="H2766" s="80" t="s">
        <v>57</v>
      </c>
      <c r="I2766" s="79" t="s">
        <v>7</v>
      </c>
      <c r="J2766" s="81">
        <v>120</v>
      </c>
      <c r="K2766" t="s">
        <v>47</v>
      </c>
    </row>
    <row r="2767" spans="2:11" x14ac:dyDescent="0.25">
      <c r="B2767" s="2">
        <v>29</v>
      </c>
      <c r="C2767" s="4">
        <v>22357.310999999998</v>
      </c>
      <c r="D2767" s="4">
        <v>22444.504000000001</v>
      </c>
      <c r="E2767" s="79">
        <v>0</v>
      </c>
      <c r="F2767" s="79">
        <f>SUM(BASE_DATOS[[#This Row],[Capital($)]:[Interés
Resarcitorio($)]])</f>
        <v>44801.815000000002</v>
      </c>
      <c r="G2767" s="8">
        <v>45032</v>
      </c>
      <c r="H2767" s="80" t="s">
        <v>57</v>
      </c>
      <c r="I2767" s="79" t="s">
        <v>9</v>
      </c>
      <c r="J2767" s="81">
        <v>120</v>
      </c>
      <c r="K2767" t="s">
        <v>47</v>
      </c>
    </row>
    <row r="2768" spans="2:11" x14ac:dyDescent="0.25">
      <c r="B2768" s="2">
        <v>29</v>
      </c>
      <c r="C2768" s="4">
        <v>22357.310999999998</v>
      </c>
      <c r="D2768" s="4">
        <v>22444.504000000001</v>
      </c>
      <c r="E2768" s="79">
        <v>8825.9599999999991</v>
      </c>
      <c r="F2768" s="79">
        <f>SUM(BASE_DATOS[[#This Row],[Capital($)]:[Interés
Resarcitorio($)]])</f>
        <v>53627.775000000001</v>
      </c>
      <c r="G2768" s="8">
        <v>45042</v>
      </c>
      <c r="H2768" s="80" t="s">
        <v>57</v>
      </c>
      <c r="I2768" s="79" t="s">
        <v>7</v>
      </c>
      <c r="J2768" s="81">
        <v>120</v>
      </c>
      <c r="K2768" t="s">
        <v>47</v>
      </c>
    </row>
    <row r="2769" spans="2:11" x14ac:dyDescent="0.25">
      <c r="B2769" s="2">
        <v>30</v>
      </c>
      <c r="C2769" s="4">
        <v>22357.310999999998</v>
      </c>
      <c r="D2769" s="4">
        <v>23721.107</v>
      </c>
      <c r="E2769" s="79">
        <v>0</v>
      </c>
      <c r="F2769" s="79">
        <f>SUM(BASE_DATOS[[#This Row],[Capital($)]:[Interés
Resarcitorio($)]])</f>
        <v>46078.417999999998</v>
      </c>
      <c r="G2769" s="8">
        <v>45062</v>
      </c>
      <c r="H2769" s="80" t="s">
        <v>57</v>
      </c>
      <c r="I2769" s="79" t="s">
        <v>9</v>
      </c>
      <c r="J2769" s="81">
        <v>120</v>
      </c>
      <c r="K2769" t="s">
        <v>47</v>
      </c>
    </row>
    <row r="2770" spans="2:11" x14ac:dyDescent="0.25">
      <c r="B2770" s="2">
        <v>30</v>
      </c>
      <c r="C2770" s="4">
        <v>22357.310999999998</v>
      </c>
      <c r="D2770" s="4">
        <v>23721.107</v>
      </c>
      <c r="E2770" s="79">
        <v>9077.4500000000007</v>
      </c>
      <c r="F2770" s="79">
        <f>SUM(BASE_DATOS[[#This Row],[Capital($)]:[Interés
Resarcitorio($)]])</f>
        <v>55155.868000000002</v>
      </c>
      <c r="G2770" s="8">
        <v>45072</v>
      </c>
      <c r="H2770" s="80" t="s">
        <v>57</v>
      </c>
      <c r="I2770" s="79" t="s">
        <v>7</v>
      </c>
      <c r="J2770" s="81">
        <v>120</v>
      </c>
      <c r="K2770" t="s">
        <v>47</v>
      </c>
    </row>
    <row r="2771" spans="2:11" x14ac:dyDescent="0.25">
      <c r="B2771" s="2">
        <v>31</v>
      </c>
      <c r="C2771" s="4">
        <v>22357.310999999998</v>
      </c>
      <c r="D2771" s="4">
        <v>25438.148999999998</v>
      </c>
      <c r="E2771" s="79">
        <v>0</v>
      </c>
      <c r="F2771" s="79">
        <f>SUM(BASE_DATOS[[#This Row],[Capital($)]:[Interés
Resarcitorio($)]])</f>
        <v>47795.459999999992</v>
      </c>
      <c r="G2771" s="8">
        <v>45093</v>
      </c>
      <c r="H2771" s="80" t="s">
        <v>57</v>
      </c>
      <c r="I2771" s="79" t="s">
        <v>9</v>
      </c>
      <c r="J2771" s="81">
        <v>120</v>
      </c>
      <c r="K2771" t="s">
        <v>47</v>
      </c>
    </row>
    <row r="2772" spans="2:11" x14ac:dyDescent="0.25">
      <c r="B2772" s="2">
        <v>31</v>
      </c>
      <c r="C2772" s="4">
        <v>22357.310999999998</v>
      </c>
      <c r="D2772" s="4">
        <v>25438.148999999998</v>
      </c>
      <c r="E2772" s="79">
        <v>9415.7000000000007</v>
      </c>
      <c r="F2772" s="79">
        <f>SUM(BASE_DATOS[[#This Row],[Capital($)]:[Interés
Resarcitorio($)]])</f>
        <v>57211.159999999989</v>
      </c>
      <c r="G2772" s="8">
        <v>45103</v>
      </c>
      <c r="H2772" s="80" t="s">
        <v>57</v>
      </c>
      <c r="I2772" s="79" t="s">
        <v>7</v>
      </c>
      <c r="J2772" s="81">
        <v>120</v>
      </c>
      <c r="K2772" t="s">
        <v>47</v>
      </c>
    </row>
    <row r="2773" spans="2:11" x14ac:dyDescent="0.25">
      <c r="B2773" s="2">
        <v>32</v>
      </c>
      <c r="C2773" s="4">
        <v>22357.310999999998</v>
      </c>
      <c r="D2773" s="4">
        <v>27155.190000000002</v>
      </c>
      <c r="E2773" s="79">
        <v>0</v>
      </c>
      <c r="F2773" s="79">
        <f>SUM(BASE_DATOS[[#This Row],[Capital($)]:[Interés
Resarcitorio($)]])</f>
        <v>49512.501000000004</v>
      </c>
      <c r="G2773" s="8">
        <v>45123</v>
      </c>
      <c r="H2773" s="80" t="s">
        <v>57</v>
      </c>
      <c r="I2773" s="79" t="s">
        <v>9</v>
      </c>
      <c r="J2773" s="81">
        <v>120</v>
      </c>
      <c r="K2773" t="s">
        <v>47</v>
      </c>
    </row>
    <row r="2774" spans="2:11" x14ac:dyDescent="0.25">
      <c r="B2774" s="2">
        <v>32</v>
      </c>
      <c r="C2774" s="4">
        <v>22357.310999999998</v>
      </c>
      <c r="D2774" s="4">
        <v>27155.190000000002</v>
      </c>
      <c r="E2774" s="79">
        <v>9753.9599999999991</v>
      </c>
      <c r="F2774" s="79">
        <f>SUM(BASE_DATOS[[#This Row],[Capital($)]:[Interés
Resarcitorio($)]])</f>
        <v>59266.461000000003</v>
      </c>
      <c r="G2774" s="8">
        <v>45133</v>
      </c>
      <c r="H2774" s="80" t="s">
        <v>57</v>
      </c>
      <c r="I2774" s="79" t="s">
        <v>7</v>
      </c>
      <c r="J2774" s="81">
        <v>120</v>
      </c>
      <c r="K2774" t="s">
        <v>47</v>
      </c>
    </row>
    <row r="2775" spans="2:11" x14ac:dyDescent="0.25">
      <c r="B2775" s="2">
        <v>33</v>
      </c>
      <c r="C2775" s="4">
        <v>22357.310999999998</v>
      </c>
      <c r="D2775" s="4">
        <v>28872.231</v>
      </c>
      <c r="E2775" s="79">
        <v>0</v>
      </c>
      <c r="F2775" s="79">
        <f>SUM(BASE_DATOS[[#This Row],[Capital($)]:[Interés
Resarcitorio($)]])</f>
        <v>51229.542000000001</v>
      </c>
      <c r="G2775" s="8">
        <v>45154</v>
      </c>
      <c r="H2775" s="80" t="s">
        <v>57</v>
      </c>
      <c r="I2775" s="79" t="s">
        <v>9</v>
      </c>
      <c r="J2775" s="81">
        <v>120</v>
      </c>
      <c r="K2775" t="s">
        <v>47</v>
      </c>
    </row>
    <row r="2776" spans="2:11" x14ac:dyDescent="0.25">
      <c r="B2776" s="2">
        <v>33</v>
      </c>
      <c r="C2776" s="4">
        <v>22357.310999999998</v>
      </c>
      <c r="D2776" s="4">
        <v>28872.231</v>
      </c>
      <c r="E2776" s="79">
        <v>10092.219999999999</v>
      </c>
      <c r="F2776" s="79">
        <f>SUM(BASE_DATOS[[#This Row],[Capital($)]:[Interés
Resarcitorio($)]])</f>
        <v>61321.762000000002</v>
      </c>
      <c r="G2776" s="8">
        <v>45164</v>
      </c>
      <c r="H2776" s="80" t="s">
        <v>57</v>
      </c>
      <c r="I2776" s="79" t="s">
        <v>7</v>
      </c>
      <c r="J2776" s="81">
        <v>120</v>
      </c>
      <c r="K2776" t="s">
        <v>47</v>
      </c>
    </row>
    <row r="2777" spans="2:11" x14ac:dyDescent="0.25">
      <c r="B2777" s="2">
        <v>34</v>
      </c>
      <c r="C2777" s="4">
        <v>22357.310999999998</v>
      </c>
      <c r="D2777" s="4">
        <v>30589.272999999997</v>
      </c>
      <c r="E2777" s="79">
        <v>0</v>
      </c>
      <c r="F2777" s="79">
        <f>SUM(BASE_DATOS[[#This Row],[Capital($)]:[Interés
Resarcitorio($)]])</f>
        <v>52946.583999999995</v>
      </c>
      <c r="G2777" s="8">
        <v>45185</v>
      </c>
      <c r="H2777" s="80" t="s">
        <v>57</v>
      </c>
      <c r="I2777" s="79" t="s">
        <v>9</v>
      </c>
      <c r="J2777" s="81">
        <v>120</v>
      </c>
      <c r="K2777" t="s">
        <v>47</v>
      </c>
    </row>
    <row r="2778" spans="2:11" x14ac:dyDescent="0.25">
      <c r="B2778" s="2">
        <v>34</v>
      </c>
      <c r="C2778" s="4">
        <v>22357.310999999998</v>
      </c>
      <c r="D2778" s="4">
        <v>30589.272999999997</v>
      </c>
      <c r="E2778" s="79">
        <v>10430.48</v>
      </c>
      <c r="F2778" s="79">
        <f>SUM(BASE_DATOS[[#This Row],[Capital($)]:[Interés
Resarcitorio($)]])</f>
        <v>63377.063999999998</v>
      </c>
      <c r="G2778" s="8">
        <v>45195</v>
      </c>
      <c r="H2778" s="80" t="s">
        <v>57</v>
      </c>
      <c r="I2778" s="79" t="s">
        <v>7</v>
      </c>
      <c r="J2778" s="81">
        <v>120</v>
      </c>
      <c r="K2778" t="s">
        <v>47</v>
      </c>
    </row>
    <row r="2779" spans="2:11" x14ac:dyDescent="0.25">
      <c r="B2779" s="2">
        <v>35</v>
      </c>
      <c r="C2779" s="4">
        <v>22357.310999999998</v>
      </c>
      <c r="D2779" s="4">
        <v>32306.315000000002</v>
      </c>
      <c r="E2779" s="79">
        <v>0</v>
      </c>
      <c r="F2779" s="79">
        <f>SUM(BASE_DATOS[[#This Row],[Capital($)]:[Interés
Resarcitorio($)]])</f>
        <v>54663.626000000004</v>
      </c>
      <c r="G2779" s="8">
        <v>45215</v>
      </c>
      <c r="H2779" s="80" t="s">
        <v>57</v>
      </c>
      <c r="I2779" s="79" t="s">
        <v>9</v>
      </c>
      <c r="J2779" s="81">
        <v>120</v>
      </c>
      <c r="K2779" t="s">
        <v>47</v>
      </c>
    </row>
    <row r="2780" spans="2:11" x14ac:dyDescent="0.25">
      <c r="B2780" s="2">
        <v>35</v>
      </c>
      <c r="C2780" s="4">
        <v>22357.310999999998</v>
      </c>
      <c r="D2780" s="4">
        <v>32306.315000000002</v>
      </c>
      <c r="E2780" s="79">
        <v>10768.74</v>
      </c>
      <c r="F2780" s="79">
        <f>SUM(BASE_DATOS[[#This Row],[Capital($)]:[Interés
Resarcitorio($)]])</f>
        <v>65432.366000000002</v>
      </c>
      <c r="G2780" s="8">
        <v>45225</v>
      </c>
      <c r="H2780" s="80" t="s">
        <v>57</v>
      </c>
      <c r="I2780" s="79" t="s">
        <v>7</v>
      </c>
      <c r="J2780" s="81">
        <v>120</v>
      </c>
      <c r="K2780" t="s">
        <v>47</v>
      </c>
    </row>
    <row r="2781" spans="2:11" x14ac:dyDescent="0.25">
      <c r="B2781" s="2">
        <v>36</v>
      </c>
      <c r="C2781" s="4">
        <v>22357.310999999998</v>
      </c>
      <c r="D2781" s="4">
        <v>34023.356</v>
      </c>
      <c r="E2781" s="79">
        <v>0</v>
      </c>
      <c r="F2781" s="79">
        <f>SUM(BASE_DATOS[[#This Row],[Capital($)]:[Interés
Resarcitorio($)]])</f>
        <v>56380.667000000001</v>
      </c>
      <c r="G2781" s="8">
        <v>45246</v>
      </c>
      <c r="H2781" s="80" t="s">
        <v>57</v>
      </c>
      <c r="I2781" s="79" t="s">
        <v>9</v>
      </c>
      <c r="J2781" s="81">
        <v>120</v>
      </c>
      <c r="K2781" t="s">
        <v>47</v>
      </c>
    </row>
    <row r="2782" spans="2:11" x14ac:dyDescent="0.25">
      <c r="B2782" s="2">
        <v>36</v>
      </c>
      <c r="C2782" s="4">
        <v>22357.310999999998</v>
      </c>
      <c r="D2782" s="4">
        <v>34023.356</v>
      </c>
      <c r="E2782" s="79">
        <v>11106.99</v>
      </c>
      <c r="F2782" s="79">
        <f>SUM(BASE_DATOS[[#This Row],[Capital($)]:[Interés
Resarcitorio($)]])</f>
        <v>67487.657000000007</v>
      </c>
      <c r="G2782" s="8">
        <v>45256</v>
      </c>
      <c r="H2782" s="80" t="s">
        <v>57</v>
      </c>
      <c r="I2782" s="79" t="s">
        <v>7</v>
      </c>
      <c r="J2782" s="81">
        <v>120</v>
      </c>
      <c r="K2782" t="s">
        <v>47</v>
      </c>
    </row>
    <row r="2783" spans="2:11" x14ac:dyDescent="0.25">
      <c r="B2783" s="2">
        <v>37</v>
      </c>
      <c r="C2783" s="4">
        <v>22357.310999999998</v>
      </c>
      <c r="D2783" s="4">
        <v>36431.239000000001</v>
      </c>
      <c r="E2783" s="79">
        <v>0</v>
      </c>
      <c r="F2783" s="79">
        <f>SUM(BASE_DATOS[[#This Row],[Capital($)]:[Interés
Resarcitorio($)]])</f>
        <v>58788.55</v>
      </c>
      <c r="G2783" s="8">
        <v>45276</v>
      </c>
      <c r="H2783" s="80" t="s">
        <v>57</v>
      </c>
      <c r="I2783" s="79" t="s">
        <v>9</v>
      </c>
      <c r="J2783" s="81">
        <v>120</v>
      </c>
      <c r="K2783" t="s">
        <v>47</v>
      </c>
    </row>
    <row r="2784" spans="2:11" x14ac:dyDescent="0.25">
      <c r="B2784" s="2">
        <v>37</v>
      </c>
      <c r="C2784" s="4">
        <v>22357.310999999998</v>
      </c>
      <c r="D2784" s="4">
        <v>36431.239000000001</v>
      </c>
      <c r="E2784" s="79">
        <v>11581.35</v>
      </c>
      <c r="F2784" s="79">
        <f>SUM(BASE_DATOS[[#This Row],[Capital($)]:[Interés
Resarcitorio($)]])</f>
        <v>70369.900000000009</v>
      </c>
      <c r="G2784" s="8">
        <v>45286</v>
      </c>
      <c r="H2784" s="80" t="s">
        <v>57</v>
      </c>
      <c r="I2784" s="79" t="s">
        <v>7</v>
      </c>
      <c r="J2784" s="81">
        <v>120</v>
      </c>
      <c r="K2784" t="s">
        <v>47</v>
      </c>
    </row>
    <row r="2785" spans="2:11" x14ac:dyDescent="0.25">
      <c r="B2785" s="2">
        <v>38</v>
      </c>
      <c r="C2785" s="4">
        <v>22357.310999999998</v>
      </c>
      <c r="D2785" s="4">
        <v>38839.120999999999</v>
      </c>
      <c r="E2785" s="79">
        <v>0</v>
      </c>
      <c r="F2785" s="79">
        <f>SUM(BASE_DATOS[[#This Row],[Capital($)]:[Interés
Resarcitorio($)]])</f>
        <v>61196.432000000001</v>
      </c>
      <c r="G2785" s="8">
        <v>45307</v>
      </c>
      <c r="H2785" s="80" t="s">
        <v>57</v>
      </c>
      <c r="I2785" s="79" t="s">
        <v>9</v>
      </c>
      <c r="J2785" s="81">
        <v>120</v>
      </c>
      <c r="K2785" t="s">
        <v>47</v>
      </c>
    </row>
    <row r="2786" spans="2:11" x14ac:dyDescent="0.25">
      <c r="B2786" s="2">
        <v>38</v>
      </c>
      <c r="C2786" s="4">
        <v>22357.310999999998</v>
      </c>
      <c r="D2786" s="4">
        <v>38839.120999999999</v>
      </c>
      <c r="E2786" s="79">
        <v>12055.7</v>
      </c>
      <c r="F2786" s="79">
        <f>SUM(BASE_DATOS[[#This Row],[Capital($)]:[Interés
Resarcitorio($)]])</f>
        <v>73252.131999999998</v>
      </c>
      <c r="G2786" s="8">
        <v>45317</v>
      </c>
      <c r="H2786" s="80" t="s">
        <v>57</v>
      </c>
      <c r="I2786" s="79" t="s">
        <v>7</v>
      </c>
      <c r="J2786" s="81">
        <v>120</v>
      </c>
      <c r="K2786" t="s">
        <v>47</v>
      </c>
    </row>
    <row r="2787" spans="2:11" x14ac:dyDescent="0.25">
      <c r="B2787" s="2">
        <v>39</v>
      </c>
      <c r="C2787" s="4">
        <v>22357.310999999998</v>
      </c>
      <c r="D2787" s="4">
        <v>41247.003000000004</v>
      </c>
      <c r="E2787" s="79">
        <v>0</v>
      </c>
      <c r="F2787" s="79">
        <f>SUM(BASE_DATOS[[#This Row],[Capital($)]:[Interés
Resarcitorio($)]])</f>
        <v>63604.313999999998</v>
      </c>
      <c r="G2787" s="8">
        <v>45338</v>
      </c>
      <c r="H2787" s="80" t="s">
        <v>57</v>
      </c>
      <c r="I2787" s="79" t="s">
        <v>9</v>
      </c>
      <c r="J2787" s="81">
        <v>120</v>
      </c>
      <c r="K2787" t="s">
        <v>47</v>
      </c>
    </row>
    <row r="2788" spans="2:11" x14ac:dyDescent="0.25">
      <c r="B2788" s="2">
        <v>39</v>
      </c>
      <c r="C2788" s="4">
        <v>22357.310999999998</v>
      </c>
      <c r="D2788" s="4">
        <v>41247.003000000004</v>
      </c>
      <c r="E2788" s="79">
        <v>32374.59</v>
      </c>
      <c r="F2788" s="79">
        <f>SUM(BASE_DATOS[[#This Row],[Capital($)]:[Interés
Resarcitorio($)]])</f>
        <v>95978.903999999995</v>
      </c>
      <c r="G2788" s="8">
        <v>45348</v>
      </c>
      <c r="H2788" s="80" t="s">
        <v>57</v>
      </c>
      <c r="I2788" s="79" t="s">
        <v>7</v>
      </c>
      <c r="J2788" s="81">
        <v>120</v>
      </c>
      <c r="K2788" t="s">
        <v>47</v>
      </c>
    </row>
    <row r="2789" spans="2:11" x14ac:dyDescent="0.25">
      <c r="B2789" s="2">
        <v>40</v>
      </c>
      <c r="C2789" s="4">
        <v>22357.310999999998</v>
      </c>
      <c r="D2789" s="4">
        <v>43654.885999999999</v>
      </c>
      <c r="E2789" s="79">
        <v>0</v>
      </c>
      <c r="F2789" s="79">
        <f>SUM(BASE_DATOS[[#This Row],[Capital($)]:[Interés
Resarcitorio($)]])</f>
        <v>66012.197</v>
      </c>
      <c r="G2789" s="8">
        <v>45367</v>
      </c>
      <c r="H2789" s="80" t="s">
        <v>57</v>
      </c>
      <c r="I2789" s="79" t="s">
        <v>9</v>
      </c>
      <c r="J2789" s="81">
        <v>120</v>
      </c>
      <c r="K2789" t="s">
        <v>47</v>
      </c>
    </row>
    <row r="2790" spans="2:11" x14ac:dyDescent="0.25">
      <c r="B2790" s="2">
        <v>40</v>
      </c>
      <c r="C2790" s="4">
        <v>22357.310999999998</v>
      </c>
      <c r="D2790" s="4">
        <v>43654.885999999999</v>
      </c>
      <c r="E2790" s="79">
        <v>33600.21</v>
      </c>
      <c r="F2790" s="79">
        <f>SUM(BASE_DATOS[[#This Row],[Capital($)]:[Interés
Resarcitorio($)]])</f>
        <v>99612.407000000007</v>
      </c>
      <c r="G2790" s="8">
        <v>45377</v>
      </c>
      <c r="H2790" s="80" t="s">
        <v>57</v>
      </c>
      <c r="I2790" s="79" t="s">
        <v>7</v>
      </c>
      <c r="J2790" s="81">
        <v>120</v>
      </c>
      <c r="K2790" t="s">
        <v>47</v>
      </c>
    </row>
    <row r="2791" spans="2:11" x14ac:dyDescent="0.25">
      <c r="B2791" s="2">
        <v>41</v>
      </c>
      <c r="C2791" s="4">
        <v>22357.310999999998</v>
      </c>
      <c r="D2791" s="4">
        <v>46062.767999999996</v>
      </c>
      <c r="E2791" s="79">
        <v>0</v>
      </c>
      <c r="F2791" s="79">
        <f>SUM(BASE_DATOS[[#This Row],[Capital($)]:[Interés
Resarcitorio($)]])</f>
        <v>68420.078999999998</v>
      </c>
      <c r="G2791" s="8">
        <v>45398</v>
      </c>
      <c r="H2791" s="80" t="s">
        <v>57</v>
      </c>
      <c r="I2791" s="79" t="s">
        <v>9</v>
      </c>
      <c r="J2791" s="81">
        <v>120</v>
      </c>
      <c r="K2791" t="s">
        <v>47</v>
      </c>
    </row>
    <row r="2792" spans="2:11" x14ac:dyDescent="0.25">
      <c r="B2792" s="2">
        <v>41</v>
      </c>
      <c r="C2792" s="4">
        <v>22357.310999999998</v>
      </c>
      <c r="D2792" s="4">
        <v>46062.767999999996</v>
      </c>
      <c r="E2792" s="79">
        <v>27527.68</v>
      </c>
      <c r="F2792" s="79">
        <f>SUM(BASE_DATOS[[#This Row],[Capital($)]:[Interés
Resarcitorio($)]])</f>
        <v>95947.758999999991</v>
      </c>
      <c r="G2792" s="8">
        <v>45408</v>
      </c>
      <c r="H2792" s="80" t="s">
        <v>57</v>
      </c>
      <c r="I2792" s="79" t="s">
        <v>7</v>
      </c>
      <c r="J2792" s="81">
        <v>120</v>
      </c>
      <c r="K2792" t="s">
        <v>47</v>
      </c>
    </row>
    <row r="2793" spans="2:11" x14ac:dyDescent="0.25">
      <c r="B2793" s="2">
        <v>42</v>
      </c>
      <c r="C2793" s="4">
        <v>22357.310999999998</v>
      </c>
      <c r="D2793" s="4">
        <v>48470.65</v>
      </c>
      <c r="E2793" s="79">
        <v>0</v>
      </c>
      <c r="F2793" s="79">
        <f>SUM(BASE_DATOS[[#This Row],[Capital($)]:[Interés
Resarcitorio($)]])</f>
        <v>70827.960999999996</v>
      </c>
      <c r="G2793" s="8">
        <v>45428</v>
      </c>
      <c r="H2793" s="80" t="s">
        <v>57</v>
      </c>
      <c r="I2793" s="79" t="s">
        <v>9</v>
      </c>
      <c r="J2793" s="81">
        <v>120</v>
      </c>
      <c r="K2793" t="s">
        <v>47</v>
      </c>
    </row>
    <row r="2794" spans="2:11" x14ac:dyDescent="0.25">
      <c r="B2794" s="2">
        <v>42</v>
      </c>
      <c r="C2794" s="4">
        <v>22357.310999999998</v>
      </c>
      <c r="D2794" s="4">
        <v>48470.65</v>
      </c>
      <c r="E2794" s="79">
        <v>28496.45</v>
      </c>
      <c r="F2794" s="79">
        <f>SUM(BASE_DATOS[[#This Row],[Capital($)]:[Interés
Resarcitorio($)]])</f>
        <v>99324.410999999993</v>
      </c>
      <c r="G2794" s="8">
        <v>45438</v>
      </c>
      <c r="H2794" s="80" t="s">
        <v>57</v>
      </c>
      <c r="I2794" s="79" t="s">
        <v>7</v>
      </c>
      <c r="J2794" s="81">
        <v>120</v>
      </c>
      <c r="K2794" t="s">
        <v>47</v>
      </c>
    </row>
    <row r="2795" spans="2:11" x14ac:dyDescent="0.25">
      <c r="B2795" s="2">
        <v>43</v>
      </c>
      <c r="C2795" s="4">
        <v>22357.310999999998</v>
      </c>
      <c r="D2795" s="4">
        <v>49065.354999999996</v>
      </c>
      <c r="E2795" s="79">
        <v>0</v>
      </c>
      <c r="F2795" s="79">
        <f>SUM(BASE_DATOS[[#This Row],[Capital($)]:[Interés
Resarcitorio($)]])</f>
        <v>71422.665999999997</v>
      </c>
      <c r="G2795" s="8">
        <v>45459</v>
      </c>
      <c r="H2795" s="80" t="s">
        <v>57</v>
      </c>
      <c r="I2795" s="79" t="s">
        <v>9</v>
      </c>
      <c r="J2795" s="81">
        <v>120</v>
      </c>
      <c r="K2795" t="s">
        <v>47</v>
      </c>
    </row>
    <row r="2796" spans="2:11" x14ac:dyDescent="0.25">
      <c r="B2796" s="2">
        <v>43</v>
      </c>
      <c r="C2796" s="4">
        <v>22357.310999999998</v>
      </c>
      <c r="D2796" s="4">
        <v>49065.354999999996</v>
      </c>
      <c r="E2796" s="79">
        <v>15260.65</v>
      </c>
      <c r="F2796" s="79">
        <f>SUM(BASE_DATOS[[#This Row],[Capital($)]:[Interés
Resarcitorio($)]])</f>
        <v>86683.315999999992</v>
      </c>
      <c r="G2796" s="8">
        <v>45469</v>
      </c>
      <c r="H2796" s="80" t="s">
        <v>57</v>
      </c>
      <c r="I2796" s="79" t="s">
        <v>7</v>
      </c>
      <c r="J2796" s="81">
        <v>120</v>
      </c>
      <c r="K2796" t="s">
        <v>47</v>
      </c>
    </row>
    <row r="2797" spans="2:11" x14ac:dyDescent="0.25">
      <c r="B2797" s="2">
        <v>44</v>
      </c>
      <c r="C2797" s="4">
        <v>22357.310999999998</v>
      </c>
      <c r="D2797" s="4">
        <v>49660.059000000001</v>
      </c>
      <c r="E2797" s="79">
        <v>0</v>
      </c>
      <c r="F2797" s="79">
        <f>SUM(BASE_DATOS[[#This Row],[Capital($)]:[Interés
Resarcitorio($)]])</f>
        <v>72017.37</v>
      </c>
      <c r="G2797" s="8">
        <v>45489</v>
      </c>
      <c r="H2797" s="80" t="s">
        <v>57</v>
      </c>
      <c r="I2797" s="79" t="s">
        <v>9</v>
      </c>
      <c r="J2797" s="81">
        <v>120</v>
      </c>
      <c r="K2797" t="s">
        <v>47</v>
      </c>
    </row>
    <row r="2798" spans="2:11" x14ac:dyDescent="0.25">
      <c r="B2798" s="2">
        <v>44</v>
      </c>
      <c r="C2798" s="4">
        <v>22357.310999999998</v>
      </c>
      <c r="D2798" s="4">
        <v>49660.059000000001</v>
      </c>
      <c r="E2798" s="79">
        <v>15387.71</v>
      </c>
      <c r="F2798" s="79">
        <f>SUM(BASE_DATOS[[#This Row],[Capital($)]:[Interés
Resarcitorio($)]])</f>
        <v>87405.079999999987</v>
      </c>
      <c r="G2798" s="8">
        <v>45499</v>
      </c>
      <c r="H2798" s="80" t="s">
        <v>57</v>
      </c>
      <c r="I2798" s="79" t="s">
        <v>7</v>
      </c>
      <c r="J2798" s="81">
        <v>120</v>
      </c>
      <c r="K2798" t="s">
        <v>47</v>
      </c>
    </row>
    <row r="2799" spans="2:11" x14ac:dyDescent="0.25">
      <c r="B2799" s="2">
        <v>45</v>
      </c>
      <c r="C2799" s="4">
        <v>22357.310999999998</v>
      </c>
      <c r="D2799" s="4">
        <v>50254.764000000003</v>
      </c>
      <c r="E2799" s="79">
        <v>0</v>
      </c>
      <c r="F2799" s="79">
        <f>SUM(BASE_DATOS[[#This Row],[Capital($)]:[Interés
Resarcitorio($)]])</f>
        <v>72612.074999999997</v>
      </c>
      <c r="G2799" s="8">
        <v>45520</v>
      </c>
      <c r="H2799" s="80" t="s">
        <v>57</v>
      </c>
      <c r="I2799" s="79" t="s">
        <v>9</v>
      </c>
      <c r="J2799" s="81">
        <v>120</v>
      </c>
      <c r="K2799" t="s">
        <v>47</v>
      </c>
    </row>
    <row r="2800" spans="2:11" x14ac:dyDescent="0.25">
      <c r="B2800" s="2">
        <v>45</v>
      </c>
      <c r="C2800" s="4">
        <v>22357.310999999998</v>
      </c>
      <c r="D2800" s="4">
        <v>50254.764000000003</v>
      </c>
      <c r="E2800" s="79">
        <v>15514.78</v>
      </c>
      <c r="F2800" s="79">
        <f>SUM(BASE_DATOS[[#This Row],[Capital($)]:[Interés
Resarcitorio($)]])</f>
        <v>88126.854999999996</v>
      </c>
      <c r="G2800" s="8">
        <v>45530</v>
      </c>
      <c r="H2800" s="80" t="s">
        <v>57</v>
      </c>
      <c r="I2800" s="79" t="s">
        <v>7</v>
      </c>
      <c r="J2800" s="81">
        <v>120</v>
      </c>
      <c r="K2800" t="s">
        <v>47</v>
      </c>
    </row>
    <row r="2801" spans="2:11" x14ac:dyDescent="0.25">
      <c r="B2801" s="2">
        <v>46</v>
      </c>
      <c r="C2801" s="4">
        <v>22357.310999999998</v>
      </c>
      <c r="D2801" s="4">
        <v>50849.468000000001</v>
      </c>
      <c r="E2801" s="79">
        <v>0</v>
      </c>
      <c r="F2801" s="79">
        <f>SUM(BASE_DATOS[[#This Row],[Capital($)]:[Interés
Resarcitorio($)]])</f>
        <v>73206.778999999995</v>
      </c>
      <c r="G2801" s="8">
        <v>45551</v>
      </c>
      <c r="H2801" s="80" t="s">
        <v>57</v>
      </c>
      <c r="I2801" s="79" t="s">
        <v>9</v>
      </c>
      <c r="J2801" s="81">
        <v>120</v>
      </c>
      <c r="K2801" t="s">
        <v>47</v>
      </c>
    </row>
    <row r="2802" spans="2:11" x14ac:dyDescent="0.25">
      <c r="B2802" s="2">
        <v>46</v>
      </c>
      <c r="C2802" s="4">
        <v>22357.310999999998</v>
      </c>
      <c r="D2802" s="4">
        <v>50849.468000000001</v>
      </c>
      <c r="E2802" s="79">
        <v>15641.85</v>
      </c>
      <c r="F2802" s="79">
        <f>SUM(BASE_DATOS[[#This Row],[Capital($)]:[Interés
Resarcitorio($)]])</f>
        <v>88848.629000000001</v>
      </c>
      <c r="G2802" s="8">
        <v>45561</v>
      </c>
      <c r="H2802" s="80" t="s">
        <v>57</v>
      </c>
      <c r="I2802" s="79" t="s">
        <v>7</v>
      </c>
      <c r="J2802" s="81">
        <v>120</v>
      </c>
      <c r="K2802" t="s">
        <v>47</v>
      </c>
    </row>
    <row r="2803" spans="2:11" x14ac:dyDescent="0.25">
      <c r="B2803" s="2">
        <v>47</v>
      </c>
      <c r="C2803" s="4">
        <v>22357.310999999998</v>
      </c>
      <c r="D2803" s="4">
        <v>51444.172999999995</v>
      </c>
      <c r="E2803" s="79">
        <v>0</v>
      </c>
      <c r="F2803" s="79">
        <f>SUM(BASE_DATOS[[#This Row],[Capital($)]:[Interés
Resarcitorio($)]])</f>
        <v>73801.483999999997</v>
      </c>
      <c r="G2803" s="8">
        <v>45581</v>
      </c>
      <c r="H2803" s="80" t="s">
        <v>57</v>
      </c>
      <c r="I2803" s="79" t="s">
        <v>9</v>
      </c>
      <c r="J2803" s="81">
        <v>120</v>
      </c>
      <c r="K2803" t="s">
        <v>47</v>
      </c>
    </row>
    <row r="2804" spans="2:11" x14ac:dyDescent="0.25">
      <c r="B2804" s="2">
        <v>47</v>
      </c>
      <c r="C2804" s="4">
        <v>22357.310999999998</v>
      </c>
      <c r="D2804" s="4">
        <v>51444.172999999995</v>
      </c>
      <c r="E2804" s="79">
        <v>15768.91</v>
      </c>
      <c r="F2804" s="79">
        <f>SUM(BASE_DATOS[[#This Row],[Capital($)]:[Interés
Resarcitorio($)]])</f>
        <v>89570.394</v>
      </c>
      <c r="G2804" s="8">
        <v>45591</v>
      </c>
      <c r="H2804" s="80" t="s">
        <v>57</v>
      </c>
      <c r="I2804" s="79" t="s">
        <v>7</v>
      </c>
      <c r="J2804" s="81">
        <v>120</v>
      </c>
      <c r="K2804" t="s">
        <v>47</v>
      </c>
    </row>
    <row r="2805" spans="2:11" x14ac:dyDescent="0.25">
      <c r="B2805" s="2">
        <v>48</v>
      </c>
      <c r="C2805" s="4">
        <v>22357.310999999998</v>
      </c>
      <c r="D2805" s="4">
        <v>52038.877</v>
      </c>
      <c r="E2805" s="79">
        <v>0</v>
      </c>
      <c r="F2805" s="79">
        <f>SUM(BASE_DATOS[[#This Row],[Capital($)]:[Interés
Resarcitorio($)]])</f>
        <v>74396.187999999995</v>
      </c>
      <c r="G2805" s="8">
        <v>45612</v>
      </c>
      <c r="H2805" s="80" t="s">
        <v>57</v>
      </c>
      <c r="I2805" s="79" t="s">
        <v>9</v>
      </c>
      <c r="J2805" s="81">
        <v>120</v>
      </c>
      <c r="K2805" t="s">
        <v>47</v>
      </c>
    </row>
    <row r="2806" spans="2:11" x14ac:dyDescent="0.25">
      <c r="B2806" s="2">
        <v>48</v>
      </c>
      <c r="C2806" s="4">
        <v>22357.310999999998</v>
      </c>
      <c r="D2806" s="4">
        <v>52038.877</v>
      </c>
      <c r="E2806" s="79">
        <v>15895.99</v>
      </c>
      <c r="F2806" s="79">
        <f>SUM(BASE_DATOS[[#This Row],[Capital($)]:[Interés
Resarcitorio($)]])</f>
        <v>90292.178</v>
      </c>
      <c r="G2806" s="8">
        <v>45622</v>
      </c>
      <c r="H2806" s="80" t="s">
        <v>57</v>
      </c>
      <c r="I2806" s="79" t="s">
        <v>7</v>
      </c>
      <c r="J2806" s="81">
        <v>120</v>
      </c>
      <c r="K2806" t="s">
        <v>47</v>
      </c>
    </row>
    <row r="2807" spans="2:11" x14ac:dyDescent="0.25">
      <c r="B2807" s="2">
        <v>49</v>
      </c>
      <c r="C2807" s="4">
        <v>22357.310999999998</v>
      </c>
      <c r="D2807" s="4">
        <v>52711.831999999995</v>
      </c>
      <c r="E2807" s="79">
        <v>0</v>
      </c>
      <c r="F2807" s="79">
        <f>SUM(BASE_DATOS[[#This Row],[Capital($)]:[Interés
Resarcitorio($)]])</f>
        <v>75069.142999999996</v>
      </c>
      <c r="G2807" s="8">
        <v>45642</v>
      </c>
      <c r="H2807" s="80" t="s">
        <v>57</v>
      </c>
      <c r="I2807" s="79" t="s">
        <v>9</v>
      </c>
      <c r="J2807" s="81">
        <v>120</v>
      </c>
      <c r="K2807" t="s">
        <v>47</v>
      </c>
    </row>
    <row r="2808" spans="2:11" x14ac:dyDescent="0.25">
      <c r="B2808" s="2">
        <v>49</v>
      </c>
      <c r="C2808" s="4">
        <v>22357.310999999998</v>
      </c>
      <c r="D2808" s="4">
        <v>52711.831999999995</v>
      </c>
      <c r="E2808" s="79">
        <v>18692.22</v>
      </c>
      <c r="F2808" s="79">
        <f>SUM(BASE_DATOS[[#This Row],[Capital($)]:[Interés
Resarcitorio($)]])</f>
        <v>93761.362999999998</v>
      </c>
      <c r="G2808" s="8">
        <v>45652</v>
      </c>
      <c r="H2808" s="80" t="s">
        <v>57</v>
      </c>
      <c r="I2808" s="79" t="s">
        <v>7</v>
      </c>
      <c r="J2808" s="81">
        <v>120</v>
      </c>
      <c r="K2808" t="s">
        <v>47</v>
      </c>
    </row>
    <row r="2809" spans="2:11" x14ac:dyDescent="0.25">
      <c r="B2809" s="2">
        <v>50</v>
      </c>
      <c r="C2809" s="4">
        <v>22357.310999999998</v>
      </c>
      <c r="D2809" s="4">
        <v>53384.786999999997</v>
      </c>
      <c r="E2809" s="79">
        <v>0</v>
      </c>
      <c r="F2809" s="79">
        <f>SUM(BASE_DATOS[[#This Row],[Capital($)]:[Interés
Resarcitorio($)]])</f>
        <v>75742.097999999998</v>
      </c>
      <c r="G2809" s="8">
        <v>45673</v>
      </c>
      <c r="H2809" s="80" t="s">
        <v>57</v>
      </c>
      <c r="I2809" s="79" t="s">
        <v>9</v>
      </c>
      <c r="J2809" s="81">
        <v>120</v>
      </c>
      <c r="K2809" t="s">
        <v>47</v>
      </c>
    </row>
    <row r="2810" spans="2:11" x14ac:dyDescent="0.25">
      <c r="B2810" s="2">
        <v>50</v>
      </c>
      <c r="C2810" s="4">
        <v>22357.310999999998</v>
      </c>
      <c r="D2810" s="4">
        <v>53384.786999999997</v>
      </c>
      <c r="E2810" s="79">
        <v>18859.78</v>
      </c>
      <c r="F2810" s="79">
        <f>SUM(BASE_DATOS[[#This Row],[Capital($)]:[Interés
Resarcitorio($)]])</f>
        <v>94601.877999999997</v>
      </c>
      <c r="G2810" s="8">
        <v>45683</v>
      </c>
      <c r="H2810" s="80" t="s">
        <v>57</v>
      </c>
      <c r="I2810" s="79" t="s">
        <v>7</v>
      </c>
      <c r="J2810" s="81">
        <v>120</v>
      </c>
      <c r="K2810" t="s">
        <v>47</v>
      </c>
    </row>
    <row r="2811" spans="2:11" x14ac:dyDescent="0.25">
      <c r="B2811" s="2">
        <v>51</v>
      </c>
      <c r="C2811" s="4">
        <v>22357.310999999998</v>
      </c>
      <c r="D2811" s="4">
        <v>54057.743000000002</v>
      </c>
      <c r="E2811" s="79">
        <v>0</v>
      </c>
      <c r="F2811" s="79">
        <f>SUM(BASE_DATOS[[#This Row],[Capital($)]:[Interés
Resarcitorio($)]])</f>
        <v>76415.054000000004</v>
      </c>
      <c r="G2811" s="8">
        <v>45704</v>
      </c>
      <c r="H2811" s="80" t="s">
        <v>57</v>
      </c>
      <c r="I2811" s="79" t="s">
        <v>9</v>
      </c>
      <c r="J2811" s="81">
        <v>120</v>
      </c>
      <c r="K2811" t="s">
        <v>47</v>
      </c>
    </row>
    <row r="2812" spans="2:11" x14ac:dyDescent="0.25">
      <c r="B2812" s="2">
        <v>51</v>
      </c>
      <c r="C2812" s="4">
        <v>22357.310999999998</v>
      </c>
      <c r="D2812" s="4">
        <v>54057.743000000002</v>
      </c>
      <c r="E2812" s="79">
        <v>18492.439999999999</v>
      </c>
      <c r="F2812" s="79">
        <f>SUM(BASE_DATOS[[#This Row],[Capital($)]:[Interés
Resarcitorio($)]])</f>
        <v>94907.494000000006</v>
      </c>
      <c r="G2812" s="8">
        <v>45714</v>
      </c>
      <c r="H2812" s="80" t="s">
        <v>57</v>
      </c>
      <c r="I2812" s="79" t="s">
        <v>7</v>
      </c>
      <c r="J2812" s="81">
        <v>120</v>
      </c>
      <c r="K2812" t="s">
        <v>47</v>
      </c>
    </row>
    <row r="2813" spans="2:11" x14ac:dyDescent="0.25">
      <c r="B2813" s="2">
        <v>52</v>
      </c>
      <c r="C2813" s="4">
        <v>22357.310999999998</v>
      </c>
      <c r="D2813" s="4">
        <v>54730.697</v>
      </c>
      <c r="E2813" s="79">
        <v>0</v>
      </c>
      <c r="F2813" s="79">
        <f>SUM(BASE_DATOS[[#This Row],[Capital($)]:[Interés
Resarcitorio($)]])</f>
        <v>77088.008000000002</v>
      </c>
      <c r="G2813" s="8">
        <v>45732</v>
      </c>
      <c r="H2813" s="80" t="s">
        <v>57</v>
      </c>
      <c r="I2813" s="79" t="s">
        <v>9</v>
      </c>
      <c r="J2813" s="81">
        <v>120</v>
      </c>
      <c r="K2813" t="s">
        <v>47</v>
      </c>
    </row>
    <row r="2814" spans="2:11" x14ac:dyDescent="0.25">
      <c r="B2814" s="2">
        <v>52</v>
      </c>
      <c r="C2814" s="4">
        <v>22357.310999999998</v>
      </c>
      <c r="D2814" s="4">
        <v>54730.697</v>
      </c>
      <c r="E2814" s="79">
        <v>10278.4</v>
      </c>
      <c r="F2814" s="79">
        <f>SUM(BASE_DATOS[[#This Row],[Capital($)]:[Interés
Resarcitorio($)]])</f>
        <v>87366.407999999996</v>
      </c>
      <c r="G2814" s="8">
        <v>45742</v>
      </c>
      <c r="H2814" s="80" t="s">
        <v>57</v>
      </c>
      <c r="I2814" s="79" t="s">
        <v>7</v>
      </c>
      <c r="J2814" s="81">
        <v>120</v>
      </c>
      <c r="K2814" t="s">
        <v>47</v>
      </c>
    </row>
    <row r="2815" spans="2:11" x14ac:dyDescent="0.25">
      <c r="B2815" s="2">
        <v>53</v>
      </c>
      <c r="C2815" s="4">
        <v>22357.310999999998</v>
      </c>
      <c r="D2815" s="4">
        <v>55403.652000000002</v>
      </c>
      <c r="E2815" s="79">
        <v>0</v>
      </c>
      <c r="F2815" s="79">
        <f>SUM(BASE_DATOS[[#This Row],[Capital($)]:[Interés
Resarcitorio($)]])</f>
        <v>77760.963000000003</v>
      </c>
      <c r="G2815" s="8">
        <v>45763</v>
      </c>
      <c r="H2815" s="80" t="s">
        <v>57</v>
      </c>
      <c r="I2815" s="79" t="s">
        <v>9</v>
      </c>
      <c r="J2815" s="81">
        <v>120</v>
      </c>
      <c r="K2815" t="s">
        <v>47</v>
      </c>
    </row>
    <row r="2816" spans="2:11" x14ac:dyDescent="0.25">
      <c r="B2816" s="2">
        <v>53</v>
      </c>
      <c r="C2816" s="4">
        <v>22357.310999999998</v>
      </c>
      <c r="D2816" s="4">
        <v>55403.652000000002</v>
      </c>
      <c r="E2816" s="79">
        <v>10368.129999999999</v>
      </c>
      <c r="F2816" s="79">
        <f>SUM(BASE_DATOS[[#This Row],[Capital($)]:[Interés
Resarcitorio($)]])</f>
        <v>88129.093000000008</v>
      </c>
      <c r="G2816" s="8">
        <v>45773</v>
      </c>
      <c r="H2816" s="80" t="s">
        <v>57</v>
      </c>
      <c r="I2816" s="79" t="s">
        <v>7</v>
      </c>
      <c r="J2816" s="81">
        <v>120</v>
      </c>
      <c r="K2816" t="s">
        <v>47</v>
      </c>
    </row>
    <row r="2817" spans="2:11" x14ac:dyDescent="0.25">
      <c r="B2817" s="2">
        <v>54</v>
      </c>
      <c r="C2817" s="4">
        <v>22357.310999999998</v>
      </c>
      <c r="D2817" s="4">
        <v>56076.607999999993</v>
      </c>
      <c r="E2817" s="79">
        <v>0</v>
      </c>
      <c r="F2817" s="79">
        <f>SUM(BASE_DATOS[[#This Row],[Capital($)]:[Interés
Resarcitorio($)]])</f>
        <v>78433.918999999994</v>
      </c>
      <c r="G2817" s="8">
        <v>45793</v>
      </c>
      <c r="H2817" s="80" t="s">
        <v>57</v>
      </c>
      <c r="I2817" s="79" t="s">
        <v>9</v>
      </c>
      <c r="J2817" s="81">
        <v>120</v>
      </c>
      <c r="K2817" t="s">
        <v>47</v>
      </c>
    </row>
    <row r="2818" spans="2:11" x14ac:dyDescent="0.25">
      <c r="B2818" s="2">
        <v>54</v>
      </c>
      <c r="C2818" s="4">
        <v>22357.310999999998</v>
      </c>
      <c r="D2818" s="4">
        <v>56076.607999999993</v>
      </c>
      <c r="E2818" s="79">
        <v>10457.86</v>
      </c>
      <c r="F2818" s="79">
        <f>SUM(BASE_DATOS[[#This Row],[Capital($)]:[Interés
Resarcitorio($)]])</f>
        <v>88891.778999999995</v>
      </c>
      <c r="G2818" s="8">
        <v>45803</v>
      </c>
      <c r="H2818" s="80" t="s">
        <v>57</v>
      </c>
      <c r="I2818" s="79" t="s">
        <v>7</v>
      </c>
      <c r="J2818" s="81">
        <v>120</v>
      </c>
      <c r="K2818" t="s">
        <v>47</v>
      </c>
    </row>
    <row r="2819" spans="2:11" x14ac:dyDescent="0.25">
      <c r="B2819" s="2">
        <v>55</v>
      </c>
      <c r="C2819" s="4">
        <v>22357.310999999998</v>
      </c>
      <c r="D2819" s="4">
        <v>56749.563000000002</v>
      </c>
      <c r="E2819" s="79">
        <v>0</v>
      </c>
      <c r="F2819" s="79">
        <f>SUM(BASE_DATOS[[#This Row],[Capital($)]:[Interés
Resarcitorio($)]])</f>
        <v>79106.873999999996</v>
      </c>
      <c r="G2819" s="8">
        <v>45824</v>
      </c>
      <c r="H2819" s="80" t="s">
        <v>57</v>
      </c>
      <c r="I2819" s="79" t="s">
        <v>9</v>
      </c>
      <c r="J2819" s="81">
        <v>120</v>
      </c>
      <c r="K2819" t="s">
        <v>47</v>
      </c>
    </row>
    <row r="2820" spans="2:11" x14ac:dyDescent="0.25">
      <c r="B2820" s="2">
        <v>55</v>
      </c>
      <c r="C2820" s="4">
        <v>22357.310999999998</v>
      </c>
      <c r="D2820" s="4">
        <v>56749.563000000002</v>
      </c>
      <c r="E2820" s="79">
        <v>10547.59</v>
      </c>
      <c r="F2820" s="79">
        <f>SUM(BASE_DATOS[[#This Row],[Capital($)]:[Interés
Resarcitorio($)]])</f>
        <v>89654.463999999993</v>
      </c>
      <c r="G2820" s="8">
        <v>45834</v>
      </c>
      <c r="H2820" s="80" t="s">
        <v>57</v>
      </c>
      <c r="I2820" s="79" t="s">
        <v>7</v>
      </c>
      <c r="J2820" s="81">
        <v>120</v>
      </c>
      <c r="K2820" t="s">
        <v>47</v>
      </c>
    </row>
    <row r="2821" spans="2:11" x14ac:dyDescent="0.25">
      <c r="B2821" s="2">
        <v>56</v>
      </c>
      <c r="C2821" s="4">
        <v>22357.310999999998</v>
      </c>
      <c r="D2821" s="4">
        <v>57422.517000000007</v>
      </c>
      <c r="E2821" s="79">
        <v>0</v>
      </c>
      <c r="F2821" s="79">
        <f>SUM(BASE_DATOS[[#This Row],[Capital($)]:[Interés
Resarcitorio($)]])</f>
        <v>79779.828000000009</v>
      </c>
      <c r="G2821" s="8">
        <v>45854</v>
      </c>
      <c r="H2821" s="80" t="s">
        <v>57</v>
      </c>
      <c r="I2821" s="79" t="s">
        <v>6</v>
      </c>
      <c r="J2821" s="81">
        <v>120</v>
      </c>
      <c r="K2821" t="s">
        <v>47</v>
      </c>
    </row>
    <row r="2822" spans="2:11" x14ac:dyDescent="0.25">
      <c r="B2822" s="2">
        <v>56</v>
      </c>
      <c r="C2822" s="4">
        <v>22357.310999999998</v>
      </c>
      <c r="D2822" s="4">
        <v>57422.517000000007</v>
      </c>
      <c r="E2822" s="79">
        <v>10637.31</v>
      </c>
      <c r="F2822" s="79">
        <f>SUM(BASE_DATOS[[#This Row],[Capital($)]:[Interés
Resarcitorio($)]])</f>
        <v>90417.138000000006</v>
      </c>
      <c r="G2822" s="8">
        <v>45864</v>
      </c>
      <c r="H2822" s="80" t="s">
        <v>57</v>
      </c>
      <c r="I2822" s="79" t="s">
        <v>7</v>
      </c>
      <c r="J2822" s="81">
        <v>120</v>
      </c>
      <c r="K2822" t="s">
        <v>47</v>
      </c>
    </row>
    <row r="2823" spans="2:11" x14ac:dyDescent="0.25">
      <c r="B2823" s="2">
        <v>57</v>
      </c>
      <c r="C2823" s="4">
        <v>22357.310999999998</v>
      </c>
      <c r="D2823" s="4">
        <v>58095.472999999998</v>
      </c>
      <c r="E2823" s="79">
        <v>0</v>
      </c>
      <c r="F2823" s="79">
        <f>SUM(BASE_DATOS[[#This Row],[Capital($)]:[Interés
Resarcitorio($)]])</f>
        <v>80452.784</v>
      </c>
      <c r="G2823" s="8">
        <v>45885</v>
      </c>
      <c r="H2823" s="80" t="s">
        <v>57</v>
      </c>
      <c r="I2823" s="79" t="s">
        <v>6</v>
      </c>
      <c r="J2823" s="81">
        <v>120</v>
      </c>
      <c r="K2823" t="s">
        <v>47</v>
      </c>
    </row>
    <row r="2824" spans="2:11" x14ac:dyDescent="0.25">
      <c r="B2824" s="2">
        <v>57</v>
      </c>
      <c r="C2824" s="4">
        <v>22357.310999999998</v>
      </c>
      <c r="D2824" s="4">
        <v>58095.472999999998</v>
      </c>
      <c r="E2824" s="79">
        <v>10727.04</v>
      </c>
      <c r="F2824" s="79">
        <f>SUM(BASE_DATOS[[#This Row],[Capital($)]:[Interés
Resarcitorio($)]])</f>
        <v>91179.823999999993</v>
      </c>
      <c r="G2824" s="8">
        <v>45895</v>
      </c>
      <c r="H2824" s="80" t="s">
        <v>57</v>
      </c>
      <c r="I2824" s="79" t="s">
        <v>7</v>
      </c>
      <c r="J2824" s="81">
        <v>120</v>
      </c>
      <c r="K2824" t="s">
        <v>47</v>
      </c>
    </row>
    <row r="2825" spans="2:11" x14ac:dyDescent="0.25">
      <c r="B2825" s="2">
        <v>58</v>
      </c>
      <c r="C2825" s="4">
        <v>22357.310999999998</v>
      </c>
      <c r="D2825" s="4">
        <v>58768.428</v>
      </c>
      <c r="E2825" s="79">
        <v>0</v>
      </c>
      <c r="F2825" s="79">
        <f>SUM(BASE_DATOS[[#This Row],[Capital($)]:[Interés
Resarcitorio($)]])</f>
        <v>81125.739000000001</v>
      </c>
      <c r="G2825" s="8">
        <v>45916</v>
      </c>
      <c r="H2825" s="80" t="s">
        <v>57</v>
      </c>
      <c r="I2825" s="79" t="s">
        <v>6</v>
      </c>
      <c r="J2825" s="81">
        <v>120</v>
      </c>
      <c r="K2825" t="s">
        <v>47</v>
      </c>
    </row>
    <row r="2826" spans="2:11" x14ac:dyDescent="0.25">
      <c r="B2826" s="2">
        <v>58</v>
      </c>
      <c r="C2826" s="4">
        <v>22357.310999999998</v>
      </c>
      <c r="D2826" s="4">
        <v>58768.428</v>
      </c>
      <c r="E2826" s="79">
        <v>10816.76</v>
      </c>
      <c r="F2826" s="79">
        <f>SUM(BASE_DATOS[[#This Row],[Capital($)]:[Interés
Resarcitorio($)]])</f>
        <v>91942.498999999996</v>
      </c>
      <c r="G2826" s="8">
        <v>45926</v>
      </c>
      <c r="H2826" s="80" t="s">
        <v>57</v>
      </c>
      <c r="I2826" s="79" t="s">
        <v>7</v>
      </c>
      <c r="J2826" s="81">
        <v>120</v>
      </c>
      <c r="K2826" t="s">
        <v>47</v>
      </c>
    </row>
    <row r="2827" spans="2:11" x14ac:dyDescent="0.25">
      <c r="B2827" s="2">
        <v>59</v>
      </c>
      <c r="C2827" s="4">
        <v>22357.310999999998</v>
      </c>
      <c r="D2827" s="4">
        <v>59441.382999999994</v>
      </c>
      <c r="E2827" s="79">
        <v>0</v>
      </c>
      <c r="F2827" s="79">
        <f>SUM(BASE_DATOS[[#This Row],[Capital($)]:[Interés
Resarcitorio($)]])</f>
        <v>81798.693999999989</v>
      </c>
      <c r="G2827" s="8">
        <v>45946</v>
      </c>
      <c r="H2827" s="80" t="s">
        <v>57</v>
      </c>
      <c r="I2827" s="79" t="s">
        <v>6</v>
      </c>
      <c r="J2827" s="81">
        <v>120</v>
      </c>
      <c r="K2827" t="s">
        <v>47</v>
      </c>
    </row>
    <row r="2828" spans="2:11" x14ac:dyDescent="0.25">
      <c r="B2828" s="2">
        <v>59</v>
      </c>
      <c r="C2828" s="4">
        <v>22357.310999999998</v>
      </c>
      <c r="D2828" s="4">
        <v>59441.382999999994</v>
      </c>
      <c r="E2828" s="79">
        <v>10906.49</v>
      </c>
      <c r="F2828" s="79">
        <f>SUM(BASE_DATOS[[#This Row],[Capital($)]:[Interés
Resarcitorio($)]])</f>
        <v>92705.183999999994</v>
      </c>
      <c r="G2828" s="8">
        <v>45956</v>
      </c>
      <c r="H2828" s="80" t="s">
        <v>57</v>
      </c>
      <c r="I2828" s="79" t="s">
        <v>7</v>
      </c>
      <c r="J2828" s="81">
        <v>120</v>
      </c>
      <c r="K2828" t="s">
        <v>47</v>
      </c>
    </row>
    <row r="2829" spans="2:11" x14ac:dyDescent="0.25">
      <c r="B2829" s="2">
        <v>60</v>
      </c>
      <c r="C2829" s="4">
        <v>22357.310999999998</v>
      </c>
      <c r="D2829" s="4">
        <v>60114.337</v>
      </c>
      <c r="E2829" s="79">
        <v>0</v>
      </c>
      <c r="F2829" s="79">
        <f>SUM(BASE_DATOS[[#This Row],[Capital($)]:[Interés
Resarcitorio($)]])</f>
        <v>82471.648000000001</v>
      </c>
      <c r="G2829" s="8">
        <v>45977</v>
      </c>
      <c r="H2829" s="80" t="s">
        <v>57</v>
      </c>
      <c r="I2829" s="79" t="s">
        <v>6</v>
      </c>
      <c r="J2829" s="81">
        <v>120</v>
      </c>
      <c r="K2829" t="s">
        <v>47</v>
      </c>
    </row>
    <row r="2830" spans="2:11" x14ac:dyDescent="0.25">
      <c r="B2830" s="2">
        <v>60</v>
      </c>
      <c r="C2830" s="4">
        <v>22357.310999999998</v>
      </c>
      <c r="D2830" s="4">
        <v>60114.337</v>
      </c>
      <c r="E2830" s="79">
        <v>10996.22</v>
      </c>
      <c r="F2830" s="79">
        <f>SUM(BASE_DATOS[[#This Row],[Capital($)]:[Interés
Resarcitorio($)]])</f>
        <v>93467.868000000002</v>
      </c>
      <c r="G2830" s="8">
        <v>45987</v>
      </c>
      <c r="H2830" s="80" t="s">
        <v>57</v>
      </c>
      <c r="I2830" s="79" t="s">
        <v>7</v>
      </c>
      <c r="J2830" s="81">
        <v>120</v>
      </c>
      <c r="K2830" t="s">
        <v>47</v>
      </c>
    </row>
    <row r="2831" spans="2:11" x14ac:dyDescent="0.25">
      <c r="B2831" s="2">
        <v>61</v>
      </c>
      <c r="C2831" s="4">
        <v>22357.310999999998</v>
      </c>
      <c r="D2831" s="4">
        <v>60787.293000000005</v>
      </c>
      <c r="E2831" s="79">
        <v>0</v>
      </c>
      <c r="F2831" s="79">
        <f>SUM(BASE_DATOS[[#This Row],[Capital($)]:[Interés
Resarcitorio($)]])</f>
        <v>83144.604000000007</v>
      </c>
      <c r="G2831" s="8">
        <v>46007</v>
      </c>
      <c r="H2831" s="80" t="s">
        <v>57</v>
      </c>
      <c r="I2831" s="79" t="s">
        <v>6</v>
      </c>
      <c r="J2831" s="81">
        <v>120</v>
      </c>
      <c r="K2831" t="s">
        <v>47</v>
      </c>
    </row>
    <row r="2832" spans="2:11" x14ac:dyDescent="0.25">
      <c r="B2832" s="2">
        <v>61</v>
      </c>
      <c r="C2832" s="4">
        <v>22357.310999999998</v>
      </c>
      <c r="D2832" s="4">
        <v>60787.293000000005</v>
      </c>
      <c r="E2832" s="79">
        <v>11085.95</v>
      </c>
      <c r="F2832" s="79">
        <f>SUM(BASE_DATOS[[#This Row],[Capital($)]:[Interés
Resarcitorio($)]])</f>
        <v>94230.554000000004</v>
      </c>
      <c r="G2832" s="8">
        <v>46017</v>
      </c>
      <c r="H2832" s="80" t="s">
        <v>57</v>
      </c>
      <c r="I2832" s="79" t="s">
        <v>7</v>
      </c>
      <c r="J2832" s="81">
        <v>120</v>
      </c>
      <c r="K2832" t="s">
        <v>47</v>
      </c>
    </row>
    <row r="2833" spans="2:11" x14ac:dyDescent="0.25">
      <c r="B2833" s="2">
        <v>62</v>
      </c>
      <c r="C2833" s="4">
        <v>22357.310999999998</v>
      </c>
      <c r="D2833" s="4">
        <v>61460.248</v>
      </c>
      <c r="E2833" s="79">
        <v>0</v>
      </c>
      <c r="F2833" s="79">
        <f>SUM(BASE_DATOS[[#This Row],[Capital($)]:[Interés
Resarcitorio($)]])</f>
        <v>83817.558999999994</v>
      </c>
      <c r="G2833" s="8">
        <v>46038</v>
      </c>
      <c r="H2833" s="80" t="s">
        <v>57</v>
      </c>
      <c r="I2833" s="79" t="s">
        <v>6</v>
      </c>
      <c r="J2833" s="81">
        <v>120</v>
      </c>
      <c r="K2833" t="s">
        <v>47</v>
      </c>
    </row>
    <row r="2834" spans="2:11" x14ac:dyDescent="0.25">
      <c r="B2834" s="2">
        <v>62</v>
      </c>
      <c r="C2834" s="4">
        <v>22357.310999999998</v>
      </c>
      <c r="D2834" s="4">
        <v>61460.248</v>
      </c>
      <c r="E2834" s="79">
        <v>11175.68</v>
      </c>
      <c r="F2834" s="79">
        <f>SUM(BASE_DATOS[[#This Row],[Capital($)]:[Interés
Resarcitorio($)]])</f>
        <v>94993.239000000001</v>
      </c>
      <c r="G2834" s="8">
        <v>46048</v>
      </c>
      <c r="H2834" s="80" t="s">
        <v>57</v>
      </c>
      <c r="I2834" s="79" t="s">
        <v>7</v>
      </c>
      <c r="J2834" s="81">
        <v>120</v>
      </c>
      <c r="K2834" t="s">
        <v>47</v>
      </c>
    </row>
    <row r="2835" spans="2:11" x14ac:dyDescent="0.25">
      <c r="B2835" s="2">
        <v>63</v>
      </c>
      <c r="C2835" s="4">
        <v>22357.310999999998</v>
      </c>
      <c r="D2835" s="4">
        <v>62133.203000000001</v>
      </c>
      <c r="E2835" s="79">
        <v>0</v>
      </c>
      <c r="F2835" s="79">
        <f>SUM(BASE_DATOS[[#This Row],[Capital($)]:[Interés
Resarcitorio($)]])</f>
        <v>84490.513999999996</v>
      </c>
      <c r="G2835" s="8">
        <v>46069</v>
      </c>
      <c r="H2835" s="80" t="s">
        <v>57</v>
      </c>
      <c r="I2835" s="79" t="s">
        <v>6</v>
      </c>
      <c r="J2835" s="81">
        <v>120</v>
      </c>
      <c r="K2835" t="s">
        <v>47</v>
      </c>
    </row>
    <row r="2836" spans="2:11" x14ac:dyDescent="0.25">
      <c r="B2836" s="2">
        <v>63</v>
      </c>
      <c r="C2836" s="4">
        <v>22357.310999999998</v>
      </c>
      <c r="D2836" s="4">
        <v>62133.203000000001</v>
      </c>
      <c r="E2836" s="79">
        <v>11265.4</v>
      </c>
      <c r="F2836" s="79">
        <f>SUM(BASE_DATOS[[#This Row],[Capital($)]:[Interés
Resarcitorio($)]])</f>
        <v>95755.91399999999</v>
      </c>
      <c r="G2836" s="8">
        <v>46079</v>
      </c>
      <c r="H2836" s="80" t="s">
        <v>57</v>
      </c>
      <c r="I2836" s="79" t="s">
        <v>7</v>
      </c>
      <c r="J2836" s="81">
        <v>120</v>
      </c>
      <c r="K2836" t="s">
        <v>47</v>
      </c>
    </row>
    <row r="2837" spans="2:11" x14ac:dyDescent="0.25">
      <c r="B2837" s="2">
        <v>64</v>
      </c>
      <c r="C2837" s="4">
        <v>22357.310999999998</v>
      </c>
      <c r="D2837" s="4">
        <v>62806.157999999996</v>
      </c>
      <c r="E2837" s="79">
        <v>0</v>
      </c>
      <c r="F2837" s="79">
        <f>SUM(BASE_DATOS[[#This Row],[Capital($)]:[Interés
Resarcitorio($)]])</f>
        <v>85163.468999999997</v>
      </c>
      <c r="G2837" s="8">
        <v>46097</v>
      </c>
      <c r="H2837" s="80" t="s">
        <v>57</v>
      </c>
      <c r="I2837" s="79" t="s">
        <v>6</v>
      </c>
      <c r="J2837" s="81">
        <v>120</v>
      </c>
      <c r="K2837" t="s">
        <v>47</v>
      </c>
    </row>
    <row r="2838" spans="2:11" x14ac:dyDescent="0.25">
      <c r="B2838" s="2">
        <v>64</v>
      </c>
      <c r="C2838" s="4">
        <v>22357.310999999998</v>
      </c>
      <c r="D2838" s="4">
        <v>62806.157999999996</v>
      </c>
      <c r="E2838" s="79">
        <v>11355.13</v>
      </c>
      <c r="F2838" s="79">
        <f>SUM(BASE_DATOS[[#This Row],[Capital($)]:[Interés
Resarcitorio($)]])</f>
        <v>96518.599000000002</v>
      </c>
      <c r="G2838" s="8">
        <v>46107</v>
      </c>
      <c r="H2838" s="80" t="s">
        <v>57</v>
      </c>
      <c r="I2838" s="79" t="s">
        <v>7</v>
      </c>
      <c r="J2838" s="81">
        <v>120</v>
      </c>
      <c r="K2838" t="s">
        <v>47</v>
      </c>
    </row>
    <row r="2839" spans="2:11" x14ac:dyDescent="0.25">
      <c r="B2839" s="2">
        <v>65</v>
      </c>
      <c r="C2839" s="4">
        <v>22357.310999999998</v>
      </c>
      <c r="D2839" s="4">
        <v>63479.112999999998</v>
      </c>
      <c r="E2839" s="79">
        <v>0</v>
      </c>
      <c r="F2839" s="79">
        <f>SUM(BASE_DATOS[[#This Row],[Capital($)]:[Interés
Resarcitorio($)]])</f>
        <v>85836.423999999999</v>
      </c>
      <c r="G2839" s="8">
        <v>46128</v>
      </c>
      <c r="H2839" s="80" t="s">
        <v>57</v>
      </c>
      <c r="I2839" s="79" t="s">
        <v>6</v>
      </c>
      <c r="J2839" s="81">
        <v>120</v>
      </c>
      <c r="K2839" t="s">
        <v>47</v>
      </c>
    </row>
    <row r="2840" spans="2:11" x14ac:dyDescent="0.25">
      <c r="B2840" s="2">
        <v>65</v>
      </c>
      <c r="C2840" s="4">
        <v>22357.310999999998</v>
      </c>
      <c r="D2840" s="4">
        <v>63479.112999999998</v>
      </c>
      <c r="E2840" s="79">
        <v>11444.86</v>
      </c>
      <c r="F2840" s="79">
        <f>SUM(BASE_DATOS[[#This Row],[Capital($)]:[Interés
Resarcitorio($)]])</f>
        <v>97281.284</v>
      </c>
      <c r="G2840" s="8">
        <v>46138</v>
      </c>
      <c r="H2840" s="80" t="s">
        <v>57</v>
      </c>
      <c r="I2840" s="79" t="s">
        <v>7</v>
      </c>
      <c r="J2840" s="81">
        <v>120</v>
      </c>
      <c r="K2840" t="s">
        <v>47</v>
      </c>
    </row>
    <row r="2841" spans="2:11" x14ac:dyDescent="0.25">
      <c r="B2841" s="2">
        <v>66</v>
      </c>
      <c r="C2841" s="4">
        <v>22357.310999999998</v>
      </c>
      <c r="D2841" s="4">
        <v>64152.068000000007</v>
      </c>
      <c r="E2841" s="79">
        <v>0</v>
      </c>
      <c r="F2841" s="79">
        <f>SUM(BASE_DATOS[[#This Row],[Capital($)]:[Interés
Resarcitorio($)]])</f>
        <v>86509.379000000001</v>
      </c>
      <c r="G2841" s="8">
        <v>46158</v>
      </c>
      <c r="H2841" s="80" t="s">
        <v>57</v>
      </c>
      <c r="I2841" s="79" t="s">
        <v>6</v>
      </c>
      <c r="J2841" s="81">
        <v>120</v>
      </c>
      <c r="K2841" t="s">
        <v>47</v>
      </c>
    </row>
    <row r="2842" spans="2:11" x14ac:dyDescent="0.25">
      <c r="B2842" s="2">
        <v>66</v>
      </c>
      <c r="C2842" s="4">
        <v>22357.310999999998</v>
      </c>
      <c r="D2842" s="4">
        <v>64152.068000000007</v>
      </c>
      <c r="E2842" s="79">
        <v>11534.58</v>
      </c>
      <c r="F2842" s="79">
        <f>SUM(BASE_DATOS[[#This Row],[Capital($)]:[Interés
Resarcitorio($)]])</f>
        <v>98043.959000000003</v>
      </c>
      <c r="G2842" s="8">
        <v>46168</v>
      </c>
      <c r="H2842" s="80" t="s">
        <v>57</v>
      </c>
      <c r="I2842" s="79" t="s">
        <v>7</v>
      </c>
      <c r="J2842" s="81">
        <v>120</v>
      </c>
      <c r="K2842" t="s">
        <v>47</v>
      </c>
    </row>
    <row r="2843" spans="2:11" x14ac:dyDescent="0.25">
      <c r="B2843" s="2">
        <v>67</v>
      </c>
      <c r="C2843" s="4">
        <v>22357.310999999998</v>
      </c>
      <c r="D2843" s="4">
        <v>64825.023999999998</v>
      </c>
      <c r="E2843" s="79">
        <v>0</v>
      </c>
      <c r="F2843" s="79">
        <f>SUM(BASE_DATOS[[#This Row],[Capital($)]:[Interés
Resarcitorio($)]])</f>
        <v>87182.334999999992</v>
      </c>
      <c r="G2843" s="8">
        <v>46189</v>
      </c>
      <c r="H2843" s="80" t="s">
        <v>57</v>
      </c>
      <c r="I2843" s="79" t="s">
        <v>6</v>
      </c>
      <c r="J2843" s="81">
        <v>120</v>
      </c>
      <c r="K2843" t="s">
        <v>47</v>
      </c>
    </row>
    <row r="2844" spans="2:11" x14ac:dyDescent="0.25">
      <c r="B2844" s="2">
        <v>67</v>
      </c>
      <c r="C2844" s="4">
        <v>22357.310999999998</v>
      </c>
      <c r="D2844" s="4">
        <v>64825.023999999998</v>
      </c>
      <c r="E2844" s="79">
        <v>11624.31</v>
      </c>
      <c r="F2844" s="79">
        <f>SUM(BASE_DATOS[[#This Row],[Capital($)]:[Interés
Resarcitorio($)]])</f>
        <v>98806.64499999999</v>
      </c>
      <c r="G2844" s="8">
        <v>46199</v>
      </c>
      <c r="H2844" s="80" t="s">
        <v>57</v>
      </c>
      <c r="I2844" s="79" t="s">
        <v>7</v>
      </c>
      <c r="J2844" s="81">
        <v>120</v>
      </c>
      <c r="K2844" t="s">
        <v>47</v>
      </c>
    </row>
    <row r="2845" spans="2:11" x14ac:dyDescent="0.25">
      <c r="B2845" s="2">
        <v>68</v>
      </c>
      <c r="C2845" s="4">
        <v>22357.310999999998</v>
      </c>
      <c r="D2845" s="4">
        <v>65497.978000000003</v>
      </c>
      <c r="E2845" s="79">
        <v>0</v>
      </c>
      <c r="F2845" s="79">
        <f>SUM(BASE_DATOS[[#This Row],[Capital($)]:[Interés
Resarcitorio($)]])</f>
        <v>87855.289000000004</v>
      </c>
      <c r="G2845" s="8">
        <v>46219</v>
      </c>
      <c r="H2845" s="80" t="s">
        <v>57</v>
      </c>
      <c r="I2845" s="79" t="s">
        <v>6</v>
      </c>
      <c r="J2845" s="81">
        <v>120</v>
      </c>
      <c r="K2845" t="s">
        <v>47</v>
      </c>
    </row>
    <row r="2846" spans="2:11" x14ac:dyDescent="0.25">
      <c r="B2846" s="2">
        <v>68</v>
      </c>
      <c r="C2846" s="4">
        <v>22357.310999999998</v>
      </c>
      <c r="D2846" s="4">
        <v>65497.978000000003</v>
      </c>
      <c r="E2846" s="79">
        <v>11714.03</v>
      </c>
      <c r="F2846" s="79">
        <f>SUM(BASE_DATOS[[#This Row],[Capital($)]:[Interés
Resarcitorio($)]])</f>
        <v>99569.319000000003</v>
      </c>
      <c r="G2846" s="8">
        <v>46229</v>
      </c>
      <c r="H2846" s="80" t="s">
        <v>57</v>
      </c>
      <c r="I2846" s="79" t="s">
        <v>7</v>
      </c>
      <c r="J2846" s="81">
        <v>120</v>
      </c>
      <c r="K2846" t="s">
        <v>47</v>
      </c>
    </row>
    <row r="2847" spans="2:11" x14ac:dyDescent="0.25">
      <c r="B2847" s="2">
        <v>69</v>
      </c>
      <c r="C2847" s="4">
        <v>22357.310999999998</v>
      </c>
      <c r="D2847" s="4">
        <v>66170.93299999999</v>
      </c>
      <c r="E2847" s="79">
        <v>0</v>
      </c>
      <c r="F2847" s="79">
        <f>SUM(BASE_DATOS[[#This Row],[Capital($)]:[Interés
Resarcitorio($)]])</f>
        <v>88528.243999999992</v>
      </c>
      <c r="G2847" s="8">
        <v>46250</v>
      </c>
      <c r="H2847" s="80" t="s">
        <v>57</v>
      </c>
      <c r="I2847" s="79" t="s">
        <v>6</v>
      </c>
      <c r="J2847" s="81">
        <v>120</v>
      </c>
      <c r="K2847" t="s">
        <v>47</v>
      </c>
    </row>
    <row r="2848" spans="2:11" x14ac:dyDescent="0.25">
      <c r="B2848" s="2">
        <v>69</v>
      </c>
      <c r="C2848" s="4">
        <v>22357.310999999998</v>
      </c>
      <c r="D2848" s="4">
        <v>66170.93299999999</v>
      </c>
      <c r="E2848" s="79">
        <v>11803.77</v>
      </c>
      <c r="F2848" s="79">
        <f>SUM(BASE_DATOS[[#This Row],[Capital($)]:[Interés
Resarcitorio($)]])</f>
        <v>100332.014</v>
      </c>
      <c r="G2848" s="8">
        <v>46260</v>
      </c>
      <c r="H2848" s="80" t="s">
        <v>57</v>
      </c>
      <c r="I2848" s="79" t="s">
        <v>7</v>
      </c>
      <c r="J2848" s="81">
        <v>120</v>
      </c>
      <c r="K2848" t="s">
        <v>47</v>
      </c>
    </row>
    <row r="2849" spans="2:11" x14ac:dyDescent="0.25">
      <c r="B2849" s="2">
        <v>70</v>
      </c>
      <c r="C2849" s="4">
        <v>22357.310999999998</v>
      </c>
      <c r="D2849" s="4">
        <v>66843.888999999996</v>
      </c>
      <c r="E2849" s="79">
        <v>0</v>
      </c>
      <c r="F2849" s="79">
        <f>SUM(BASE_DATOS[[#This Row],[Capital($)]:[Interés
Resarcitorio($)]])</f>
        <v>89201.2</v>
      </c>
      <c r="G2849" s="8">
        <v>46281</v>
      </c>
      <c r="H2849" s="80" t="s">
        <v>57</v>
      </c>
      <c r="I2849" s="79" t="s">
        <v>6</v>
      </c>
      <c r="J2849" s="81">
        <v>120</v>
      </c>
      <c r="K2849" t="s">
        <v>47</v>
      </c>
    </row>
    <row r="2850" spans="2:11" x14ac:dyDescent="0.25">
      <c r="B2850" s="2">
        <v>70</v>
      </c>
      <c r="C2850" s="4">
        <v>22357.310999999998</v>
      </c>
      <c r="D2850" s="4">
        <v>66843.888999999996</v>
      </c>
      <c r="E2850" s="79">
        <v>11893.5</v>
      </c>
      <c r="F2850" s="79">
        <f>SUM(BASE_DATOS[[#This Row],[Capital($)]:[Interés
Resarcitorio($)]])</f>
        <v>101094.7</v>
      </c>
      <c r="G2850" s="8">
        <v>46291</v>
      </c>
      <c r="H2850" s="80" t="s">
        <v>57</v>
      </c>
      <c r="I2850" s="79" t="s">
        <v>7</v>
      </c>
      <c r="J2850" s="81">
        <v>120</v>
      </c>
      <c r="K2850" t="s">
        <v>47</v>
      </c>
    </row>
    <row r="2851" spans="2:11" x14ac:dyDescent="0.25">
      <c r="B2851" s="2">
        <v>71</v>
      </c>
      <c r="C2851" s="4">
        <v>22357.310999999998</v>
      </c>
      <c r="D2851" s="4">
        <v>67516.843999999997</v>
      </c>
      <c r="E2851" s="79">
        <v>0</v>
      </c>
      <c r="F2851" s="79">
        <f>SUM(BASE_DATOS[[#This Row],[Capital($)]:[Interés
Resarcitorio($)]])</f>
        <v>89874.154999999999</v>
      </c>
      <c r="G2851" s="8">
        <v>46311</v>
      </c>
      <c r="H2851" s="80" t="s">
        <v>57</v>
      </c>
      <c r="I2851" s="79" t="s">
        <v>6</v>
      </c>
      <c r="J2851" s="81">
        <v>120</v>
      </c>
      <c r="K2851" t="s">
        <v>47</v>
      </c>
    </row>
    <row r="2852" spans="2:11" x14ac:dyDescent="0.25">
      <c r="B2852" s="2">
        <v>71</v>
      </c>
      <c r="C2852" s="4">
        <v>22357.310999999998</v>
      </c>
      <c r="D2852" s="4">
        <v>67516.843999999997</v>
      </c>
      <c r="E2852" s="79">
        <v>11983.22</v>
      </c>
      <c r="F2852" s="79">
        <f>SUM(BASE_DATOS[[#This Row],[Capital($)]:[Interés
Resarcitorio($)]])</f>
        <v>101857.375</v>
      </c>
      <c r="G2852" s="8">
        <v>46321</v>
      </c>
      <c r="H2852" s="80" t="s">
        <v>57</v>
      </c>
      <c r="I2852" s="79" t="s">
        <v>7</v>
      </c>
      <c r="J2852" s="81">
        <v>120</v>
      </c>
      <c r="K2852" t="s">
        <v>47</v>
      </c>
    </row>
    <row r="2853" spans="2:11" x14ac:dyDescent="0.25">
      <c r="B2853" s="2">
        <v>72</v>
      </c>
      <c r="C2853" s="4">
        <v>22357.310999999998</v>
      </c>
      <c r="D2853" s="4">
        <v>68189.797999999995</v>
      </c>
      <c r="E2853" s="79">
        <v>0</v>
      </c>
      <c r="F2853" s="79">
        <f>SUM(BASE_DATOS[[#This Row],[Capital($)]:[Interés
Resarcitorio($)]])</f>
        <v>90547.108999999997</v>
      </c>
      <c r="G2853" s="8">
        <v>46342</v>
      </c>
      <c r="H2853" s="80" t="s">
        <v>57</v>
      </c>
      <c r="I2853" s="79" t="s">
        <v>6</v>
      </c>
      <c r="J2853" s="81">
        <v>120</v>
      </c>
      <c r="K2853" t="s">
        <v>47</v>
      </c>
    </row>
    <row r="2854" spans="2:11" x14ac:dyDescent="0.25">
      <c r="B2854" s="2">
        <v>72</v>
      </c>
      <c r="C2854" s="4">
        <v>22357.310999999998</v>
      </c>
      <c r="D2854" s="4">
        <v>68189.797999999995</v>
      </c>
      <c r="E2854" s="79">
        <v>12072.95</v>
      </c>
      <c r="F2854" s="79">
        <f>SUM(BASE_DATOS[[#This Row],[Capital($)]:[Interés
Resarcitorio($)]])</f>
        <v>102620.05899999999</v>
      </c>
      <c r="G2854" s="8">
        <v>46352</v>
      </c>
      <c r="H2854" s="80" t="s">
        <v>57</v>
      </c>
      <c r="I2854" s="79" t="s">
        <v>7</v>
      </c>
      <c r="J2854" s="81">
        <v>120</v>
      </c>
      <c r="K2854" t="s">
        <v>47</v>
      </c>
    </row>
    <row r="2855" spans="2:11" x14ac:dyDescent="0.25">
      <c r="B2855" s="2">
        <v>73</v>
      </c>
      <c r="C2855" s="4">
        <v>22357.310999999998</v>
      </c>
      <c r="D2855" s="4">
        <v>68862.752999999997</v>
      </c>
      <c r="E2855" s="79">
        <v>0</v>
      </c>
      <c r="F2855" s="79">
        <f>SUM(BASE_DATOS[[#This Row],[Capital($)]:[Interés
Resarcitorio($)]])</f>
        <v>91220.063999999998</v>
      </c>
      <c r="G2855" s="8">
        <v>46372</v>
      </c>
      <c r="H2855" s="80" t="s">
        <v>57</v>
      </c>
      <c r="I2855" s="79" t="s">
        <v>6</v>
      </c>
      <c r="J2855" s="81">
        <v>120</v>
      </c>
      <c r="K2855" t="s">
        <v>47</v>
      </c>
    </row>
    <row r="2856" spans="2:11" x14ac:dyDescent="0.25">
      <c r="B2856" s="2">
        <v>73</v>
      </c>
      <c r="C2856" s="4">
        <v>22357.310999999998</v>
      </c>
      <c r="D2856" s="4">
        <v>68862.752999999997</v>
      </c>
      <c r="E2856" s="79">
        <v>12162.67</v>
      </c>
      <c r="F2856" s="79">
        <f>SUM(BASE_DATOS[[#This Row],[Capital($)]:[Interés
Resarcitorio($)]])</f>
        <v>103382.734</v>
      </c>
      <c r="G2856" s="8">
        <v>46382</v>
      </c>
      <c r="H2856" s="80" t="s">
        <v>57</v>
      </c>
      <c r="I2856" s="79" t="s">
        <v>7</v>
      </c>
      <c r="J2856" s="81">
        <v>120</v>
      </c>
      <c r="K2856" t="s">
        <v>47</v>
      </c>
    </row>
    <row r="2857" spans="2:11" x14ac:dyDescent="0.25">
      <c r="B2857" s="2">
        <v>74</v>
      </c>
      <c r="C2857" s="4">
        <v>22357.310999999998</v>
      </c>
      <c r="D2857" s="4">
        <v>69535.709000000003</v>
      </c>
      <c r="E2857" s="79">
        <v>0</v>
      </c>
      <c r="F2857" s="79">
        <f>SUM(BASE_DATOS[[#This Row],[Capital($)]:[Interés
Resarcitorio($)]])</f>
        <v>91893.02</v>
      </c>
      <c r="G2857" s="8">
        <v>46403</v>
      </c>
      <c r="H2857" s="80" t="s">
        <v>57</v>
      </c>
      <c r="I2857" s="79" t="s">
        <v>6</v>
      </c>
      <c r="J2857" s="81">
        <v>120</v>
      </c>
      <c r="K2857" t="s">
        <v>47</v>
      </c>
    </row>
    <row r="2858" spans="2:11" x14ac:dyDescent="0.25">
      <c r="B2858" s="2">
        <v>74</v>
      </c>
      <c r="C2858" s="4">
        <v>22357.310999999998</v>
      </c>
      <c r="D2858" s="4">
        <v>69535.709000000003</v>
      </c>
      <c r="E2858" s="79">
        <v>12252.4</v>
      </c>
      <c r="F2858" s="79">
        <f>SUM(BASE_DATOS[[#This Row],[Capital($)]:[Interés
Resarcitorio($)]])</f>
        <v>104145.42</v>
      </c>
      <c r="G2858" s="8">
        <v>46413</v>
      </c>
      <c r="H2858" s="80" t="s">
        <v>57</v>
      </c>
      <c r="I2858" s="79" t="s">
        <v>7</v>
      </c>
      <c r="J2858" s="81">
        <v>120</v>
      </c>
      <c r="K2858" t="s">
        <v>47</v>
      </c>
    </row>
    <row r="2859" spans="2:11" x14ac:dyDescent="0.25">
      <c r="B2859" s="2">
        <v>75</v>
      </c>
      <c r="C2859" s="4">
        <v>22357.310999999998</v>
      </c>
      <c r="D2859" s="4">
        <v>70208.664000000004</v>
      </c>
      <c r="E2859" s="79">
        <v>0</v>
      </c>
      <c r="F2859" s="79">
        <f>SUM(BASE_DATOS[[#This Row],[Capital($)]:[Interés
Resarcitorio($)]])</f>
        <v>92565.975000000006</v>
      </c>
      <c r="G2859" s="8">
        <v>46434</v>
      </c>
      <c r="H2859" s="80" t="s">
        <v>57</v>
      </c>
      <c r="I2859" s="79" t="s">
        <v>6</v>
      </c>
      <c r="J2859" s="81">
        <v>120</v>
      </c>
      <c r="K2859" t="s">
        <v>47</v>
      </c>
    </row>
    <row r="2860" spans="2:11" x14ac:dyDescent="0.25">
      <c r="B2860" s="2">
        <v>75</v>
      </c>
      <c r="C2860" s="4">
        <v>22357.310999999998</v>
      </c>
      <c r="D2860" s="4">
        <v>70208.664000000004</v>
      </c>
      <c r="E2860" s="79">
        <v>12342.13</v>
      </c>
      <c r="F2860" s="79">
        <f>SUM(BASE_DATOS[[#This Row],[Capital($)]:[Interés
Resarcitorio($)]])</f>
        <v>104908.10500000001</v>
      </c>
      <c r="G2860" s="8">
        <v>46444</v>
      </c>
      <c r="H2860" s="80" t="s">
        <v>57</v>
      </c>
      <c r="I2860" s="79" t="s">
        <v>7</v>
      </c>
      <c r="J2860" s="81">
        <v>120</v>
      </c>
      <c r="K2860" t="s">
        <v>47</v>
      </c>
    </row>
    <row r="2861" spans="2:11" x14ac:dyDescent="0.25">
      <c r="B2861" s="2">
        <v>76</v>
      </c>
      <c r="C2861" s="4">
        <v>22357.310999999998</v>
      </c>
      <c r="D2861" s="4">
        <v>70881.618000000002</v>
      </c>
      <c r="E2861" s="79">
        <v>0</v>
      </c>
      <c r="F2861" s="79">
        <f>SUM(BASE_DATOS[[#This Row],[Capital($)]:[Interés
Resarcitorio($)]])</f>
        <v>93238.929000000004</v>
      </c>
      <c r="G2861" s="8">
        <v>46462</v>
      </c>
      <c r="H2861" s="80" t="s">
        <v>57</v>
      </c>
      <c r="I2861" s="79" t="s">
        <v>6</v>
      </c>
      <c r="J2861" s="81">
        <v>120</v>
      </c>
      <c r="K2861" t="s">
        <v>47</v>
      </c>
    </row>
    <row r="2862" spans="2:11" x14ac:dyDescent="0.25">
      <c r="B2862" s="2">
        <v>76</v>
      </c>
      <c r="C2862" s="4">
        <v>22357.310999999998</v>
      </c>
      <c r="D2862" s="4">
        <v>70881.618000000002</v>
      </c>
      <c r="E2862" s="79">
        <v>12431.86</v>
      </c>
      <c r="F2862" s="79">
        <f>SUM(BASE_DATOS[[#This Row],[Capital($)]:[Interés
Resarcitorio($)]])</f>
        <v>105670.789</v>
      </c>
      <c r="G2862" s="8">
        <v>46472</v>
      </c>
      <c r="H2862" s="80" t="s">
        <v>57</v>
      </c>
      <c r="I2862" s="79" t="s">
        <v>7</v>
      </c>
      <c r="J2862" s="81">
        <v>120</v>
      </c>
      <c r="K2862" t="s">
        <v>47</v>
      </c>
    </row>
    <row r="2863" spans="2:11" x14ac:dyDescent="0.25">
      <c r="B2863" s="2">
        <v>77</v>
      </c>
      <c r="C2863" s="4">
        <v>22357.310999999998</v>
      </c>
      <c r="D2863" s="4">
        <v>71554.573999999993</v>
      </c>
      <c r="E2863" s="79">
        <v>0</v>
      </c>
      <c r="F2863" s="79">
        <f>SUM(BASE_DATOS[[#This Row],[Capital($)]:[Interés
Resarcitorio($)]])</f>
        <v>93911.884999999995</v>
      </c>
      <c r="G2863" s="8">
        <v>46493</v>
      </c>
      <c r="H2863" s="80" t="s">
        <v>57</v>
      </c>
      <c r="I2863" s="79" t="s">
        <v>6</v>
      </c>
      <c r="J2863" s="81">
        <v>120</v>
      </c>
      <c r="K2863" t="s">
        <v>47</v>
      </c>
    </row>
    <row r="2864" spans="2:11" x14ac:dyDescent="0.25">
      <c r="B2864" s="2">
        <v>77</v>
      </c>
      <c r="C2864" s="4">
        <v>22357.310999999998</v>
      </c>
      <c r="D2864" s="4">
        <v>71554.573999999993</v>
      </c>
      <c r="E2864" s="79">
        <v>12521.59</v>
      </c>
      <c r="F2864" s="79">
        <f>SUM(BASE_DATOS[[#This Row],[Capital($)]:[Interés
Resarcitorio($)]])</f>
        <v>106433.47499999999</v>
      </c>
      <c r="G2864" s="8">
        <v>46503</v>
      </c>
      <c r="H2864" s="80" t="s">
        <v>57</v>
      </c>
      <c r="I2864" s="79" t="s">
        <v>7</v>
      </c>
      <c r="J2864" s="81">
        <v>120</v>
      </c>
      <c r="K2864" t="s">
        <v>47</v>
      </c>
    </row>
    <row r="2865" spans="2:11" x14ac:dyDescent="0.25">
      <c r="B2865" s="2">
        <v>78</v>
      </c>
      <c r="C2865" s="4">
        <v>22357.310999999998</v>
      </c>
      <c r="D2865" s="4">
        <v>72227.52900000001</v>
      </c>
      <c r="E2865" s="79">
        <v>0</v>
      </c>
      <c r="F2865" s="79">
        <f>SUM(BASE_DATOS[[#This Row],[Capital($)]:[Interés
Resarcitorio($)]])</f>
        <v>94584.840000000011</v>
      </c>
      <c r="G2865" s="8">
        <v>46523</v>
      </c>
      <c r="H2865" s="80" t="s">
        <v>57</v>
      </c>
      <c r="I2865" s="79" t="s">
        <v>6</v>
      </c>
      <c r="J2865" s="81">
        <v>120</v>
      </c>
      <c r="K2865" t="s">
        <v>47</v>
      </c>
    </row>
    <row r="2866" spans="2:11" x14ac:dyDescent="0.25">
      <c r="B2866" s="2">
        <v>78</v>
      </c>
      <c r="C2866" s="4">
        <v>22357.310999999998</v>
      </c>
      <c r="D2866" s="4">
        <v>72227.52900000001</v>
      </c>
      <c r="E2866" s="79">
        <v>12611.31</v>
      </c>
      <c r="F2866" s="79">
        <f>SUM(BASE_DATOS[[#This Row],[Capital($)]:[Interés
Resarcitorio($)]])</f>
        <v>107196.15000000001</v>
      </c>
      <c r="G2866" s="8">
        <v>46533</v>
      </c>
      <c r="H2866" s="80" t="s">
        <v>57</v>
      </c>
      <c r="I2866" s="79" t="s">
        <v>7</v>
      </c>
      <c r="J2866" s="81">
        <v>120</v>
      </c>
      <c r="K2866" t="s">
        <v>47</v>
      </c>
    </row>
    <row r="2867" spans="2:11" x14ac:dyDescent="0.25">
      <c r="B2867" s="2">
        <v>79</v>
      </c>
      <c r="C2867" s="4">
        <v>22357.310999999998</v>
      </c>
      <c r="D2867" s="4">
        <v>72900.483999999997</v>
      </c>
      <c r="E2867" s="79">
        <v>0</v>
      </c>
      <c r="F2867" s="79">
        <f>SUM(BASE_DATOS[[#This Row],[Capital($)]:[Interés
Resarcitorio($)]])</f>
        <v>95257.794999999998</v>
      </c>
      <c r="G2867" s="8">
        <v>46554</v>
      </c>
      <c r="H2867" s="80" t="s">
        <v>57</v>
      </c>
      <c r="I2867" s="79" t="s">
        <v>6</v>
      </c>
      <c r="J2867" s="81">
        <v>120</v>
      </c>
      <c r="K2867" t="s">
        <v>47</v>
      </c>
    </row>
    <row r="2868" spans="2:11" x14ac:dyDescent="0.25">
      <c r="B2868" s="2">
        <v>79</v>
      </c>
      <c r="C2868" s="4">
        <v>22357.310999999998</v>
      </c>
      <c r="D2868" s="4">
        <v>72900.483999999997</v>
      </c>
      <c r="E2868" s="79">
        <v>12701.04</v>
      </c>
      <c r="F2868" s="79">
        <f>SUM(BASE_DATOS[[#This Row],[Capital($)]:[Interés
Resarcitorio($)]])</f>
        <v>107958.83499999999</v>
      </c>
      <c r="G2868" s="8">
        <v>46564</v>
      </c>
      <c r="H2868" s="80" t="s">
        <v>57</v>
      </c>
      <c r="I2868" s="79" t="s">
        <v>7</v>
      </c>
      <c r="J2868" s="81">
        <v>120</v>
      </c>
      <c r="K2868" t="s">
        <v>47</v>
      </c>
    </row>
    <row r="2869" spans="2:11" x14ac:dyDescent="0.25">
      <c r="B2869" s="2">
        <v>80</v>
      </c>
      <c r="C2869" s="4">
        <v>22357.310999999998</v>
      </c>
      <c r="D2869" s="4">
        <v>73573.438999999998</v>
      </c>
      <c r="E2869" s="79">
        <v>0</v>
      </c>
      <c r="F2869" s="79">
        <f>SUM(BASE_DATOS[[#This Row],[Capital($)]:[Interés
Resarcitorio($)]])</f>
        <v>95930.75</v>
      </c>
      <c r="G2869" s="8">
        <v>46584</v>
      </c>
      <c r="H2869" s="80" t="s">
        <v>57</v>
      </c>
      <c r="I2869" s="79" t="s">
        <v>6</v>
      </c>
      <c r="J2869" s="81">
        <v>120</v>
      </c>
      <c r="K2869" t="s">
        <v>47</v>
      </c>
    </row>
    <row r="2870" spans="2:11" x14ac:dyDescent="0.25">
      <c r="B2870" s="2">
        <v>80</v>
      </c>
      <c r="C2870" s="4">
        <v>22357.310999999998</v>
      </c>
      <c r="D2870" s="4">
        <v>73573.438999999998</v>
      </c>
      <c r="E2870" s="79">
        <v>12790.77</v>
      </c>
      <c r="F2870" s="79">
        <f>SUM(BASE_DATOS[[#This Row],[Capital($)]:[Interés
Resarcitorio($)]])</f>
        <v>108721.52</v>
      </c>
      <c r="G2870" s="8">
        <v>46594</v>
      </c>
      <c r="H2870" s="80" t="s">
        <v>57</v>
      </c>
      <c r="I2870" s="79" t="s">
        <v>7</v>
      </c>
      <c r="J2870" s="81">
        <v>120</v>
      </c>
      <c r="K2870" t="s">
        <v>47</v>
      </c>
    </row>
    <row r="2871" spans="2:11" x14ac:dyDescent="0.25">
      <c r="B2871" s="2">
        <v>81</v>
      </c>
      <c r="C2871" s="4">
        <v>22357.310999999998</v>
      </c>
      <c r="D2871" s="4">
        <v>74246.394</v>
      </c>
      <c r="E2871" s="79">
        <v>0</v>
      </c>
      <c r="F2871" s="79">
        <f>SUM(BASE_DATOS[[#This Row],[Capital($)]:[Interés
Resarcitorio($)]])</f>
        <v>96603.705000000002</v>
      </c>
      <c r="G2871" s="8">
        <v>46615</v>
      </c>
      <c r="H2871" s="80" t="s">
        <v>57</v>
      </c>
      <c r="I2871" s="79" t="s">
        <v>6</v>
      </c>
      <c r="J2871" s="81">
        <v>120</v>
      </c>
      <c r="K2871" t="s">
        <v>47</v>
      </c>
    </row>
    <row r="2872" spans="2:11" x14ac:dyDescent="0.25">
      <c r="B2872" s="2">
        <v>81</v>
      </c>
      <c r="C2872" s="4">
        <v>22357.310999999998</v>
      </c>
      <c r="D2872" s="4">
        <v>74246.394</v>
      </c>
      <c r="E2872" s="79">
        <v>12880.49</v>
      </c>
      <c r="F2872" s="79">
        <f>SUM(BASE_DATOS[[#This Row],[Capital($)]:[Interés
Resarcitorio($)]])</f>
        <v>109484.19500000001</v>
      </c>
      <c r="G2872" s="8">
        <v>46625</v>
      </c>
      <c r="H2872" s="80" t="s">
        <v>57</v>
      </c>
      <c r="I2872" s="79" t="s">
        <v>7</v>
      </c>
      <c r="J2872" s="81">
        <v>120</v>
      </c>
      <c r="K2872" t="s">
        <v>47</v>
      </c>
    </row>
    <row r="2873" spans="2:11" x14ac:dyDescent="0.25">
      <c r="B2873" s="2">
        <v>82</v>
      </c>
      <c r="C2873" s="4">
        <v>22357.310999999998</v>
      </c>
      <c r="D2873" s="4">
        <v>74919.349000000002</v>
      </c>
      <c r="E2873" s="79">
        <v>0</v>
      </c>
      <c r="F2873" s="79">
        <f>SUM(BASE_DATOS[[#This Row],[Capital($)]:[Interés
Resarcitorio($)]])</f>
        <v>97276.66</v>
      </c>
      <c r="G2873" s="8">
        <v>46646</v>
      </c>
      <c r="H2873" s="80" t="s">
        <v>57</v>
      </c>
      <c r="I2873" s="79" t="s">
        <v>6</v>
      </c>
      <c r="J2873" s="81">
        <v>120</v>
      </c>
      <c r="K2873" t="s">
        <v>47</v>
      </c>
    </row>
    <row r="2874" spans="2:11" x14ac:dyDescent="0.25">
      <c r="B2874" s="2">
        <v>82</v>
      </c>
      <c r="C2874" s="4">
        <v>22357.310999999998</v>
      </c>
      <c r="D2874" s="4">
        <v>74919.349000000002</v>
      </c>
      <c r="E2874" s="79">
        <v>12970.22</v>
      </c>
      <c r="F2874" s="79">
        <f>SUM(BASE_DATOS[[#This Row],[Capital($)]:[Interés
Resarcitorio($)]])</f>
        <v>110246.88</v>
      </c>
      <c r="G2874" s="8">
        <v>46656</v>
      </c>
      <c r="H2874" s="80" t="s">
        <v>57</v>
      </c>
      <c r="I2874" s="79" t="s">
        <v>7</v>
      </c>
      <c r="J2874" s="81">
        <v>120</v>
      </c>
      <c r="K2874" t="s">
        <v>47</v>
      </c>
    </row>
    <row r="2875" spans="2:11" x14ac:dyDescent="0.25">
      <c r="B2875" s="2">
        <v>83</v>
      </c>
      <c r="C2875" s="4">
        <v>22357.310999999998</v>
      </c>
      <c r="D2875" s="4">
        <v>75592.305000000008</v>
      </c>
      <c r="E2875" s="79">
        <v>0</v>
      </c>
      <c r="F2875" s="79">
        <f>SUM(BASE_DATOS[[#This Row],[Capital($)]:[Interés
Resarcitorio($)]])</f>
        <v>97949.616000000009</v>
      </c>
      <c r="G2875" s="8">
        <v>46676</v>
      </c>
      <c r="H2875" s="80" t="s">
        <v>57</v>
      </c>
      <c r="I2875" s="79" t="s">
        <v>6</v>
      </c>
      <c r="J2875" s="81">
        <v>120</v>
      </c>
      <c r="K2875" t="s">
        <v>47</v>
      </c>
    </row>
    <row r="2876" spans="2:11" x14ac:dyDescent="0.25">
      <c r="B2876" s="2">
        <v>83</v>
      </c>
      <c r="C2876" s="4">
        <v>22357.310999999998</v>
      </c>
      <c r="D2876" s="4">
        <v>75592.305000000008</v>
      </c>
      <c r="E2876" s="79">
        <v>13059.94</v>
      </c>
      <c r="F2876" s="79">
        <f>SUM(BASE_DATOS[[#This Row],[Capital($)]:[Interés
Resarcitorio($)]])</f>
        <v>111009.55600000001</v>
      </c>
      <c r="G2876" s="8">
        <v>46686</v>
      </c>
      <c r="H2876" s="80" t="s">
        <v>57</v>
      </c>
      <c r="I2876" s="79" t="s">
        <v>7</v>
      </c>
      <c r="J2876" s="81">
        <v>120</v>
      </c>
      <c r="K2876" t="s">
        <v>47</v>
      </c>
    </row>
    <row r="2877" spans="2:11" x14ac:dyDescent="0.25">
      <c r="B2877" s="2">
        <v>84</v>
      </c>
      <c r="C2877" s="4">
        <v>22357.310999999998</v>
      </c>
      <c r="D2877" s="4">
        <v>76265.258999999991</v>
      </c>
      <c r="E2877" s="79">
        <v>0</v>
      </c>
      <c r="F2877" s="79">
        <f>SUM(BASE_DATOS[[#This Row],[Capital($)]:[Interés
Resarcitorio($)]])</f>
        <v>98622.569999999992</v>
      </c>
      <c r="G2877" s="8">
        <v>46707</v>
      </c>
      <c r="H2877" s="80" t="s">
        <v>57</v>
      </c>
      <c r="I2877" s="79" t="s">
        <v>6</v>
      </c>
      <c r="J2877" s="81">
        <v>120</v>
      </c>
      <c r="K2877" t="s">
        <v>47</v>
      </c>
    </row>
    <row r="2878" spans="2:11" x14ac:dyDescent="0.25">
      <c r="B2878" s="2">
        <v>84</v>
      </c>
      <c r="C2878" s="4">
        <v>22357.310999999998</v>
      </c>
      <c r="D2878" s="4">
        <v>76265.258999999991</v>
      </c>
      <c r="E2878" s="79">
        <v>13149.68</v>
      </c>
      <c r="F2878" s="79">
        <f>SUM(BASE_DATOS[[#This Row],[Capital($)]:[Interés
Resarcitorio($)]])</f>
        <v>111772.25</v>
      </c>
      <c r="G2878" s="8">
        <v>46717</v>
      </c>
      <c r="H2878" s="80" t="s">
        <v>57</v>
      </c>
      <c r="I2878" s="79" t="s">
        <v>7</v>
      </c>
      <c r="J2878" s="81">
        <v>120</v>
      </c>
      <c r="K2878" t="s">
        <v>47</v>
      </c>
    </row>
    <row r="2879" spans="2:11" x14ac:dyDescent="0.25">
      <c r="B2879" s="2">
        <v>85</v>
      </c>
      <c r="C2879" s="4">
        <v>22357.310999999998</v>
      </c>
      <c r="D2879" s="4">
        <v>76938.214000000007</v>
      </c>
      <c r="E2879" s="79">
        <v>0</v>
      </c>
      <c r="F2879" s="79">
        <f>SUM(BASE_DATOS[[#This Row],[Capital($)]:[Interés
Resarcitorio($)]])</f>
        <v>99295.525000000009</v>
      </c>
      <c r="G2879" s="8">
        <v>46737</v>
      </c>
      <c r="H2879" s="80" t="s">
        <v>57</v>
      </c>
      <c r="I2879" s="79" t="s">
        <v>6</v>
      </c>
      <c r="J2879" s="81">
        <v>120</v>
      </c>
      <c r="K2879" t="s">
        <v>47</v>
      </c>
    </row>
    <row r="2880" spans="2:11" x14ac:dyDescent="0.25">
      <c r="B2880" s="2">
        <v>85</v>
      </c>
      <c r="C2880" s="4">
        <v>22357.310999999998</v>
      </c>
      <c r="D2880" s="4">
        <v>76938.214000000007</v>
      </c>
      <c r="E2880" s="79">
        <v>13239.41</v>
      </c>
      <c r="F2880" s="79">
        <f>SUM(BASE_DATOS[[#This Row],[Capital($)]:[Interés
Resarcitorio($)]])</f>
        <v>112534.93500000001</v>
      </c>
      <c r="G2880" s="8">
        <v>46747</v>
      </c>
      <c r="H2880" s="80" t="s">
        <v>57</v>
      </c>
      <c r="I2880" s="79" t="s">
        <v>7</v>
      </c>
      <c r="J2880" s="81">
        <v>120</v>
      </c>
      <c r="K2880" t="s">
        <v>47</v>
      </c>
    </row>
    <row r="2881" spans="2:11" x14ac:dyDescent="0.25">
      <c r="B2881" s="2">
        <v>86</v>
      </c>
      <c r="C2881" s="4">
        <v>22357.310999999998</v>
      </c>
      <c r="D2881" s="4">
        <v>77611.168999999994</v>
      </c>
      <c r="E2881" s="79">
        <v>0</v>
      </c>
      <c r="F2881" s="79">
        <f>SUM(BASE_DATOS[[#This Row],[Capital($)]:[Interés
Resarcitorio($)]])</f>
        <v>99968.48</v>
      </c>
      <c r="G2881" s="8">
        <v>46768</v>
      </c>
      <c r="H2881" s="80" t="s">
        <v>57</v>
      </c>
      <c r="I2881" s="79" t="s">
        <v>6</v>
      </c>
      <c r="J2881" s="81">
        <v>120</v>
      </c>
      <c r="K2881" t="s">
        <v>47</v>
      </c>
    </row>
    <row r="2882" spans="2:11" x14ac:dyDescent="0.25">
      <c r="B2882" s="2">
        <v>86</v>
      </c>
      <c r="C2882" s="4">
        <v>22357.310999999998</v>
      </c>
      <c r="D2882" s="4">
        <v>77611.168999999994</v>
      </c>
      <c r="E2882" s="79">
        <v>13329.13</v>
      </c>
      <c r="F2882" s="79">
        <f>SUM(BASE_DATOS[[#This Row],[Capital($)]:[Interés
Resarcitorio($)]])</f>
        <v>113297.61</v>
      </c>
      <c r="G2882" s="8">
        <v>46778</v>
      </c>
      <c r="H2882" s="80" t="s">
        <v>57</v>
      </c>
      <c r="I2882" s="79" t="s">
        <v>7</v>
      </c>
      <c r="J2882" s="81">
        <v>120</v>
      </c>
      <c r="K2882" t="s">
        <v>47</v>
      </c>
    </row>
    <row r="2883" spans="2:11" x14ac:dyDescent="0.25">
      <c r="B2883" s="2">
        <v>87</v>
      </c>
      <c r="C2883" s="4">
        <v>22357.310999999998</v>
      </c>
      <c r="D2883" s="4">
        <v>78284.125</v>
      </c>
      <c r="E2883" s="79">
        <v>0</v>
      </c>
      <c r="F2883" s="79">
        <f>SUM(BASE_DATOS[[#This Row],[Capital($)]:[Interés
Resarcitorio($)]])</f>
        <v>100641.436</v>
      </c>
      <c r="G2883" s="8">
        <v>46799</v>
      </c>
      <c r="H2883" s="80" t="s">
        <v>57</v>
      </c>
      <c r="I2883" s="79" t="s">
        <v>6</v>
      </c>
      <c r="J2883" s="81">
        <v>120</v>
      </c>
      <c r="K2883" t="s">
        <v>47</v>
      </c>
    </row>
    <row r="2884" spans="2:11" x14ac:dyDescent="0.25">
      <c r="B2884" s="2">
        <v>87</v>
      </c>
      <c r="C2884" s="4">
        <v>22357.310999999998</v>
      </c>
      <c r="D2884" s="4">
        <v>78284.125</v>
      </c>
      <c r="E2884" s="79">
        <v>13418.86</v>
      </c>
      <c r="F2884" s="79">
        <f>SUM(BASE_DATOS[[#This Row],[Capital($)]:[Interés
Resarcitorio($)]])</f>
        <v>114060.296</v>
      </c>
      <c r="G2884" s="8">
        <v>46809</v>
      </c>
      <c r="H2884" s="80" t="s">
        <v>57</v>
      </c>
      <c r="I2884" s="79" t="s">
        <v>7</v>
      </c>
      <c r="J2884" s="81">
        <v>120</v>
      </c>
      <c r="K2884" t="s">
        <v>47</v>
      </c>
    </row>
    <row r="2885" spans="2:11" x14ac:dyDescent="0.25">
      <c r="B2885" s="2">
        <v>88</v>
      </c>
      <c r="C2885" s="4">
        <v>22357.310999999998</v>
      </c>
      <c r="D2885" s="4">
        <v>78957.078999999998</v>
      </c>
      <c r="E2885" s="79">
        <v>0</v>
      </c>
      <c r="F2885" s="79">
        <f>SUM(BASE_DATOS[[#This Row],[Capital($)]:[Interés
Resarcitorio($)]])</f>
        <v>101314.39</v>
      </c>
      <c r="G2885" s="8">
        <v>46828</v>
      </c>
      <c r="H2885" s="80" t="s">
        <v>57</v>
      </c>
      <c r="I2885" s="79" t="s">
        <v>6</v>
      </c>
      <c r="J2885" s="81">
        <v>120</v>
      </c>
      <c r="K2885" t="s">
        <v>47</v>
      </c>
    </row>
    <row r="2886" spans="2:11" x14ac:dyDescent="0.25">
      <c r="B2886" s="2">
        <v>88</v>
      </c>
      <c r="C2886" s="4">
        <v>22357.310999999998</v>
      </c>
      <c r="D2886" s="4">
        <v>78957.078999999998</v>
      </c>
      <c r="E2886" s="79">
        <v>13508.58</v>
      </c>
      <c r="F2886" s="79">
        <f>SUM(BASE_DATOS[[#This Row],[Capital($)]:[Interés
Resarcitorio($)]])</f>
        <v>114822.97</v>
      </c>
      <c r="G2886" s="8">
        <v>46838</v>
      </c>
      <c r="H2886" s="80" t="s">
        <v>57</v>
      </c>
      <c r="I2886" s="79" t="s">
        <v>7</v>
      </c>
      <c r="J2886" s="81">
        <v>120</v>
      </c>
      <c r="K2886" t="s">
        <v>47</v>
      </c>
    </row>
    <row r="2887" spans="2:11" x14ac:dyDescent="0.25">
      <c r="B2887" s="2">
        <v>89</v>
      </c>
      <c r="C2887" s="4">
        <v>22357.310999999998</v>
      </c>
      <c r="D2887" s="4">
        <v>79630.034</v>
      </c>
      <c r="E2887" s="79">
        <v>0</v>
      </c>
      <c r="F2887" s="79">
        <f>SUM(BASE_DATOS[[#This Row],[Capital($)]:[Interés
Resarcitorio($)]])</f>
        <v>101987.345</v>
      </c>
      <c r="G2887" s="8">
        <v>46859</v>
      </c>
      <c r="H2887" s="80" t="s">
        <v>57</v>
      </c>
      <c r="I2887" s="79" t="s">
        <v>6</v>
      </c>
      <c r="J2887" s="81">
        <v>120</v>
      </c>
      <c r="K2887" t="s">
        <v>47</v>
      </c>
    </row>
    <row r="2888" spans="2:11" x14ac:dyDescent="0.25">
      <c r="B2888" s="2">
        <v>89</v>
      </c>
      <c r="C2888" s="4">
        <v>22357.310999999998</v>
      </c>
      <c r="D2888" s="4">
        <v>79630.034</v>
      </c>
      <c r="E2888" s="79">
        <v>13598.31</v>
      </c>
      <c r="F2888" s="79">
        <f>SUM(BASE_DATOS[[#This Row],[Capital($)]:[Interés
Resarcitorio($)]])</f>
        <v>115585.655</v>
      </c>
      <c r="G2888" s="8">
        <v>46869</v>
      </c>
      <c r="H2888" s="80" t="s">
        <v>57</v>
      </c>
      <c r="I2888" s="79" t="s">
        <v>7</v>
      </c>
      <c r="J2888" s="81">
        <v>120</v>
      </c>
      <c r="K2888" t="s">
        <v>47</v>
      </c>
    </row>
    <row r="2889" spans="2:11" x14ac:dyDescent="0.25">
      <c r="B2889" s="2">
        <v>90</v>
      </c>
      <c r="C2889" s="4">
        <v>22357.310999999998</v>
      </c>
      <c r="D2889" s="4">
        <v>80302.990000000005</v>
      </c>
      <c r="E2889" s="79">
        <v>0</v>
      </c>
      <c r="F2889" s="79">
        <f>SUM(BASE_DATOS[[#This Row],[Capital($)]:[Interés
Resarcitorio($)]])</f>
        <v>102660.30100000001</v>
      </c>
      <c r="G2889" s="8">
        <v>46889</v>
      </c>
      <c r="H2889" s="80" t="s">
        <v>57</v>
      </c>
      <c r="I2889" s="79" t="s">
        <v>6</v>
      </c>
      <c r="J2889" s="81">
        <v>120</v>
      </c>
      <c r="K2889" t="s">
        <v>47</v>
      </c>
    </row>
    <row r="2890" spans="2:11" x14ac:dyDescent="0.25">
      <c r="B2890" s="2">
        <v>90</v>
      </c>
      <c r="C2890" s="4">
        <v>22357.310999999998</v>
      </c>
      <c r="D2890" s="4">
        <v>80302.990000000005</v>
      </c>
      <c r="E2890" s="79">
        <v>13688.04</v>
      </c>
      <c r="F2890" s="79">
        <f>SUM(BASE_DATOS[[#This Row],[Capital($)]:[Interés
Resarcitorio($)]])</f>
        <v>116348.34100000001</v>
      </c>
      <c r="G2890" s="8">
        <v>46899</v>
      </c>
      <c r="H2890" s="80" t="s">
        <v>57</v>
      </c>
      <c r="I2890" s="79" t="s">
        <v>7</v>
      </c>
      <c r="J2890" s="81">
        <v>120</v>
      </c>
      <c r="K2890" t="s">
        <v>47</v>
      </c>
    </row>
    <row r="2891" spans="2:11" x14ac:dyDescent="0.25">
      <c r="B2891" s="2">
        <v>91</v>
      </c>
      <c r="C2891" s="4">
        <v>22357.310999999998</v>
      </c>
      <c r="D2891" s="4">
        <v>80975.944999999992</v>
      </c>
      <c r="E2891" s="79">
        <v>0</v>
      </c>
      <c r="F2891" s="79">
        <f>SUM(BASE_DATOS[[#This Row],[Capital($)]:[Interés
Resarcitorio($)]])</f>
        <v>103333.25599999999</v>
      </c>
      <c r="G2891" s="8">
        <v>46920</v>
      </c>
      <c r="H2891" s="80" t="s">
        <v>57</v>
      </c>
      <c r="I2891" s="79" t="s">
        <v>6</v>
      </c>
      <c r="J2891" s="81">
        <v>120</v>
      </c>
      <c r="K2891" t="s">
        <v>47</v>
      </c>
    </row>
    <row r="2892" spans="2:11" x14ac:dyDescent="0.25">
      <c r="B2892" s="2">
        <v>91</v>
      </c>
      <c r="C2892" s="4">
        <v>22357.310999999998</v>
      </c>
      <c r="D2892" s="4">
        <v>80975.944999999992</v>
      </c>
      <c r="E2892" s="79">
        <v>13777.76</v>
      </c>
      <c r="F2892" s="79">
        <f>SUM(BASE_DATOS[[#This Row],[Capital($)]:[Interés
Resarcitorio($)]])</f>
        <v>117111.01599999999</v>
      </c>
      <c r="G2892" s="8">
        <v>46930</v>
      </c>
      <c r="H2892" s="80" t="s">
        <v>57</v>
      </c>
      <c r="I2892" s="79" t="s">
        <v>7</v>
      </c>
      <c r="J2892" s="81">
        <v>120</v>
      </c>
      <c r="K2892" t="s">
        <v>47</v>
      </c>
    </row>
    <row r="2893" spans="2:11" x14ac:dyDescent="0.25">
      <c r="B2893" s="2">
        <v>92</v>
      </c>
      <c r="C2893" s="4">
        <v>22357.310999999998</v>
      </c>
      <c r="D2893" s="4">
        <v>81648.899000000005</v>
      </c>
      <c r="E2893" s="79">
        <v>0</v>
      </c>
      <c r="F2893" s="79">
        <f>SUM(BASE_DATOS[[#This Row],[Capital($)]:[Interés
Resarcitorio($)]])</f>
        <v>104006.21</v>
      </c>
      <c r="G2893" s="8">
        <v>46950</v>
      </c>
      <c r="H2893" s="80" t="s">
        <v>57</v>
      </c>
      <c r="I2893" s="79" t="s">
        <v>6</v>
      </c>
      <c r="J2893" s="81">
        <v>120</v>
      </c>
      <c r="K2893" t="s">
        <v>47</v>
      </c>
    </row>
    <row r="2894" spans="2:11" x14ac:dyDescent="0.25">
      <c r="B2894" s="2">
        <v>92</v>
      </c>
      <c r="C2894" s="4">
        <v>22357.310999999998</v>
      </c>
      <c r="D2894" s="4">
        <v>81648.899000000005</v>
      </c>
      <c r="E2894" s="79">
        <v>13867.5</v>
      </c>
      <c r="F2894" s="79">
        <f>SUM(BASE_DATOS[[#This Row],[Capital($)]:[Interés
Resarcitorio($)]])</f>
        <v>117873.71</v>
      </c>
      <c r="G2894" s="8">
        <v>46960</v>
      </c>
      <c r="H2894" s="80" t="s">
        <v>57</v>
      </c>
      <c r="I2894" s="79" t="s">
        <v>7</v>
      </c>
      <c r="J2894" s="81">
        <v>120</v>
      </c>
      <c r="K2894" t="s">
        <v>47</v>
      </c>
    </row>
    <row r="2895" spans="2:11" x14ac:dyDescent="0.25">
      <c r="B2895" s="2">
        <v>93</v>
      </c>
      <c r="C2895" s="4">
        <v>22357.310999999998</v>
      </c>
      <c r="D2895" s="4">
        <v>82321.85500000001</v>
      </c>
      <c r="E2895" s="79">
        <v>0</v>
      </c>
      <c r="F2895" s="79">
        <f>SUM(BASE_DATOS[[#This Row],[Capital($)]:[Interés
Resarcitorio($)]])</f>
        <v>104679.16600000001</v>
      </c>
      <c r="G2895" s="8">
        <v>46981</v>
      </c>
      <c r="H2895" s="80" t="s">
        <v>57</v>
      </c>
      <c r="I2895" s="79" t="s">
        <v>6</v>
      </c>
      <c r="J2895" s="81">
        <v>120</v>
      </c>
      <c r="K2895" t="s">
        <v>47</v>
      </c>
    </row>
    <row r="2896" spans="2:11" x14ac:dyDescent="0.25">
      <c r="B2896" s="2">
        <v>93</v>
      </c>
      <c r="C2896" s="4">
        <v>22357.310999999998</v>
      </c>
      <c r="D2896" s="4">
        <v>82321.85500000001</v>
      </c>
      <c r="E2896" s="79">
        <v>13957.22</v>
      </c>
      <c r="F2896" s="79">
        <f>SUM(BASE_DATOS[[#This Row],[Capital($)]:[Interés
Resarcitorio($)]])</f>
        <v>118636.38600000001</v>
      </c>
      <c r="G2896" s="8">
        <v>46991</v>
      </c>
      <c r="H2896" s="80" t="s">
        <v>57</v>
      </c>
      <c r="I2896" s="79" t="s">
        <v>7</v>
      </c>
      <c r="J2896" s="81">
        <v>120</v>
      </c>
      <c r="K2896" t="s">
        <v>47</v>
      </c>
    </row>
    <row r="2897" spans="2:11" x14ac:dyDescent="0.25">
      <c r="B2897" s="2">
        <v>94</v>
      </c>
      <c r="C2897" s="4">
        <v>22357.310999999998</v>
      </c>
      <c r="D2897" s="4">
        <v>82994.81</v>
      </c>
      <c r="E2897" s="79">
        <v>0</v>
      </c>
      <c r="F2897" s="79">
        <f>SUM(BASE_DATOS[[#This Row],[Capital($)]:[Interés
Resarcitorio($)]])</f>
        <v>105352.121</v>
      </c>
      <c r="G2897" s="8">
        <v>47012</v>
      </c>
      <c r="H2897" s="80" t="s">
        <v>57</v>
      </c>
      <c r="I2897" s="79" t="s">
        <v>6</v>
      </c>
      <c r="J2897" s="81">
        <v>120</v>
      </c>
      <c r="K2897" t="s">
        <v>47</v>
      </c>
    </row>
    <row r="2898" spans="2:11" x14ac:dyDescent="0.25">
      <c r="B2898" s="2">
        <v>94</v>
      </c>
      <c r="C2898" s="4">
        <v>22357.310999999998</v>
      </c>
      <c r="D2898" s="4">
        <v>82994.81</v>
      </c>
      <c r="E2898" s="79">
        <v>14046.95</v>
      </c>
      <c r="F2898" s="79">
        <f>SUM(BASE_DATOS[[#This Row],[Capital($)]:[Interés
Resarcitorio($)]])</f>
        <v>119399.071</v>
      </c>
      <c r="G2898" s="8">
        <v>47022</v>
      </c>
      <c r="H2898" s="80" t="s">
        <v>57</v>
      </c>
      <c r="I2898" s="79" t="s">
        <v>7</v>
      </c>
      <c r="J2898" s="81">
        <v>120</v>
      </c>
      <c r="K2898" t="s">
        <v>47</v>
      </c>
    </row>
    <row r="2899" spans="2:11" x14ac:dyDescent="0.25">
      <c r="B2899" s="2">
        <v>95</v>
      </c>
      <c r="C2899" s="4">
        <v>22357.310999999998</v>
      </c>
      <c r="D2899" s="4">
        <v>83667.764999999999</v>
      </c>
      <c r="E2899" s="79">
        <v>0</v>
      </c>
      <c r="F2899" s="79">
        <f>SUM(BASE_DATOS[[#This Row],[Capital($)]:[Interés
Resarcitorio($)]])</f>
        <v>106025.076</v>
      </c>
      <c r="G2899" s="8">
        <v>47042</v>
      </c>
      <c r="H2899" s="80" t="s">
        <v>57</v>
      </c>
      <c r="I2899" s="79" t="s">
        <v>6</v>
      </c>
      <c r="J2899" s="81">
        <v>120</v>
      </c>
      <c r="K2899" t="s">
        <v>47</v>
      </c>
    </row>
    <row r="2900" spans="2:11" x14ac:dyDescent="0.25">
      <c r="B2900" s="2">
        <v>95</v>
      </c>
      <c r="C2900" s="4">
        <v>22357.310999999998</v>
      </c>
      <c r="D2900" s="4">
        <v>83667.764999999999</v>
      </c>
      <c r="E2900" s="79">
        <v>14136.68</v>
      </c>
      <c r="F2900" s="79">
        <f>SUM(BASE_DATOS[[#This Row],[Capital($)]:[Interés
Resarcitorio($)]])</f>
        <v>120161.75599999999</v>
      </c>
      <c r="G2900" s="8">
        <v>47052</v>
      </c>
      <c r="H2900" s="80" t="s">
        <v>57</v>
      </c>
      <c r="I2900" s="79" t="s">
        <v>7</v>
      </c>
      <c r="J2900" s="81">
        <v>120</v>
      </c>
      <c r="K2900" t="s">
        <v>47</v>
      </c>
    </row>
    <row r="2901" spans="2:11" x14ac:dyDescent="0.25">
      <c r="B2901" s="2">
        <v>96</v>
      </c>
      <c r="C2901" s="4">
        <v>22357.310999999998</v>
      </c>
      <c r="D2901" s="4">
        <v>84340.72099999999</v>
      </c>
      <c r="E2901" s="79">
        <v>0</v>
      </c>
      <c r="F2901" s="79">
        <f>SUM(BASE_DATOS[[#This Row],[Capital($)]:[Interés
Resarcitorio($)]])</f>
        <v>106698.03199999999</v>
      </c>
      <c r="G2901" s="8">
        <v>47073</v>
      </c>
      <c r="H2901" s="80" t="s">
        <v>57</v>
      </c>
      <c r="I2901" s="79" t="s">
        <v>6</v>
      </c>
      <c r="J2901" s="81">
        <v>120</v>
      </c>
      <c r="K2901" t="s">
        <v>47</v>
      </c>
    </row>
    <row r="2902" spans="2:11" x14ac:dyDescent="0.25">
      <c r="B2902" s="2">
        <v>96</v>
      </c>
      <c r="C2902" s="4">
        <v>22357.310999999998</v>
      </c>
      <c r="D2902" s="4">
        <v>84340.72099999999</v>
      </c>
      <c r="E2902" s="79">
        <v>14226.4</v>
      </c>
      <c r="F2902" s="79">
        <f>SUM(BASE_DATOS[[#This Row],[Capital($)]:[Interés
Resarcitorio($)]])</f>
        <v>120924.43199999999</v>
      </c>
      <c r="G2902" s="8">
        <v>47083</v>
      </c>
      <c r="H2902" s="80" t="s">
        <v>57</v>
      </c>
      <c r="I2902" s="79" t="s">
        <v>7</v>
      </c>
      <c r="J2902" s="81">
        <v>120</v>
      </c>
      <c r="K2902" t="s">
        <v>47</v>
      </c>
    </row>
    <row r="2903" spans="2:11" x14ac:dyDescent="0.25">
      <c r="B2903" s="2">
        <v>97</v>
      </c>
      <c r="C2903" s="4">
        <v>22357.310999999998</v>
      </c>
      <c r="D2903" s="4">
        <v>85013.675000000003</v>
      </c>
      <c r="E2903" s="79">
        <v>0</v>
      </c>
      <c r="F2903" s="79">
        <f>SUM(BASE_DATOS[[#This Row],[Capital($)]:[Interés
Resarcitorio($)]])</f>
        <v>107370.986</v>
      </c>
      <c r="G2903" s="8">
        <v>47103</v>
      </c>
      <c r="H2903" s="80" t="s">
        <v>57</v>
      </c>
      <c r="I2903" s="79" t="s">
        <v>6</v>
      </c>
      <c r="J2903" s="81">
        <v>120</v>
      </c>
      <c r="K2903" t="s">
        <v>47</v>
      </c>
    </row>
    <row r="2904" spans="2:11" x14ac:dyDescent="0.25">
      <c r="B2904" s="2">
        <v>97</v>
      </c>
      <c r="C2904" s="4">
        <v>22357.310999999998</v>
      </c>
      <c r="D2904" s="4">
        <v>85013.675000000003</v>
      </c>
      <c r="E2904" s="79">
        <v>14316.13</v>
      </c>
      <c r="F2904" s="79">
        <f>SUM(BASE_DATOS[[#This Row],[Capital($)]:[Interés
Resarcitorio($)]])</f>
        <v>121687.11600000001</v>
      </c>
      <c r="G2904" s="8">
        <v>47113</v>
      </c>
      <c r="H2904" s="80" t="s">
        <v>57</v>
      </c>
      <c r="I2904" s="79" t="s">
        <v>7</v>
      </c>
      <c r="J2904" s="81">
        <v>120</v>
      </c>
      <c r="K2904" t="s">
        <v>47</v>
      </c>
    </row>
    <row r="2905" spans="2:11" x14ac:dyDescent="0.25">
      <c r="B2905" s="2">
        <v>98</v>
      </c>
      <c r="C2905" s="4">
        <v>22357.310999999998</v>
      </c>
      <c r="D2905" s="4">
        <v>85686.63</v>
      </c>
      <c r="E2905" s="79">
        <v>0</v>
      </c>
      <c r="F2905" s="79">
        <f>SUM(BASE_DATOS[[#This Row],[Capital($)]:[Interés
Resarcitorio($)]])</f>
        <v>108043.94100000001</v>
      </c>
      <c r="G2905" s="8">
        <v>47134</v>
      </c>
      <c r="H2905" s="80" t="s">
        <v>57</v>
      </c>
      <c r="I2905" s="79" t="s">
        <v>6</v>
      </c>
      <c r="J2905" s="81">
        <v>120</v>
      </c>
      <c r="K2905" t="s">
        <v>47</v>
      </c>
    </row>
    <row r="2906" spans="2:11" x14ac:dyDescent="0.25">
      <c r="B2906" s="2">
        <v>98</v>
      </c>
      <c r="C2906" s="4">
        <v>22357.310999999998</v>
      </c>
      <c r="D2906" s="4">
        <v>85686.63</v>
      </c>
      <c r="E2906" s="79">
        <v>14405.86</v>
      </c>
      <c r="F2906" s="79">
        <f>SUM(BASE_DATOS[[#This Row],[Capital($)]:[Interés
Resarcitorio($)]])</f>
        <v>122449.80100000001</v>
      </c>
      <c r="G2906" s="8">
        <v>47144</v>
      </c>
      <c r="H2906" s="80" t="s">
        <v>57</v>
      </c>
      <c r="I2906" s="79" t="s">
        <v>7</v>
      </c>
      <c r="J2906" s="81">
        <v>120</v>
      </c>
      <c r="K2906" t="s">
        <v>47</v>
      </c>
    </row>
    <row r="2907" spans="2:11" x14ac:dyDescent="0.25">
      <c r="B2907" s="2">
        <v>99</v>
      </c>
      <c r="C2907" s="4">
        <v>22357.310999999998</v>
      </c>
      <c r="D2907" s="4">
        <v>86359.584999999992</v>
      </c>
      <c r="E2907" s="79">
        <v>0</v>
      </c>
      <c r="F2907" s="79">
        <f>SUM(BASE_DATOS[[#This Row],[Capital($)]:[Interés
Resarcitorio($)]])</f>
        <v>108716.89599999999</v>
      </c>
      <c r="G2907" s="8">
        <v>47165</v>
      </c>
      <c r="H2907" s="80" t="s">
        <v>57</v>
      </c>
      <c r="I2907" s="79" t="s">
        <v>6</v>
      </c>
      <c r="J2907" s="81">
        <v>120</v>
      </c>
      <c r="K2907" t="s">
        <v>47</v>
      </c>
    </row>
    <row r="2908" spans="2:11" x14ac:dyDescent="0.25">
      <c r="B2908" s="2">
        <v>99</v>
      </c>
      <c r="C2908" s="4">
        <v>22357.310999999998</v>
      </c>
      <c r="D2908" s="4">
        <v>86359.584999999992</v>
      </c>
      <c r="E2908" s="79">
        <v>14495.59</v>
      </c>
      <c r="F2908" s="79">
        <f>SUM(BASE_DATOS[[#This Row],[Capital($)]:[Interés
Resarcitorio($)]])</f>
        <v>123212.48599999999</v>
      </c>
      <c r="G2908" s="8">
        <v>47175</v>
      </c>
      <c r="H2908" s="80" t="s">
        <v>57</v>
      </c>
      <c r="I2908" s="79" t="s">
        <v>7</v>
      </c>
      <c r="J2908" s="81">
        <v>120</v>
      </c>
      <c r="K2908" t="s">
        <v>47</v>
      </c>
    </row>
    <row r="2909" spans="2:11" x14ac:dyDescent="0.25">
      <c r="B2909" s="2">
        <v>100</v>
      </c>
      <c r="C2909" s="4">
        <v>22357.310999999998</v>
      </c>
      <c r="D2909" s="4">
        <v>87032.540999999997</v>
      </c>
      <c r="E2909" s="79">
        <v>0</v>
      </c>
      <c r="F2909" s="79">
        <f>SUM(BASE_DATOS[[#This Row],[Capital($)]:[Interés
Resarcitorio($)]])</f>
        <v>109389.852</v>
      </c>
      <c r="G2909" s="8">
        <v>47193</v>
      </c>
      <c r="H2909" s="80" t="s">
        <v>57</v>
      </c>
      <c r="I2909" s="79" t="s">
        <v>6</v>
      </c>
      <c r="J2909" s="81">
        <v>120</v>
      </c>
      <c r="K2909" t="s">
        <v>47</v>
      </c>
    </row>
    <row r="2910" spans="2:11" x14ac:dyDescent="0.25">
      <c r="B2910" s="2">
        <v>100</v>
      </c>
      <c r="C2910" s="4">
        <v>22357.310999999998</v>
      </c>
      <c r="D2910" s="4">
        <v>87032.540999999997</v>
      </c>
      <c r="E2910" s="79">
        <v>14585.32</v>
      </c>
      <c r="F2910" s="79">
        <f>SUM(BASE_DATOS[[#This Row],[Capital($)]:[Interés
Resarcitorio($)]])</f>
        <v>123975.17199999999</v>
      </c>
      <c r="G2910" s="8">
        <v>47203</v>
      </c>
      <c r="H2910" s="80" t="s">
        <v>57</v>
      </c>
      <c r="I2910" s="79" t="s">
        <v>7</v>
      </c>
      <c r="J2910" s="81">
        <v>120</v>
      </c>
      <c r="K2910" t="s">
        <v>47</v>
      </c>
    </row>
    <row r="2911" spans="2:11" x14ac:dyDescent="0.25">
      <c r="B2911" s="2">
        <v>101</v>
      </c>
      <c r="C2911" s="4">
        <v>22357.310999999998</v>
      </c>
      <c r="D2911" s="4">
        <v>87705.494999999995</v>
      </c>
      <c r="E2911" s="79">
        <v>0</v>
      </c>
      <c r="F2911" s="79">
        <f>SUM(BASE_DATOS[[#This Row],[Capital($)]:[Interés
Resarcitorio($)]])</f>
        <v>110062.806</v>
      </c>
      <c r="G2911" s="8">
        <v>47224</v>
      </c>
      <c r="H2911" s="80" t="s">
        <v>57</v>
      </c>
      <c r="I2911" s="79" t="s">
        <v>6</v>
      </c>
      <c r="J2911" s="81">
        <v>120</v>
      </c>
      <c r="K2911" t="s">
        <v>47</v>
      </c>
    </row>
    <row r="2912" spans="2:11" x14ac:dyDescent="0.25">
      <c r="B2912" s="2">
        <v>101</v>
      </c>
      <c r="C2912" s="4">
        <v>22357.310999999998</v>
      </c>
      <c r="D2912" s="4">
        <v>87705.494999999995</v>
      </c>
      <c r="E2912" s="79">
        <v>14675.04</v>
      </c>
      <c r="F2912" s="79">
        <f>SUM(BASE_DATOS[[#This Row],[Capital($)]:[Interés
Resarcitorio($)]])</f>
        <v>124737.84599999999</v>
      </c>
      <c r="G2912" s="8">
        <v>47234</v>
      </c>
      <c r="H2912" s="80" t="s">
        <v>57</v>
      </c>
      <c r="I2912" s="79" t="s">
        <v>7</v>
      </c>
      <c r="J2912" s="81">
        <v>120</v>
      </c>
      <c r="K2912" t="s">
        <v>47</v>
      </c>
    </row>
    <row r="2913" spans="2:11" x14ac:dyDescent="0.25">
      <c r="B2913" s="2">
        <v>102</v>
      </c>
      <c r="C2913" s="4">
        <v>22357.310999999998</v>
      </c>
      <c r="D2913" s="4">
        <v>88378.45</v>
      </c>
      <c r="E2913" s="79">
        <v>0</v>
      </c>
      <c r="F2913" s="79">
        <f>SUM(BASE_DATOS[[#This Row],[Capital($)]:[Interés
Resarcitorio($)]])</f>
        <v>110735.761</v>
      </c>
      <c r="G2913" s="8">
        <v>47254</v>
      </c>
      <c r="H2913" s="80" t="s">
        <v>57</v>
      </c>
      <c r="I2913" s="79" t="s">
        <v>6</v>
      </c>
      <c r="J2913" s="81">
        <v>120</v>
      </c>
      <c r="K2913" t="s">
        <v>47</v>
      </c>
    </row>
    <row r="2914" spans="2:11" x14ac:dyDescent="0.25">
      <c r="B2914" s="2">
        <v>102</v>
      </c>
      <c r="C2914" s="4">
        <v>22357.310999999998</v>
      </c>
      <c r="D2914" s="4">
        <v>88378.45</v>
      </c>
      <c r="E2914" s="79">
        <v>14764.77</v>
      </c>
      <c r="F2914" s="79">
        <f>SUM(BASE_DATOS[[#This Row],[Capital($)]:[Interés
Resarcitorio($)]])</f>
        <v>125500.531</v>
      </c>
      <c r="G2914" s="8">
        <v>47264</v>
      </c>
      <c r="H2914" s="80" t="s">
        <v>57</v>
      </c>
      <c r="I2914" s="79" t="s">
        <v>7</v>
      </c>
      <c r="J2914" s="81">
        <v>120</v>
      </c>
      <c r="K2914" t="s">
        <v>47</v>
      </c>
    </row>
    <row r="2915" spans="2:11" x14ac:dyDescent="0.25">
      <c r="B2915" s="2">
        <v>103</v>
      </c>
      <c r="C2915" s="4">
        <v>22357.310999999998</v>
      </c>
      <c r="D2915" s="4">
        <v>89051.406000000003</v>
      </c>
      <c r="E2915" s="79">
        <v>0</v>
      </c>
      <c r="F2915" s="79">
        <f>SUM(BASE_DATOS[[#This Row],[Capital($)]:[Interés
Resarcitorio($)]])</f>
        <v>111408.717</v>
      </c>
      <c r="G2915" s="8">
        <v>47285</v>
      </c>
      <c r="H2915" s="80" t="s">
        <v>57</v>
      </c>
      <c r="I2915" s="79" t="s">
        <v>6</v>
      </c>
      <c r="J2915" s="81">
        <v>120</v>
      </c>
      <c r="K2915" t="s">
        <v>47</v>
      </c>
    </row>
    <row r="2916" spans="2:11" x14ac:dyDescent="0.25">
      <c r="B2916" s="2">
        <v>103</v>
      </c>
      <c r="C2916" s="4">
        <v>22357.310999999998</v>
      </c>
      <c r="D2916" s="4">
        <v>89051.406000000003</v>
      </c>
      <c r="E2916" s="79">
        <v>14854.5</v>
      </c>
      <c r="F2916" s="79">
        <f>SUM(BASE_DATOS[[#This Row],[Capital($)]:[Interés
Resarcitorio($)]])</f>
        <v>126263.217</v>
      </c>
      <c r="G2916" s="8">
        <v>47295</v>
      </c>
      <c r="H2916" s="80" t="s">
        <v>57</v>
      </c>
      <c r="I2916" s="79" t="s">
        <v>7</v>
      </c>
      <c r="J2916" s="81">
        <v>120</v>
      </c>
      <c r="K2916" t="s">
        <v>47</v>
      </c>
    </row>
    <row r="2917" spans="2:11" x14ac:dyDescent="0.25">
      <c r="B2917" s="2">
        <v>104</v>
      </c>
      <c r="C2917" s="4">
        <v>22357.310999999998</v>
      </c>
      <c r="D2917" s="4">
        <v>89724.361000000004</v>
      </c>
      <c r="E2917" s="79">
        <v>0</v>
      </c>
      <c r="F2917" s="79">
        <f>SUM(BASE_DATOS[[#This Row],[Capital($)]:[Interés
Resarcitorio($)]])</f>
        <v>112081.67200000001</v>
      </c>
      <c r="G2917" s="8">
        <v>47315</v>
      </c>
      <c r="H2917" s="80" t="s">
        <v>57</v>
      </c>
      <c r="I2917" s="79" t="s">
        <v>6</v>
      </c>
      <c r="J2917" s="81">
        <v>120</v>
      </c>
      <c r="K2917" t="s">
        <v>47</v>
      </c>
    </row>
    <row r="2918" spans="2:11" x14ac:dyDescent="0.25">
      <c r="B2918" s="2">
        <v>104</v>
      </c>
      <c r="C2918" s="4">
        <v>22357.310999999998</v>
      </c>
      <c r="D2918" s="4">
        <v>89724.361000000004</v>
      </c>
      <c r="E2918" s="79">
        <v>14944.22</v>
      </c>
      <c r="F2918" s="79">
        <f>SUM(BASE_DATOS[[#This Row],[Capital($)]:[Interés
Resarcitorio($)]])</f>
        <v>127025.89200000001</v>
      </c>
      <c r="G2918" s="8">
        <v>47325</v>
      </c>
      <c r="H2918" s="80" t="s">
        <v>57</v>
      </c>
      <c r="I2918" s="79" t="s">
        <v>7</v>
      </c>
      <c r="J2918" s="81">
        <v>120</v>
      </c>
      <c r="K2918" t="s">
        <v>47</v>
      </c>
    </row>
    <row r="2919" spans="2:11" x14ac:dyDescent="0.25">
      <c r="B2919" s="2">
        <v>105</v>
      </c>
      <c r="C2919" s="4">
        <v>22357.310999999998</v>
      </c>
      <c r="D2919" s="4">
        <v>90397.315000000002</v>
      </c>
      <c r="E2919" s="79">
        <v>0</v>
      </c>
      <c r="F2919" s="79">
        <f>SUM(BASE_DATOS[[#This Row],[Capital($)]:[Interés
Resarcitorio($)]])</f>
        <v>112754.626</v>
      </c>
      <c r="G2919" s="8">
        <v>47346</v>
      </c>
      <c r="H2919" s="80" t="s">
        <v>57</v>
      </c>
      <c r="I2919" s="79" t="s">
        <v>6</v>
      </c>
      <c r="J2919" s="81">
        <v>120</v>
      </c>
      <c r="K2919" t="s">
        <v>47</v>
      </c>
    </row>
    <row r="2920" spans="2:11" x14ac:dyDescent="0.25">
      <c r="B2920" s="2">
        <v>105</v>
      </c>
      <c r="C2920" s="4">
        <v>22357.310999999998</v>
      </c>
      <c r="D2920" s="4">
        <v>90397.315000000002</v>
      </c>
      <c r="E2920" s="79">
        <v>15033.95</v>
      </c>
      <c r="F2920" s="79">
        <f>SUM(BASE_DATOS[[#This Row],[Capital($)]:[Interés
Resarcitorio($)]])</f>
        <v>127788.576</v>
      </c>
      <c r="G2920" s="8">
        <v>47356</v>
      </c>
      <c r="H2920" s="80" t="s">
        <v>57</v>
      </c>
      <c r="I2920" s="79" t="s">
        <v>7</v>
      </c>
      <c r="J2920" s="81">
        <v>120</v>
      </c>
      <c r="K2920" t="s">
        <v>47</v>
      </c>
    </row>
    <row r="2921" spans="2:11" x14ac:dyDescent="0.25">
      <c r="B2921" s="2">
        <v>106</v>
      </c>
      <c r="C2921" s="4">
        <v>22357.310999999998</v>
      </c>
      <c r="D2921" s="4">
        <v>91070.270999999993</v>
      </c>
      <c r="E2921" s="79">
        <v>0</v>
      </c>
      <c r="F2921" s="79">
        <f>SUM(BASE_DATOS[[#This Row],[Capital($)]:[Interés
Resarcitorio($)]])</f>
        <v>113427.58199999999</v>
      </c>
      <c r="G2921" s="8">
        <v>47377</v>
      </c>
      <c r="H2921" s="80" t="s">
        <v>57</v>
      </c>
      <c r="I2921" s="79" t="s">
        <v>6</v>
      </c>
      <c r="J2921" s="81">
        <v>120</v>
      </c>
      <c r="K2921" t="s">
        <v>47</v>
      </c>
    </row>
    <row r="2922" spans="2:11" x14ac:dyDescent="0.25">
      <c r="B2922" s="2">
        <v>106</v>
      </c>
      <c r="C2922" s="4">
        <v>22357.310999999998</v>
      </c>
      <c r="D2922" s="4">
        <v>91070.270999999993</v>
      </c>
      <c r="E2922" s="79">
        <v>15123.67</v>
      </c>
      <c r="F2922" s="79">
        <f>SUM(BASE_DATOS[[#This Row],[Capital($)]:[Interés
Resarcitorio($)]])</f>
        <v>128551.25199999999</v>
      </c>
      <c r="G2922" s="8">
        <v>47387</v>
      </c>
      <c r="H2922" s="80" t="s">
        <v>57</v>
      </c>
      <c r="I2922" s="79" t="s">
        <v>7</v>
      </c>
      <c r="J2922" s="81">
        <v>120</v>
      </c>
      <c r="K2922" t="s">
        <v>47</v>
      </c>
    </row>
    <row r="2923" spans="2:11" x14ac:dyDescent="0.25">
      <c r="B2923" s="2">
        <v>107</v>
      </c>
      <c r="C2923" s="4">
        <v>22357.310999999998</v>
      </c>
      <c r="D2923" s="4">
        <v>91743.225999999995</v>
      </c>
      <c r="E2923" s="79">
        <v>0</v>
      </c>
      <c r="F2923" s="79">
        <f>SUM(BASE_DATOS[[#This Row],[Capital($)]:[Interés
Resarcitorio($)]])</f>
        <v>114100.537</v>
      </c>
      <c r="G2923" s="8">
        <v>47407</v>
      </c>
      <c r="H2923" s="80" t="s">
        <v>57</v>
      </c>
      <c r="I2923" s="79" t="s">
        <v>6</v>
      </c>
      <c r="J2923" s="81">
        <v>120</v>
      </c>
      <c r="K2923" t="s">
        <v>47</v>
      </c>
    </row>
    <row r="2924" spans="2:11" x14ac:dyDescent="0.25">
      <c r="B2924" s="2">
        <v>107</v>
      </c>
      <c r="C2924" s="4">
        <v>22357.310999999998</v>
      </c>
      <c r="D2924" s="4">
        <v>91743.225999999995</v>
      </c>
      <c r="E2924" s="79">
        <v>15213.41</v>
      </c>
      <c r="F2924" s="79">
        <f>SUM(BASE_DATOS[[#This Row],[Capital($)]:[Interés
Resarcitorio($)]])</f>
        <v>129313.947</v>
      </c>
      <c r="G2924" s="8">
        <v>47417</v>
      </c>
      <c r="H2924" s="80" t="s">
        <v>57</v>
      </c>
      <c r="I2924" s="79" t="s">
        <v>7</v>
      </c>
      <c r="J2924" s="81">
        <v>120</v>
      </c>
      <c r="K2924" t="s">
        <v>47</v>
      </c>
    </row>
    <row r="2925" spans="2:11" x14ac:dyDescent="0.25">
      <c r="B2925" s="2">
        <v>108</v>
      </c>
      <c r="C2925" s="4">
        <v>22357.310999999998</v>
      </c>
      <c r="D2925" s="4">
        <v>92416.181000000011</v>
      </c>
      <c r="E2925" s="79">
        <v>0</v>
      </c>
      <c r="F2925" s="79">
        <f>SUM(BASE_DATOS[[#This Row],[Capital($)]:[Interés
Resarcitorio($)]])</f>
        <v>114773.49200000001</v>
      </c>
      <c r="G2925" s="8">
        <v>47438</v>
      </c>
      <c r="H2925" s="80" t="s">
        <v>57</v>
      </c>
      <c r="I2925" s="79" t="s">
        <v>6</v>
      </c>
      <c r="J2925" s="81">
        <v>120</v>
      </c>
      <c r="K2925" t="s">
        <v>47</v>
      </c>
    </row>
    <row r="2926" spans="2:11" x14ac:dyDescent="0.25">
      <c r="B2926" s="2">
        <v>108</v>
      </c>
      <c r="C2926" s="4">
        <v>22357.310999999998</v>
      </c>
      <c r="D2926" s="4">
        <v>92416.181000000011</v>
      </c>
      <c r="E2926" s="79">
        <v>15303.14</v>
      </c>
      <c r="F2926" s="79">
        <f>SUM(BASE_DATOS[[#This Row],[Capital($)]:[Interés
Resarcitorio($)]])</f>
        <v>130076.63200000001</v>
      </c>
      <c r="G2926" s="8">
        <v>47448</v>
      </c>
      <c r="H2926" s="80" t="s">
        <v>57</v>
      </c>
      <c r="I2926" s="79" t="s">
        <v>7</v>
      </c>
      <c r="J2926" s="81">
        <v>120</v>
      </c>
      <c r="K2926" t="s">
        <v>47</v>
      </c>
    </row>
    <row r="2927" spans="2:11" x14ac:dyDescent="0.25">
      <c r="B2927" s="2">
        <v>109</v>
      </c>
      <c r="C2927" s="4">
        <v>22357.310999999998</v>
      </c>
      <c r="D2927" s="4">
        <v>93089.134999999995</v>
      </c>
      <c r="E2927" s="79">
        <v>0</v>
      </c>
      <c r="F2927" s="79">
        <f>SUM(BASE_DATOS[[#This Row],[Capital($)]:[Interés
Resarcitorio($)]])</f>
        <v>115446.446</v>
      </c>
      <c r="G2927" s="8">
        <v>47468</v>
      </c>
      <c r="H2927" s="80" t="s">
        <v>57</v>
      </c>
      <c r="I2927" s="79" t="s">
        <v>6</v>
      </c>
      <c r="J2927" s="81">
        <v>120</v>
      </c>
      <c r="K2927" t="s">
        <v>47</v>
      </c>
    </row>
    <row r="2928" spans="2:11" x14ac:dyDescent="0.25">
      <c r="B2928" s="2">
        <v>109</v>
      </c>
      <c r="C2928" s="4">
        <v>22357.310999999998</v>
      </c>
      <c r="D2928" s="4">
        <v>93089.134999999995</v>
      </c>
      <c r="E2928" s="79">
        <v>15392.86</v>
      </c>
      <c r="F2928" s="79">
        <f>SUM(BASE_DATOS[[#This Row],[Capital($)]:[Interés
Resarcitorio($)]])</f>
        <v>130839.306</v>
      </c>
      <c r="G2928" s="8">
        <v>47478</v>
      </c>
      <c r="H2928" s="80" t="s">
        <v>57</v>
      </c>
      <c r="I2928" s="79" t="s">
        <v>7</v>
      </c>
      <c r="J2928" s="81">
        <v>120</v>
      </c>
      <c r="K2928" t="s">
        <v>47</v>
      </c>
    </row>
    <row r="2929" spans="2:11" x14ac:dyDescent="0.25">
      <c r="B2929" s="2">
        <v>110</v>
      </c>
      <c r="C2929" s="4">
        <v>22357.310999999998</v>
      </c>
      <c r="D2929" s="4">
        <v>93762.091</v>
      </c>
      <c r="E2929" s="79">
        <v>0</v>
      </c>
      <c r="F2929" s="79">
        <f>SUM(BASE_DATOS[[#This Row],[Capital($)]:[Interés
Resarcitorio($)]])</f>
        <v>116119.402</v>
      </c>
      <c r="G2929" s="8">
        <v>47499</v>
      </c>
      <c r="H2929" s="80" t="s">
        <v>57</v>
      </c>
      <c r="I2929" s="79" t="s">
        <v>6</v>
      </c>
      <c r="J2929" s="81">
        <v>120</v>
      </c>
      <c r="K2929" t="s">
        <v>47</v>
      </c>
    </row>
    <row r="2930" spans="2:11" x14ac:dyDescent="0.25">
      <c r="B2930" s="2">
        <v>110</v>
      </c>
      <c r="C2930" s="4">
        <v>22357.310999999998</v>
      </c>
      <c r="D2930" s="4">
        <v>93762.091</v>
      </c>
      <c r="E2930" s="79">
        <v>15482.59</v>
      </c>
      <c r="F2930" s="79">
        <f>SUM(BASE_DATOS[[#This Row],[Capital($)]:[Interés
Resarcitorio($)]])</f>
        <v>131601.992</v>
      </c>
      <c r="G2930" s="8">
        <v>47509</v>
      </c>
      <c r="H2930" s="80" t="s">
        <v>57</v>
      </c>
      <c r="I2930" s="79" t="s">
        <v>7</v>
      </c>
      <c r="J2930" s="81">
        <v>120</v>
      </c>
      <c r="K2930" t="s">
        <v>47</v>
      </c>
    </row>
    <row r="2931" spans="2:11" x14ac:dyDescent="0.25">
      <c r="B2931" s="2">
        <v>111</v>
      </c>
      <c r="C2931" s="4">
        <v>22357.310999999998</v>
      </c>
      <c r="D2931" s="4">
        <v>94435.046000000002</v>
      </c>
      <c r="E2931" s="79">
        <v>0</v>
      </c>
      <c r="F2931" s="79">
        <f>SUM(BASE_DATOS[[#This Row],[Capital($)]:[Interés
Resarcitorio($)]])</f>
        <v>116792.357</v>
      </c>
      <c r="G2931" s="8">
        <v>47530</v>
      </c>
      <c r="H2931" s="80" t="s">
        <v>57</v>
      </c>
      <c r="I2931" s="79" t="s">
        <v>6</v>
      </c>
      <c r="J2931" s="81">
        <v>120</v>
      </c>
      <c r="K2931" t="s">
        <v>47</v>
      </c>
    </row>
    <row r="2932" spans="2:11" x14ac:dyDescent="0.25">
      <c r="B2932" s="2">
        <v>111</v>
      </c>
      <c r="C2932" s="4">
        <v>22357.310999999998</v>
      </c>
      <c r="D2932" s="4">
        <v>94435.046000000002</v>
      </c>
      <c r="E2932" s="79">
        <v>15572.31</v>
      </c>
      <c r="F2932" s="79">
        <f>SUM(BASE_DATOS[[#This Row],[Capital($)]:[Interés
Resarcitorio($)]])</f>
        <v>132364.66700000002</v>
      </c>
      <c r="G2932" s="8">
        <v>47540</v>
      </c>
      <c r="H2932" s="80" t="s">
        <v>57</v>
      </c>
      <c r="I2932" s="79" t="s">
        <v>7</v>
      </c>
      <c r="J2932" s="81">
        <v>120</v>
      </c>
      <c r="K2932" t="s">
        <v>47</v>
      </c>
    </row>
    <row r="2933" spans="2:11" x14ac:dyDescent="0.25">
      <c r="B2933" s="2">
        <v>112</v>
      </c>
      <c r="C2933" s="4">
        <v>22357.310999999998</v>
      </c>
      <c r="D2933" s="4">
        <v>95108.001000000004</v>
      </c>
      <c r="E2933" s="79">
        <v>0</v>
      </c>
      <c r="F2933" s="79">
        <f>SUM(BASE_DATOS[[#This Row],[Capital($)]:[Interés
Resarcitorio($)]])</f>
        <v>117465.31200000001</v>
      </c>
      <c r="G2933" s="8">
        <v>47558</v>
      </c>
      <c r="H2933" s="80" t="s">
        <v>57</v>
      </c>
      <c r="I2933" s="79" t="s">
        <v>6</v>
      </c>
      <c r="J2933" s="81">
        <v>120</v>
      </c>
      <c r="K2933" t="s">
        <v>47</v>
      </c>
    </row>
    <row r="2934" spans="2:11" x14ac:dyDescent="0.25">
      <c r="B2934" s="2">
        <v>112</v>
      </c>
      <c r="C2934" s="4">
        <v>22357.310999999998</v>
      </c>
      <c r="D2934" s="4">
        <v>95108.001000000004</v>
      </c>
      <c r="E2934" s="79">
        <v>15662.04</v>
      </c>
      <c r="F2934" s="79">
        <f>SUM(BASE_DATOS[[#This Row],[Capital($)]:[Interés
Resarcitorio($)]])</f>
        <v>133127.35200000001</v>
      </c>
      <c r="G2934" s="8">
        <v>47568</v>
      </c>
      <c r="H2934" s="80" t="s">
        <v>57</v>
      </c>
      <c r="I2934" s="79" t="s">
        <v>7</v>
      </c>
      <c r="J2934" s="81">
        <v>120</v>
      </c>
      <c r="K2934" t="s">
        <v>47</v>
      </c>
    </row>
    <row r="2935" spans="2:11" x14ac:dyDescent="0.25">
      <c r="B2935" s="2">
        <v>113</v>
      </c>
      <c r="C2935" s="4">
        <v>22357.310999999998</v>
      </c>
      <c r="D2935" s="4">
        <v>95780.956000000006</v>
      </c>
      <c r="E2935" s="79">
        <v>0</v>
      </c>
      <c r="F2935" s="79">
        <f>SUM(BASE_DATOS[[#This Row],[Capital($)]:[Interés
Resarcitorio($)]])</f>
        <v>118138.26700000001</v>
      </c>
      <c r="G2935" s="8">
        <v>47589</v>
      </c>
      <c r="H2935" s="80" t="s">
        <v>57</v>
      </c>
      <c r="I2935" s="79" t="s">
        <v>6</v>
      </c>
      <c r="J2935" s="81">
        <v>120</v>
      </c>
      <c r="K2935" t="s">
        <v>47</v>
      </c>
    </row>
    <row r="2936" spans="2:11" x14ac:dyDescent="0.25">
      <c r="B2936" s="2">
        <v>113</v>
      </c>
      <c r="C2936" s="4">
        <v>22357.310999999998</v>
      </c>
      <c r="D2936" s="4">
        <v>95780.956000000006</v>
      </c>
      <c r="E2936" s="79">
        <v>15751.77</v>
      </c>
      <c r="F2936" s="79">
        <f>SUM(BASE_DATOS[[#This Row],[Capital($)]:[Interés
Resarcitorio($)]])</f>
        <v>133890.03700000001</v>
      </c>
      <c r="G2936" s="8">
        <v>47599</v>
      </c>
      <c r="H2936" s="80" t="s">
        <v>57</v>
      </c>
      <c r="I2936" s="79" t="s">
        <v>7</v>
      </c>
      <c r="J2936" s="81">
        <v>120</v>
      </c>
      <c r="K2936" t="s">
        <v>47</v>
      </c>
    </row>
    <row r="2937" spans="2:11" x14ac:dyDescent="0.25">
      <c r="B2937" s="2">
        <v>114</v>
      </c>
      <c r="C2937" s="4">
        <v>22357.310999999998</v>
      </c>
      <c r="D2937" s="4">
        <v>96453.910999999993</v>
      </c>
      <c r="E2937" s="79">
        <v>0</v>
      </c>
      <c r="F2937" s="79">
        <f>SUM(BASE_DATOS[[#This Row],[Capital($)]:[Interés
Resarcitorio($)]])</f>
        <v>118811.22199999999</v>
      </c>
      <c r="G2937" s="8">
        <v>47619</v>
      </c>
      <c r="H2937" s="80" t="s">
        <v>57</v>
      </c>
      <c r="I2937" s="79" t="s">
        <v>6</v>
      </c>
      <c r="J2937" s="81">
        <v>120</v>
      </c>
      <c r="K2937" t="s">
        <v>47</v>
      </c>
    </row>
    <row r="2938" spans="2:11" x14ac:dyDescent="0.25">
      <c r="B2938" s="2">
        <v>114</v>
      </c>
      <c r="C2938" s="4">
        <v>22357.310999999998</v>
      </c>
      <c r="D2938" s="4">
        <v>96453.910999999993</v>
      </c>
      <c r="E2938" s="79">
        <v>15841.49</v>
      </c>
      <c r="F2938" s="79">
        <f>SUM(BASE_DATOS[[#This Row],[Capital($)]:[Interés
Resarcitorio($)]])</f>
        <v>134652.712</v>
      </c>
      <c r="G2938" s="8">
        <v>47629</v>
      </c>
      <c r="H2938" s="80" t="s">
        <v>57</v>
      </c>
      <c r="I2938" s="79" t="s">
        <v>7</v>
      </c>
      <c r="J2938" s="81">
        <v>120</v>
      </c>
      <c r="K2938" t="s">
        <v>47</v>
      </c>
    </row>
    <row r="2939" spans="2:11" x14ac:dyDescent="0.25">
      <c r="B2939" s="2">
        <v>115</v>
      </c>
      <c r="C2939" s="4">
        <v>22357.310999999998</v>
      </c>
      <c r="D2939" s="4">
        <v>97126.866000000009</v>
      </c>
      <c r="E2939" s="79">
        <v>0</v>
      </c>
      <c r="F2939" s="79">
        <f>SUM(BASE_DATOS[[#This Row],[Capital($)]:[Interés
Resarcitorio($)]])</f>
        <v>119484.17700000001</v>
      </c>
      <c r="G2939" s="8">
        <v>47650</v>
      </c>
      <c r="H2939" s="80" t="s">
        <v>57</v>
      </c>
      <c r="I2939" s="79" t="s">
        <v>6</v>
      </c>
      <c r="J2939" s="81">
        <v>120</v>
      </c>
      <c r="K2939" t="s">
        <v>47</v>
      </c>
    </row>
    <row r="2940" spans="2:11" x14ac:dyDescent="0.25">
      <c r="B2940" s="2">
        <v>115</v>
      </c>
      <c r="C2940" s="4">
        <v>22357.310999999998</v>
      </c>
      <c r="D2940" s="4">
        <v>97126.866000000009</v>
      </c>
      <c r="E2940" s="79">
        <v>15931.23</v>
      </c>
      <c r="F2940" s="79">
        <f>SUM(BASE_DATOS[[#This Row],[Capital($)]:[Interés
Resarcitorio($)]])</f>
        <v>135415.40700000001</v>
      </c>
      <c r="G2940" s="8">
        <v>47660</v>
      </c>
      <c r="H2940" s="80" t="s">
        <v>57</v>
      </c>
      <c r="I2940" s="79" t="s">
        <v>7</v>
      </c>
      <c r="J2940" s="81">
        <v>120</v>
      </c>
      <c r="K2940" t="s">
        <v>47</v>
      </c>
    </row>
    <row r="2941" spans="2:11" x14ac:dyDescent="0.25">
      <c r="B2941" s="2">
        <v>116</v>
      </c>
      <c r="C2941" s="4">
        <v>22357.310999999998</v>
      </c>
      <c r="D2941" s="4">
        <v>97799.822</v>
      </c>
      <c r="E2941" s="79">
        <v>0</v>
      </c>
      <c r="F2941" s="79">
        <f>SUM(BASE_DATOS[[#This Row],[Capital($)]:[Interés
Resarcitorio($)]])</f>
        <v>120157.133</v>
      </c>
      <c r="G2941" s="8">
        <v>47680</v>
      </c>
      <c r="H2941" s="80" t="s">
        <v>57</v>
      </c>
      <c r="I2941" s="79" t="s">
        <v>6</v>
      </c>
      <c r="J2941" s="81">
        <v>120</v>
      </c>
      <c r="K2941" t="s">
        <v>47</v>
      </c>
    </row>
    <row r="2942" spans="2:11" x14ac:dyDescent="0.25">
      <c r="B2942" s="2">
        <v>116</v>
      </c>
      <c r="C2942" s="4">
        <v>22357.310999999998</v>
      </c>
      <c r="D2942" s="4">
        <v>97799.822</v>
      </c>
      <c r="E2942" s="79">
        <v>16020.95</v>
      </c>
      <c r="F2942" s="79">
        <f>SUM(BASE_DATOS[[#This Row],[Capital($)]:[Interés
Resarcitorio($)]])</f>
        <v>136178.08300000001</v>
      </c>
      <c r="G2942" s="8">
        <v>47690</v>
      </c>
      <c r="H2942" s="80" t="s">
        <v>57</v>
      </c>
      <c r="I2942" s="79" t="s">
        <v>7</v>
      </c>
      <c r="J2942" s="81">
        <v>120</v>
      </c>
      <c r="K2942" t="s">
        <v>47</v>
      </c>
    </row>
    <row r="2943" spans="2:11" x14ac:dyDescent="0.25">
      <c r="B2943" s="2">
        <v>117</v>
      </c>
      <c r="C2943" s="4">
        <v>22357.310999999998</v>
      </c>
      <c r="D2943" s="4">
        <v>98472.775999999998</v>
      </c>
      <c r="E2943" s="79">
        <v>0</v>
      </c>
      <c r="F2943" s="79">
        <f>SUM(BASE_DATOS[[#This Row],[Capital($)]:[Interés
Resarcitorio($)]])</f>
        <v>120830.087</v>
      </c>
      <c r="G2943" s="8">
        <v>47711</v>
      </c>
      <c r="H2943" s="80" t="s">
        <v>57</v>
      </c>
      <c r="I2943" s="79" t="s">
        <v>6</v>
      </c>
      <c r="J2943" s="81">
        <v>120</v>
      </c>
      <c r="K2943" t="s">
        <v>47</v>
      </c>
    </row>
    <row r="2944" spans="2:11" x14ac:dyDescent="0.25">
      <c r="B2944" s="2">
        <v>117</v>
      </c>
      <c r="C2944" s="4">
        <v>22357.310999999998</v>
      </c>
      <c r="D2944" s="4">
        <v>98472.775999999998</v>
      </c>
      <c r="E2944" s="79">
        <v>16110.68</v>
      </c>
      <c r="F2944" s="79">
        <f>SUM(BASE_DATOS[[#This Row],[Capital($)]:[Interés
Resarcitorio($)]])</f>
        <v>136940.76699999999</v>
      </c>
      <c r="G2944" s="8">
        <v>47721</v>
      </c>
      <c r="H2944" s="80" t="s">
        <v>57</v>
      </c>
      <c r="I2944" s="79" t="s">
        <v>7</v>
      </c>
      <c r="J2944" s="81">
        <v>120</v>
      </c>
      <c r="K2944" t="s">
        <v>47</v>
      </c>
    </row>
    <row r="2945" spans="2:11" x14ac:dyDescent="0.25">
      <c r="B2945" s="2">
        <v>118</v>
      </c>
      <c r="C2945" s="4">
        <v>22357.310999999998</v>
      </c>
      <c r="D2945" s="4">
        <v>99145.731</v>
      </c>
      <c r="E2945" s="79">
        <v>0</v>
      </c>
      <c r="F2945" s="79">
        <f>SUM(BASE_DATOS[[#This Row],[Capital($)]:[Interés
Resarcitorio($)]])</f>
        <v>121503.042</v>
      </c>
      <c r="G2945" s="8">
        <v>47742</v>
      </c>
      <c r="H2945" s="80" t="s">
        <v>57</v>
      </c>
      <c r="I2945" s="79" t="s">
        <v>6</v>
      </c>
      <c r="J2945" s="81">
        <v>120</v>
      </c>
      <c r="K2945" t="s">
        <v>47</v>
      </c>
    </row>
    <row r="2946" spans="2:11" x14ac:dyDescent="0.25">
      <c r="B2946" s="2">
        <v>118</v>
      </c>
      <c r="C2946" s="4">
        <v>22357.310999999998</v>
      </c>
      <c r="D2946" s="4">
        <v>99145.731</v>
      </c>
      <c r="E2946" s="79">
        <v>16200.41</v>
      </c>
      <c r="F2946" s="79">
        <f>SUM(BASE_DATOS[[#This Row],[Capital($)]:[Interés
Resarcitorio($)]])</f>
        <v>137703.45199999999</v>
      </c>
      <c r="G2946" s="8">
        <v>47752</v>
      </c>
      <c r="H2946" s="80" t="s">
        <v>57</v>
      </c>
      <c r="I2946" s="79" t="s">
        <v>7</v>
      </c>
      <c r="J2946" s="81">
        <v>120</v>
      </c>
      <c r="K2946" t="s">
        <v>47</v>
      </c>
    </row>
    <row r="2947" spans="2:11" x14ac:dyDescent="0.25">
      <c r="B2947" s="2">
        <v>119</v>
      </c>
      <c r="C2947" s="4">
        <v>22357.310999999998</v>
      </c>
      <c r="D2947" s="4">
        <v>99818.687000000005</v>
      </c>
      <c r="E2947" s="79">
        <v>0</v>
      </c>
      <c r="F2947" s="79">
        <f>SUM(BASE_DATOS[[#This Row],[Capital($)]:[Interés
Resarcitorio($)]])</f>
        <v>122175.99800000001</v>
      </c>
      <c r="G2947" s="8">
        <v>47772</v>
      </c>
      <c r="H2947" s="80" t="s">
        <v>57</v>
      </c>
      <c r="I2947" s="79" t="s">
        <v>6</v>
      </c>
      <c r="J2947" s="81">
        <v>120</v>
      </c>
      <c r="K2947" t="s">
        <v>47</v>
      </c>
    </row>
    <row r="2948" spans="2:11" x14ac:dyDescent="0.25">
      <c r="B2948" s="2">
        <v>119</v>
      </c>
      <c r="C2948" s="4">
        <v>22357.310999999998</v>
      </c>
      <c r="D2948" s="4">
        <v>99818.687000000005</v>
      </c>
      <c r="E2948" s="79">
        <v>16290.13</v>
      </c>
      <c r="F2948" s="79">
        <f>SUM(BASE_DATOS[[#This Row],[Capital($)]:[Interés
Resarcitorio($)]])</f>
        <v>138466.128</v>
      </c>
      <c r="G2948" s="8">
        <v>47782</v>
      </c>
      <c r="H2948" s="80" t="s">
        <v>57</v>
      </c>
      <c r="I2948" s="79" t="s">
        <v>7</v>
      </c>
      <c r="J2948" s="81">
        <v>120</v>
      </c>
      <c r="K2948" t="s">
        <v>47</v>
      </c>
    </row>
    <row r="2949" spans="2:11" x14ac:dyDescent="0.25">
      <c r="B2949" s="2">
        <v>120</v>
      </c>
      <c r="C2949" s="4">
        <v>22357.439999999999</v>
      </c>
      <c r="D2949" s="4">
        <v>100492.22099999999</v>
      </c>
      <c r="E2949" s="79">
        <v>0</v>
      </c>
      <c r="F2949" s="79">
        <f>SUM(BASE_DATOS[[#This Row],[Capital($)]:[Interés
Resarcitorio($)]])</f>
        <v>122849.66099999999</v>
      </c>
      <c r="G2949" s="8">
        <v>47803</v>
      </c>
      <c r="H2949" s="80" t="s">
        <v>57</v>
      </c>
      <c r="I2949" s="79" t="s">
        <v>6</v>
      </c>
      <c r="J2949" s="81">
        <v>120</v>
      </c>
      <c r="K2949" t="s">
        <v>47</v>
      </c>
    </row>
    <row r="2950" spans="2:11" x14ac:dyDescent="0.25">
      <c r="B2950" s="2">
        <v>120</v>
      </c>
      <c r="C2950" s="4">
        <v>22357.439999999999</v>
      </c>
      <c r="D2950" s="4">
        <v>100492.22099999999</v>
      </c>
      <c r="E2950" s="79">
        <v>16379.95</v>
      </c>
      <c r="F2950" s="79">
        <f>SUM(BASE_DATOS[[#This Row],[Capital($)]:[Interés
Resarcitorio($)]])</f>
        <v>139229.611</v>
      </c>
      <c r="G2950" s="8">
        <v>47813</v>
      </c>
      <c r="H2950" s="80" t="s">
        <v>57</v>
      </c>
      <c r="I2950" s="79" t="s">
        <v>7</v>
      </c>
      <c r="J2950" s="81">
        <v>120</v>
      </c>
      <c r="K2950" t="s">
        <v>47</v>
      </c>
    </row>
    <row r="2951" spans="2:11" x14ac:dyDescent="0.25">
      <c r="B2951" s="2">
        <v>1</v>
      </c>
      <c r="C2951" s="4">
        <v>9078.1910000000007</v>
      </c>
      <c r="D2951" s="4">
        <v>175.512</v>
      </c>
      <c r="E2951" s="79">
        <v>0</v>
      </c>
      <c r="F2951" s="79">
        <f>SUM(BASE_DATOS[[#This Row],[Capital($)]:[Interés
Resarcitorio($)]])</f>
        <v>9253.7030000000013</v>
      </c>
      <c r="G2951" s="8">
        <v>44181</v>
      </c>
      <c r="H2951" s="80" t="s">
        <v>59</v>
      </c>
      <c r="I2951" s="79" t="s">
        <v>9</v>
      </c>
      <c r="J2951" s="81">
        <v>120</v>
      </c>
      <c r="K2951" t="s">
        <v>47</v>
      </c>
    </row>
    <row r="2952" spans="2:11" x14ac:dyDescent="0.25">
      <c r="B2952" s="2">
        <f>+B2951</f>
        <v>1</v>
      </c>
      <c r="C2952" s="4">
        <v>9078.1910000000007</v>
      </c>
      <c r="D2952" s="4">
        <v>175.512</v>
      </c>
      <c r="E2952" s="79">
        <v>931.54</v>
      </c>
      <c r="F2952" s="79">
        <f>SUM(BASE_DATOS[[#This Row],[Capital($)]:[Interés
Resarcitorio($)]])</f>
        <v>10185.243000000002</v>
      </c>
      <c r="G2952" s="8">
        <v>44191</v>
      </c>
      <c r="H2952" s="80" t="s">
        <v>59</v>
      </c>
      <c r="I2952" s="79" t="s">
        <v>7</v>
      </c>
      <c r="J2952" s="81">
        <v>120</v>
      </c>
      <c r="K2952" t="s">
        <v>47</v>
      </c>
    </row>
    <row r="2953" spans="2:11" x14ac:dyDescent="0.25">
      <c r="B2953" s="2">
        <v>2</v>
      </c>
      <c r="C2953" s="4">
        <v>9078.1910000000007</v>
      </c>
      <c r="D2953" s="4">
        <v>363.12800000000004</v>
      </c>
      <c r="E2953" s="79">
        <v>0</v>
      </c>
      <c r="F2953" s="79">
        <f>SUM(BASE_DATOS[[#This Row],[Capital($)]:[Interés
Resarcitorio($)]])</f>
        <v>9441.3190000000013</v>
      </c>
      <c r="G2953" s="8">
        <v>44212</v>
      </c>
      <c r="H2953" s="80" t="s">
        <v>59</v>
      </c>
      <c r="I2953" s="79" t="s">
        <v>9</v>
      </c>
      <c r="J2953" s="81">
        <v>120</v>
      </c>
      <c r="K2953" t="s">
        <v>47</v>
      </c>
    </row>
    <row r="2954" spans="2:11" x14ac:dyDescent="0.25">
      <c r="B2954" s="2">
        <f>+B2953</f>
        <v>2</v>
      </c>
      <c r="C2954" s="4">
        <v>9078.1910000000007</v>
      </c>
      <c r="D2954" s="4">
        <v>363.12800000000004</v>
      </c>
      <c r="E2954" s="79">
        <v>1054.28</v>
      </c>
      <c r="F2954" s="79">
        <f>SUM(BASE_DATOS[[#This Row],[Capital($)]:[Interés
Resarcitorio($)]])</f>
        <v>10495.599000000002</v>
      </c>
      <c r="G2954" s="8">
        <v>44222</v>
      </c>
      <c r="H2954" s="80" t="s">
        <v>59</v>
      </c>
      <c r="I2954" s="79" t="s">
        <v>7</v>
      </c>
      <c r="J2954" s="81">
        <v>120</v>
      </c>
      <c r="K2954" t="s">
        <v>47</v>
      </c>
    </row>
    <row r="2955" spans="2:11" x14ac:dyDescent="0.25">
      <c r="B2955" s="2">
        <v>3</v>
      </c>
      <c r="C2955" s="4">
        <v>9078.1910000000007</v>
      </c>
      <c r="D2955" s="4">
        <v>544.69100000000003</v>
      </c>
      <c r="E2955" s="79">
        <v>0</v>
      </c>
      <c r="F2955" s="79">
        <f>SUM(BASE_DATOS[[#This Row],[Capital($)]:[Interés
Resarcitorio($)]])</f>
        <v>9622.8820000000014</v>
      </c>
      <c r="G2955" s="8">
        <v>44243</v>
      </c>
      <c r="H2955" s="80" t="s">
        <v>59</v>
      </c>
      <c r="I2955" s="79" t="s">
        <v>9</v>
      </c>
      <c r="J2955" s="81">
        <v>120</v>
      </c>
      <c r="K2955" t="s">
        <v>47</v>
      </c>
    </row>
    <row r="2956" spans="2:11" x14ac:dyDescent="0.25">
      <c r="B2956" s="2">
        <f>+B2955</f>
        <v>3</v>
      </c>
      <c r="C2956" s="4">
        <v>9078.1910000000007</v>
      </c>
      <c r="D2956" s="4">
        <v>544.69100000000003</v>
      </c>
      <c r="E2956" s="79">
        <v>1074.56</v>
      </c>
      <c r="F2956" s="79">
        <f>SUM(BASE_DATOS[[#This Row],[Capital($)]:[Interés
Resarcitorio($)]])</f>
        <v>10697.442000000001</v>
      </c>
      <c r="G2956" s="8">
        <v>44253</v>
      </c>
      <c r="H2956" s="80" t="s">
        <v>59</v>
      </c>
      <c r="I2956" s="79" t="s">
        <v>7</v>
      </c>
      <c r="J2956" s="81">
        <v>120</v>
      </c>
      <c r="K2956" t="s">
        <v>47</v>
      </c>
    </row>
    <row r="2957" spans="2:11" x14ac:dyDescent="0.25">
      <c r="B2957" s="2">
        <v>4</v>
      </c>
      <c r="C2957" s="4">
        <v>9078.1910000000007</v>
      </c>
      <c r="D2957" s="4">
        <v>708.09899999999993</v>
      </c>
      <c r="E2957" s="79">
        <v>0</v>
      </c>
      <c r="F2957" s="79">
        <f>SUM(BASE_DATOS[[#This Row],[Capital($)]:[Interés
Resarcitorio($)]])</f>
        <v>9786.2900000000009</v>
      </c>
      <c r="G2957" s="8">
        <v>44271</v>
      </c>
      <c r="H2957" s="80" t="s">
        <v>59</v>
      </c>
      <c r="I2957" s="79" t="s">
        <v>9</v>
      </c>
      <c r="J2957" s="81">
        <v>120</v>
      </c>
      <c r="K2957" t="s">
        <v>47</v>
      </c>
    </row>
    <row r="2958" spans="2:11" x14ac:dyDescent="0.25">
      <c r="B2958" s="2">
        <f>+B2957</f>
        <v>4</v>
      </c>
      <c r="C2958" s="4">
        <v>9078.1910000000007</v>
      </c>
      <c r="D2958" s="4">
        <v>708.09899999999993</v>
      </c>
      <c r="E2958" s="79">
        <v>1092.8</v>
      </c>
      <c r="F2958" s="79">
        <f>SUM(BASE_DATOS[[#This Row],[Capital($)]:[Interés
Resarcitorio($)]])</f>
        <v>10879.09</v>
      </c>
      <c r="G2958" s="8">
        <v>44281</v>
      </c>
      <c r="H2958" s="80" t="s">
        <v>59</v>
      </c>
      <c r="I2958" s="79" t="s">
        <v>7</v>
      </c>
      <c r="J2958" s="81">
        <v>120</v>
      </c>
      <c r="K2958" t="s">
        <v>47</v>
      </c>
    </row>
    <row r="2959" spans="2:11" x14ac:dyDescent="0.25">
      <c r="B2959" s="2">
        <v>5</v>
      </c>
      <c r="C2959" s="4">
        <v>9078.1910000000007</v>
      </c>
      <c r="D2959" s="4">
        <v>907.81900000000007</v>
      </c>
      <c r="E2959" s="79">
        <v>0</v>
      </c>
      <c r="F2959" s="79">
        <f>SUM(BASE_DATOS[[#This Row],[Capital($)]:[Interés
Resarcitorio($)]])</f>
        <v>9986.01</v>
      </c>
      <c r="G2959" s="8">
        <v>44302</v>
      </c>
      <c r="H2959" s="80" t="s">
        <v>59</v>
      </c>
      <c r="I2959" s="79" t="s">
        <v>9</v>
      </c>
      <c r="J2959" s="81">
        <v>120</v>
      </c>
      <c r="K2959" t="s">
        <v>47</v>
      </c>
    </row>
    <row r="2960" spans="2:11" x14ac:dyDescent="0.25">
      <c r="B2960" s="2">
        <f>+B2959</f>
        <v>5</v>
      </c>
      <c r="C2960" s="4">
        <v>9078.1910000000007</v>
      </c>
      <c r="D2960" s="4">
        <v>907.81900000000007</v>
      </c>
      <c r="E2960" s="79">
        <v>1115.0999999999999</v>
      </c>
      <c r="F2960" s="79">
        <f>SUM(BASE_DATOS[[#This Row],[Capital($)]:[Interés
Resarcitorio($)]])</f>
        <v>11101.11</v>
      </c>
      <c r="G2960" s="8">
        <v>44312</v>
      </c>
      <c r="H2960" s="80" t="s">
        <v>59</v>
      </c>
      <c r="I2960" s="79" t="s">
        <v>7</v>
      </c>
      <c r="J2960" s="81">
        <v>120</v>
      </c>
      <c r="K2960" t="s">
        <v>47</v>
      </c>
    </row>
    <row r="2961" spans="2:11" x14ac:dyDescent="0.25">
      <c r="B2961" s="2">
        <v>6</v>
      </c>
      <c r="C2961" s="4">
        <v>9078.1910000000007</v>
      </c>
      <c r="D2961" s="4">
        <v>1083.3309999999999</v>
      </c>
      <c r="E2961" s="79">
        <v>0</v>
      </c>
      <c r="F2961" s="79">
        <f>SUM(BASE_DATOS[[#This Row],[Capital($)]:[Interés
Resarcitorio($)]])</f>
        <v>10161.522000000001</v>
      </c>
      <c r="G2961" s="8">
        <v>44332</v>
      </c>
      <c r="H2961" s="80" t="s">
        <v>59</v>
      </c>
      <c r="I2961" s="79" t="s">
        <v>9</v>
      </c>
      <c r="J2961" s="81">
        <v>120</v>
      </c>
      <c r="K2961" t="s">
        <v>47</v>
      </c>
    </row>
    <row r="2962" spans="2:11" x14ac:dyDescent="0.25">
      <c r="B2962" s="2">
        <f>+B2961</f>
        <v>6</v>
      </c>
      <c r="C2962" s="4">
        <v>9078.1910000000007</v>
      </c>
      <c r="D2962" s="4">
        <v>1083.3309999999999</v>
      </c>
      <c r="E2962" s="79">
        <v>1134.7</v>
      </c>
      <c r="F2962" s="79">
        <f>SUM(BASE_DATOS[[#This Row],[Capital($)]:[Interés
Resarcitorio($)]])</f>
        <v>11296.222000000002</v>
      </c>
      <c r="G2962" s="8">
        <v>44342</v>
      </c>
      <c r="H2962" s="80" t="s">
        <v>59</v>
      </c>
      <c r="I2962" s="79" t="s">
        <v>7</v>
      </c>
      <c r="J2962" s="81">
        <v>120</v>
      </c>
      <c r="K2962" t="s">
        <v>47</v>
      </c>
    </row>
    <row r="2963" spans="2:11" x14ac:dyDescent="0.25">
      <c r="B2963" s="2">
        <v>7</v>
      </c>
      <c r="C2963" s="4">
        <v>9078.1910000000007</v>
      </c>
      <c r="D2963" s="4">
        <v>1341.1510000000001</v>
      </c>
      <c r="E2963" s="79">
        <v>0</v>
      </c>
      <c r="F2963" s="79">
        <f>SUM(BASE_DATOS[[#This Row],[Capital($)]:[Interés
Resarcitorio($)]])</f>
        <v>10419.342000000001</v>
      </c>
      <c r="G2963" s="8">
        <v>44363</v>
      </c>
      <c r="H2963" s="80" t="s">
        <v>59</v>
      </c>
      <c r="I2963" s="79" t="s">
        <v>9</v>
      </c>
      <c r="J2963" s="81">
        <v>120</v>
      </c>
      <c r="K2963" t="s">
        <v>47</v>
      </c>
    </row>
    <row r="2964" spans="2:11" x14ac:dyDescent="0.25">
      <c r="B2964" s="2">
        <f>+B2963</f>
        <v>7</v>
      </c>
      <c r="C2964" s="4">
        <v>9078.1910000000007</v>
      </c>
      <c r="D2964" s="4">
        <v>1341.1510000000001</v>
      </c>
      <c r="E2964" s="79">
        <v>1163.49</v>
      </c>
      <c r="F2964" s="79">
        <f>SUM(BASE_DATOS[[#This Row],[Capital($)]:[Interés
Resarcitorio($)]])</f>
        <v>11582.832</v>
      </c>
      <c r="G2964" s="8">
        <v>44373</v>
      </c>
      <c r="H2964" s="80" t="s">
        <v>59</v>
      </c>
      <c r="I2964" s="79" t="s">
        <v>7</v>
      </c>
      <c r="J2964" s="81">
        <v>120</v>
      </c>
      <c r="K2964" t="s">
        <v>47</v>
      </c>
    </row>
    <row r="2965" spans="2:11" x14ac:dyDescent="0.25">
      <c r="B2965" s="2">
        <v>8</v>
      </c>
      <c r="C2965" s="4">
        <v>9078.1910000000007</v>
      </c>
      <c r="D2965" s="4">
        <v>1598.972</v>
      </c>
      <c r="E2965" s="79">
        <v>0</v>
      </c>
      <c r="F2965" s="79">
        <f>SUM(BASE_DATOS[[#This Row],[Capital($)]:[Interés
Resarcitorio($)]])</f>
        <v>10677.163</v>
      </c>
      <c r="G2965" s="8">
        <v>44393</v>
      </c>
      <c r="H2965" s="80" t="s">
        <v>59</v>
      </c>
      <c r="I2965" s="79" t="s">
        <v>9</v>
      </c>
      <c r="J2965" s="81">
        <v>120</v>
      </c>
      <c r="K2965" t="s">
        <v>47</v>
      </c>
    </row>
    <row r="2966" spans="2:11" x14ac:dyDescent="0.25">
      <c r="B2966" s="2">
        <f>+B2965</f>
        <v>8</v>
      </c>
      <c r="C2966" s="4">
        <v>9078.1910000000007</v>
      </c>
      <c r="D2966" s="4">
        <v>1598.972</v>
      </c>
      <c r="E2966" s="79">
        <v>1192.28</v>
      </c>
      <c r="F2966" s="79">
        <f>SUM(BASE_DATOS[[#This Row],[Capital($)]:[Interés
Resarcitorio($)]])</f>
        <v>11869.443000000001</v>
      </c>
      <c r="G2966" s="8">
        <v>44403</v>
      </c>
      <c r="H2966" s="80" t="s">
        <v>59</v>
      </c>
      <c r="I2966" s="79" t="s">
        <v>7</v>
      </c>
      <c r="J2966" s="81">
        <v>120</v>
      </c>
      <c r="K2966" t="s">
        <v>47</v>
      </c>
    </row>
    <row r="2967" spans="2:11" x14ac:dyDescent="0.25">
      <c r="B2967" s="2">
        <v>9</v>
      </c>
      <c r="C2967" s="4">
        <v>9078.1910000000007</v>
      </c>
      <c r="D2967" s="4">
        <v>1856.7930000000001</v>
      </c>
      <c r="E2967" s="79">
        <v>0</v>
      </c>
      <c r="F2967" s="79">
        <f>SUM(BASE_DATOS[[#This Row],[Capital($)]:[Interés
Resarcitorio($)]])</f>
        <v>10934.984</v>
      </c>
      <c r="G2967" s="8">
        <v>44424</v>
      </c>
      <c r="H2967" s="80" t="s">
        <v>59</v>
      </c>
      <c r="I2967" s="79" t="s">
        <v>9</v>
      </c>
      <c r="J2967" s="81">
        <v>120</v>
      </c>
      <c r="K2967" t="s">
        <v>47</v>
      </c>
    </row>
    <row r="2968" spans="2:11" x14ac:dyDescent="0.25">
      <c r="B2968" s="2">
        <f>+B2967</f>
        <v>9</v>
      </c>
      <c r="C2968" s="4">
        <v>9078.1910000000007</v>
      </c>
      <c r="D2968" s="4">
        <v>1856.7930000000001</v>
      </c>
      <c r="E2968" s="79">
        <v>1221.07</v>
      </c>
      <c r="F2968" s="79">
        <f>SUM(BASE_DATOS[[#This Row],[Capital($)]:[Interés
Resarcitorio($)]])</f>
        <v>12156.054</v>
      </c>
      <c r="G2968" s="8">
        <v>44434</v>
      </c>
      <c r="H2968" s="80" t="s">
        <v>59</v>
      </c>
      <c r="I2968" s="79" t="s">
        <v>7</v>
      </c>
      <c r="J2968" s="81">
        <v>120</v>
      </c>
      <c r="K2968" t="s">
        <v>47</v>
      </c>
    </row>
    <row r="2969" spans="2:11" x14ac:dyDescent="0.25">
      <c r="B2969" s="2">
        <v>10</v>
      </c>
      <c r="C2969" s="4">
        <v>9078.1910000000007</v>
      </c>
      <c r="D2969" s="4">
        <v>2114.6130000000003</v>
      </c>
      <c r="E2969" s="79">
        <v>0</v>
      </c>
      <c r="F2969" s="79">
        <f>SUM(BASE_DATOS[[#This Row],[Capital($)]:[Interés
Resarcitorio($)]])</f>
        <v>11192.804</v>
      </c>
      <c r="G2969" s="8">
        <v>44455</v>
      </c>
      <c r="H2969" s="80" t="s">
        <v>59</v>
      </c>
      <c r="I2969" s="79" t="s">
        <v>9</v>
      </c>
      <c r="J2969" s="81">
        <v>120</v>
      </c>
      <c r="K2969" t="s">
        <v>47</v>
      </c>
    </row>
    <row r="2970" spans="2:11" x14ac:dyDescent="0.25">
      <c r="B2970" s="2">
        <f>+B2969</f>
        <v>10</v>
      </c>
      <c r="C2970" s="4">
        <v>9078.1910000000007</v>
      </c>
      <c r="D2970" s="4">
        <v>2114.6130000000003</v>
      </c>
      <c r="E2970" s="79">
        <v>1249.8599999999999</v>
      </c>
      <c r="F2970" s="79">
        <f>SUM(BASE_DATOS[[#This Row],[Capital($)]:[Interés
Resarcitorio($)]])</f>
        <v>12442.664000000001</v>
      </c>
      <c r="G2970" s="8">
        <v>44465</v>
      </c>
      <c r="H2970" s="80" t="s">
        <v>59</v>
      </c>
      <c r="I2970" s="79" t="s">
        <v>7</v>
      </c>
      <c r="J2970" s="81">
        <v>120</v>
      </c>
      <c r="K2970" t="s">
        <v>47</v>
      </c>
    </row>
    <row r="2971" spans="2:11" x14ac:dyDescent="0.25">
      <c r="B2971" s="2">
        <v>11</v>
      </c>
      <c r="C2971" s="4">
        <v>9078.1910000000007</v>
      </c>
      <c r="D2971" s="4">
        <v>2372.4340000000002</v>
      </c>
      <c r="E2971" s="79">
        <v>0</v>
      </c>
      <c r="F2971" s="79">
        <f>SUM(BASE_DATOS[[#This Row],[Capital($)]:[Interés
Resarcitorio($)]])</f>
        <v>11450.625</v>
      </c>
      <c r="G2971" s="8">
        <v>44485</v>
      </c>
      <c r="H2971" s="80" t="s">
        <v>59</v>
      </c>
      <c r="I2971" s="79" t="s">
        <v>9</v>
      </c>
      <c r="J2971" s="81">
        <v>120</v>
      </c>
      <c r="K2971" t="s">
        <v>47</v>
      </c>
    </row>
    <row r="2972" spans="2:11" x14ac:dyDescent="0.25">
      <c r="B2972" s="2">
        <f>+B2971</f>
        <v>11</v>
      </c>
      <c r="C2972" s="4">
        <v>9078.1910000000007</v>
      </c>
      <c r="D2972" s="4">
        <v>2372.4340000000002</v>
      </c>
      <c r="E2972" s="79">
        <v>1278.6500000000001</v>
      </c>
      <c r="F2972" s="79">
        <f>SUM(BASE_DATOS[[#This Row],[Capital($)]:[Interés
Resarcitorio($)]])</f>
        <v>12729.275</v>
      </c>
      <c r="G2972" s="8">
        <v>44495</v>
      </c>
      <c r="H2972" s="80" t="s">
        <v>59</v>
      </c>
      <c r="I2972" s="79" t="s">
        <v>7</v>
      </c>
      <c r="J2972" s="81">
        <v>120</v>
      </c>
      <c r="K2972" t="s">
        <v>47</v>
      </c>
    </row>
    <row r="2973" spans="2:11" x14ac:dyDescent="0.25">
      <c r="B2973" s="2">
        <v>12</v>
      </c>
      <c r="C2973" s="4">
        <v>9078.1910000000007</v>
      </c>
      <c r="D2973" s="4">
        <v>2630.2550000000001</v>
      </c>
      <c r="E2973" s="79">
        <v>0</v>
      </c>
      <c r="F2973" s="79">
        <f>SUM(BASE_DATOS[[#This Row],[Capital($)]:[Interés
Resarcitorio($)]])</f>
        <v>11708.446</v>
      </c>
      <c r="G2973" s="8">
        <v>44516</v>
      </c>
      <c r="H2973" s="80" t="s">
        <v>59</v>
      </c>
      <c r="I2973" s="79" t="s">
        <v>9</v>
      </c>
      <c r="J2973" s="81">
        <v>120</v>
      </c>
      <c r="K2973" t="s">
        <v>47</v>
      </c>
    </row>
    <row r="2974" spans="2:11" x14ac:dyDescent="0.25">
      <c r="B2974" s="2">
        <f>+B2973</f>
        <v>12</v>
      </c>
      <c r="C2974" s="4">
        <v>9078.1910000000007</v>
      </c>
      <c r="D2974" s="4">
        <v>2630.2550000000001</v>
      </c>
      <c r="E2974" s="79">
        <v>1307.44</v>
      </c>
      <c r="F2974" s="79">
        <f>SUM(BASE_DATOS[[#This Row],[Capital($)]:[Interés
Resarcitorio($)]])</f>
        <v>13015.886</v>
      </c>
      <c r="G2974" s="8">
        <v>44526</v>
      </c>
      <c r="H2974" s="80" t="s">
        <v>59</v>
      </c>
      <c r="I2974" s="79" t="s">
        <v>7</v>
      </c>
      <c r="J2974" s="81">
        <v>120</v>
      </c>
      <c r="K2974" t="s">
        <v>47</v>
      </c>
    </row>
    <row r="2975" spans="2:11" x14ac:dyDescent="0.25">
      <c r="B2975" s="2">
        <v>13</v>
      </c>
      <c r="C2975" s="4">
        <v>9078.1910000000007</v>
      </c>
      <c r="D2975" s="4">
        <v>2888.0749999999998</v>
      </c>
      <c r="E2975" s="79">
        <v>0</v>
      </c>
      <c r="F2975" s="79">
        <f>SUM(BASE_DATOS[[#This Row],[Capital($)]:[Interés
Resarcitorio($)]])</f>
        <v>11966.266</v>
      </c>
      <c r="G2975" s="8">
        <v>44546</v>
      </c>
      <c r="H2975" s="80" t="s">
        <v>59</v>
      </c>
      <c r="I2975" s="79" t="s">
        <v>9</v>
      </c>
      <c r="J2975" s="81">
        <v>120</v>
      </c>
      <c r="K2975" t="s">
        <v>47</v>
      </c>
    </row>
    <row r="2976" spans="2:11" x14ac:dyDescent="0.25">
      <c r="B2976" s="2">
        <f>+B2975</f>
        <v>13</v>
      </c>
      <c r="C2976" s="4">
        <v>9078.1910000000007</v>
      </c>
      <c r="D2976" s="4">
        <v>2888.0749999999998</v>
      </c>
      <c r="E2976" s="79">
        <v>1336.23</v>
      </c>
      <c r="F2976" s="79">
        <f>SUM(BASE_DATOS[[#This Row],[Capital($)]:[Interés
Resarcitorio($)]])</f>
        <v>13302.495999999999</v>
      </c>
      <c r="G2976" s="8">
        <v>44556</v>
      </c>
      <c r="H2976" s="80" t="s">
        <v>59</v>
      </c>
      <c r="I2976" s="79" t="s">
        <v>7</v>
      </c>
      <c r="J2976" s="81">
        <v>120</v>
      </c>
      <c r="K2976" t="s">
        <v>47</v>
      </c>
    </row>
    <row r="2977" spans="2:11" x14ac:dyDescent="0.25">
      <c r="B2977" s="2">
        <v>14</v>
      </c>
      <c r="C2977" s="4">
        <v>9078.1910000000007</v>
      </c>
      <c r="D2977" s="4">
        <v>3145.8959999999997</v>
      </c>
      <c r="E2977" s="79">
        <v>0</v>
      </c>
      <c r="F2977" s="79">
        <f>SUM(BASE_DATOS[[#This Row],[Capital($)]:[Interés
Resarcitorio($)]])</f>
        <v>12224.087</v>
      </c>
      <c r="G2977" s="8">
        <v>44577</v>
      </c>
      <c r="H2977" s="80" t="s">
        <v>59</v>
      </c>
      <c r="I2977" s="79" t="s">
        <v>9</v>
      </c>
      <c r="J2977" s="81">
        <v>120</v>
      </c>
      <c r="K2977" t="s">
        <v>47</v>
      </c>
    </row>
    <row r="2978" spans="2:11" x14ac:dyDescent="0.25">
      <c r="B2978" s="2">
        <f>+B2977</f>
        <v>14</v>
      </c>
      <c r="C2978" s="4">
        <v>9078.1910000000007</v>
      </c>
      <c r="D2978" s="4">
        <v>3145.8959999999997</v>
      </c>
      <c r="E2978" s="79">
        <v>1365.02</v>
      </c>
      <c r="F2978" s="79">
        <f>SUM(BASE_DATOS[[#This Row],[Capital($)]:[Interés
Resarcitorio($)]])</f>
        <v>13589.107</v>
      </c>
      <c r="G2978" s="8">
        <v>44587</v>
      </c>
      <c r="H2978" s="80" t="s">
        <v>59</v>
      </c>
      <c r="I2978" s="79" t="s">
        <v>7</v>
      </c>
      <c r="J2978" s="81">
        <v>120</v>
      </c>
      <c r="K2978" t="s">
        <v>47</v>
      </c>
    </row>
    <row r="2979" spans="2:11" x14ac:dyDescent="0.25">
      <c r="B2979" s="2">
        <v>15</v>
      </c>
      <c r="C2979" s="4">
        <v>9078.1910000000007</v>
      </c>
      <c r="D2979" s="4">
        <v>3403.7160000000003</v>
      </c>
      <c r="E2979" s="79">
        <v>0</v>
      </c>
      <c r="F2979" s="79">
        <f>SUM(BASE_DATOS[[#This Row],[Capital($)]:[Interés
Resarcitorio($)]])</f>
        <v>12481.907000000001</v>
      </c>
      <c r="G2979" s="8">
        <v>44608</v>
      </c>
      <c r="H2979" s="80" t="s">
        <v>59</v>
      </c>
      <c r="I2979" s="79" t="s">
        <v>9</v>
      </c>
      <c r="J2979" s="81">
        <v>120</v>
      </c>
      <c r="K2979" t="s">
        <v>47</v>
      </c>
    </row>
    <row r="2980" spans="2:11" x14ac:dyDescent="0.25">
      <c r="B2980" s="2">
        <f>+B2979</f>
        <v>15</v>
      </c>
      <c r="C2980" s="4">
        <v>9078.1910000000007</v>
      </c>
      <c r="D2980" s="4">
        <v>3403.7160000000003</v>
      </c>
      <c r="E2980" s="79">
        <v>1393.81</v>
      </c>
      <c r="F2980" s="79">
        <f>SUM(BASE_DATOS[[#This Row],[Capital($)]:[Interés
Resarcitorio($)]])</f>
        <v>13875.717000000001</v>
      </c>
      <c r="G2980" s="8">
        <v>44618</v>
      </c>
      <c r="H2980" s="80" t="s">
        <v>59</v>
      </c>
      <c r="I2980" s="79" t="s">
        <v>7</v>
      </c>
      <c r="J2980" s="81">
        <v>120</v>
      </c>
      <c r="K2980" t="s">
        <v>47</v>
      </c>
    </row>
    <row r="2981" spans="2:11" x14ac:dyDescent="0.25">
      <c r="B2981" s="2">
        <v>16</v>
      </c>
      <c r="C2981" s="4">
        <v>9078.1910000000007</v>
      </c>
      <c r="D2981" s="4">
        <v>3661.5370000000003</v>
      </c>
      <c r="E2981" s="79">
        <v>0</v>
      </c>
      <c r="F2981" s="79">
        <f>SUM(BASE_DATOS[[#This Row],[Capital($)]:[Interés
Resarcitorio($)]])</f>
        <v>12739.728000000001</v>
      </c>
      <c r="G2981" s="8">
        <v>44636</v>
      </c>
      <c r="H2981" s="80" t="s">
        <v>59</v>
      </c>
      <c r="I2981" s="79" t="s">
        <v>9</v>
      </c>
      <c r="J2981" s="81">
        <v>120</v>
      </c>
      <c r="K2981" t="s">
        <v>47</v>
      </c>
    </row>
    <row r="2982" spans="2:11" x14ac:dyDescent="0.25">
      <c r="B2982" s="2">
        <f>+B2981</f>
        <v>16</v>
      </c>
      <c r="C2982" s="4">
        <v>9078.1910000000007</v>
      </c>
      <c r="D2982" s="4">
        <v>3661.5370000000003</v>
      </c>
      <c r="E2982" s="79">
        <v>1422.6</v>
      </c>
      <c r="F2982" s="79">
        <f>SUM(BASE_DATOS[[#This Row],[Capital($)]:[Interés
Resarcitorio($)]])</f>
        <v>14162.328000000001</v>
      </c>
      <c r="G2982" s="8">
        <v>44646</v>
      </c>
      <c r="H2982" s="80" t="s">
        <v>59</v>
      </c>
      <c r="I2982" s="79" t="s">
        <v>7</v>
      </c>
      <c r="J2982" s="81">
        <v>120</v>
      </c>
      <c r="K2982" t="s">
        <v>47</v>
      </c>
    </row>
    <row r="2983" spans="2:11" x14ac:dyDescent="0.25">
      <c r="B2983" s="2">
        <v>17</v>
      </c>
      <c r="C2983" s="4">
        <v>9078.1910000000007</v>
      </c>
      <c r="D2983" s="4">
        <v>3919.3580000000002</v>
      </c>
      <c r="E2983" s="79">
        <v>0</v>
      </c>
      <c r="F2983" s="79">
        <f>SUM(BASE_DATOS[[#This Row],[Capital($)]:[Interés
Resarcitorio($)]])</f>
        <v>12997.549000000001</v>
      </c>
      <c r="G2983" s="8">
        <v>44667</v>
      </c>
      <c r="H2983" s="80" t="s">
        <v>59</v>
      </c>
      <c r="I2983" s="79" t="s">
        <v>9</v>
      </c>
      <c r="J2983" s="81">
        <v>120</v>
      </c>
      <c r="K2983" t="s">
        <v>47</v>
      </c>
    </row>
    <row r="2984" spans="2:11" x14ac:dyDescent="0.25">
      <c r="B2984" s="2">
        <f>+B2983</f>
        <v>17</v>
      </c>
      <c r="C2984" s="4">
        <v>9078.1910000000007</v>
      </c>
      <c r="D2984" s="4">
        <v>3919.3580000000002</v>
      </c>
      <c r="E2984" s="79">
        <v>1611.7</v>
      </c>
      <c r="F2984" s="79">
        <f>SUM(BASE_DATOS[[#This Row],[Capital($)]:[Interés
Resarcitorio($)]])</f>
        <v>14609.249000000002</v>
      </c>
      <c r="G2984" s="8">
        <v>44677</v>
      </c>
      <c r="H2984" s="80" t="s">
        <v>59</v>
      </c>
      <c r="I2984" s="79" t="s">
        <v>7</v>
      </c>
      <c r="J2984" s="81">
        <v>120</v>
      </c>
      <c r="K2984" t="s">
        <v>47</v>
      </c>
    </row>
    <row r="2985" spans="2:11" x14ac:dyDescent="0.25">
      <c r="B2985" s="2">
        <v>18</v>
      </c>
      <c r="C2985" s="4">
        <v>9078.1910000000007</v>
      </c>
      <c r="D2985" s="4">
        <v>4177.1779999999999</v>
      </c>
      <c r="E2985" s="79">
        <v>0</v>
      </c>
      <c r="F2985" s="79">
        <f>SUM(BASE_DATOS[[#This Row],[Capital($)]:[Interés
Resarcitorio($)]])</f>
        <v>13255.369000000001</v>
      </c>
      <c r="G2985" s="8">
        <v>44697</v>
      </c>
      <c r="H2985" s="80" t="s">
        <v>59</v>
      </c>
      <c r="I2985" s="79" t="s">
        <v>9</v>
      </c>
      <c r="J2985" s="81">
        <v>120</v>
      </c>
      <c r="K2985" t="s">
        <v>47</v>
      </c>
    </row>
    <row r="2986" spans="2:11" x14ac:dyDescent="0.25">
      <c r="B2986" s="2">
        <f>+B2985</f>
        <v>18</v>
      </c>
      <c r="C2986" s="4">
        <v>9078.1910000000007</v>
      </c>
      <c r="D2986" s="4">
        <v>4177.1779999999999</v>
      </c>
      <c r="E2986" s="79">
        <v>1643.67</v>
      </c>
      <c r="F2986" s="79">
        <f>SUM(BASE_DATOS[[#This Row],[Capital($)]:[Interés
Resarcitorio($)]])</f>
        <v>14899.039000000001</v>
      </c>
      <c r="G2986" s="8">
        <v>44707</v>
      </c>
      <c r="H2986" s="80" t="s">
        <v>59</v>
      </c>
      <c r="I2986" s="79" t="s">
        <v>7</v>
      </c>
      <c r="J2986" s="81">
        <v>120</v>
      </c>
      <c r="K2986" t="s">
        <v>47</v>
      </c>
    </row>
    <row r="2987" spans="2:11" x14ac:dyDescent="0.25">
      <c r="B2987" s="2">
        <v>19</v>
      </c>
      <c r="C2987" s="4">
        <v>9078.1910000000007</v>
      </c>
      <c r="D2987" s="4">
        <v>4527.5959999999995</v>
      </c>
      <c r="E2987" s="79">
        <v>0</v>
      </c>
      <c r="F2987" s="79">
        <f>SUM(BASE_DATOS[[#This Row],[Capital($)]:[Interés
Resarcitorio($)]])</f>
        <v>13605.787</v>
      </c>
      <c r="G2987" s="8">
        <v>44728</v>
      </c>
      <c r="H2987" s="80" t="s">
        <v>59</v>
      </c>
      <c r="I2987" s="79" t="s">
        <v>9</v>
      </c>
      <c r="J2987" s="81">
        <v>120</v>
      </c>
      <c r="K2987" t="s">
        <v>47</v>
      </c>
    </row>
    <row r="2988" spans="2:11" x14ac:dyDescent="0.25">
      <c r="B2988" s="2">
        <f>+B2987</f>
        <v>19</v>
      </c>
      <c r="C2988" s="4">
        <v>9078.1910000000007</v>
      </c>
      <c r="D2988" s="4">
        <v>4527.5959999999995</v>
      </c>
      <c r="E2988" s="79">
        <v>1687.12</v>
      </c>
      <c r="F2988" s="79">
        <f>SUM(BASE_DATOS[[#This Row],[Capital($)]:[Interés
Resarcitorio($)]])</f>
        <v>15292.906999999999</v>
      </c>
      <c r="G2988" s="8">
        <v>44738</v>
      </c>
      <c r="H2988" s="80" t="s">
        <v>59</v>
      </c>
      <c r="I2988" s="79" t="s">
        <v>7</v>
      </c>
      <c r="J2988" s="81">
        <v>120</v>
      </c>
      <c r="K2988" t="s">
        <v>47</v>
      </c>
    </row>
    <row r="2989" spans="2:11" x14ac:dyDescent="0.25">
      <c r="B2989" s="2">
        <v>20</v>
      </c>
      <c r="C2989" s="4">
        <v>9078.1910000000007</v>
      </c>
      <c r="D2989" s="4">
        <v>4878.0150000000003</v>
      </c>
      <c r="E2989" s="79">
        <v>0</v>
      </c>
      <c r="F2989" s="79">
        <f>SUM(BASE_DATOS[[#This Row],[Capital($)]:[Interés
Resarcitorio($)]])</f>
        <v>13956.206000000002</v>
      </c>
      <c r="G2989" s="8">
        <v>44758</v>
      </c>
      <c r="H2989" s="80" t="s">
        <v>59</v>
      </c>
      <c r="I2989" s="79" t="s">
        <v>9</v>
      </c>
      <c r="J2989" s="81">
        <v>120</v>
      </c>
      <c r="K2989" t="s">
        <v>47</v>
      </c>
    </row>
    <row r="2990" spans="2:11" x14ac:dyDescent="0.25">
      <c r="B2990" s="2">
        <f>+B2989</f>
        <v>20</v>
      </c>
      <c r="C2990" s="4">
        <v>9078.1910000000007</v>
      </c>
      <c r="D2990" s="4">
        <v>4878.0150000000003</v>
      </c>
      <c r="E2990" s="79">
        <v>1977.13</v>
      </c>
      <c r="F2990" s="79">
        <f>SUM(BASE_DATOS[[#This Row],[Capital($)]:[Interés
Resarcitorio($)]])</f>
        <v>15933.336000000003</v>
      </c>
      <c r="G2990" s="8">
        <v>44768</v>
      </c>
      <c r="H2990" s="80" t="s">
        <v>59</v>
      </c>
      <c r="I2990" s="79" t="s">
        <v>7</v>
      </c>
      <c r="J2990" s="81">
        <v>120</v>
      </c>
      <c r="K2990" t="s">
        <v>47</v>
      </c>
    </row>
    <row r="2991" spans="2:11" x14ac:dyDescent="0.25">
      <c r="B2991" s="2">
        <v>21</v>
      </c>
      <c r="C2991" s="4">
        <v>9078.1910000000007</v>
      </c>
      <c r="D2991" s="4">
        <v>5228.433</v>
      </c>
      <c r="E2991" s="79">
        <v>0</v>
      </c>
      <c r="F2991" s="79">
        <f>SUM(BASE_DATOS[[#This Row],[Capital($)]:[Interés
Resarcitorio($)]])</f>
        <v>14306.624</v>
      </c>
      <c r="G2991" s="8">
        <v>44789</v>
      </c>
      <c r="H2991" s="80" t="s">
        <v>59</v>
      </c>
      <c r="I2991" s="79" t="s">
        <v>9</v>
      </c>
      <c r="J2991" s="81">
        <v>120</v>
      </c>
      <c r="K2991" t="s">
        <v>47</v>
      </c>
    </row>
    <row r="2992" spans="2:11" x14ac:dyDescent="0.25">
      <c r="B2992" s="2">
        <f>+B2991</f>
        <v>21</v>
      </c>
      <c r="C2992" s="4">
        <v>9078.1910000000007</v>
      </c>
      <c r="D2992" s="4">
        <v>5228.433</v>
      </c>
      <c r="E2992" s="79">
        <v>2026.77</v>
      </c>
      <c r="F2992" s="79">
        <f>SUM(BASE_DATOS[[#This Row],[Capital($)]:[Interés
Resarcitorio($)]])</f>
        <v>16333.394</v>
      </c>
      <c r="G2992" s="8">
        <v>44799</v>
      </c>
      <c r="H2992" s="80" t="s">
        <v>59</v>
      </c>
      <c r="I2992" s="79" t="s">
        <v>7</v>
      </c>
      <c r="J2992" s="81">
        <v>120</v>
      </c>
      <c r="K2992" t="s">
        <v>47</v>
      </c>
    </row>
    <row r="2993" spans="2:11" x14ac:dyDescent="0.25">
      <c r="B2993" s="2">
        <v>22</v>
      </c>
      <c r="C2993" s="4">
        <v>9078.1910000000007</v>
      </c>
      <c r="D2993" s="4">
        <v>5578.8510000000006</v>
      </c>
      <c r="E2993" s="79">
        <v>0</v>
      </c>
      <c r="F2993" s="79">
        <f>SUM(BASE_DATOS[[#This Row],[Capital($)]:[Interés
Resarcitorio($)]])</f>
        <v>14657.042000000001</v>
      </c>
      <c r="G2993" s="8">
        <v>44820</v>
      </c>
      <c r="H2993" s="80" t="s">
        <v>59</v>
      </c>
      <c r="I2993" s="79" t="s">
        <v>9</v>
      </c>
      <c r="J2993" s="81">
        <v>120</v>
      </c>
      <c r="K2993" t="s">
        <v>47</v>
      </c>
    </row>
    <row r="2994" spans="2:11" x14ac:dyDescent="0.25">
      <c r="B2994" s="2">
        <f>+B2993</f>
        <v>22</v>
      </c>
      <c r="C2994" s="4">
        <v>9078.1910000000007</v>
      </c>
      <c r="D2994" s="4">
        <v>5578.8510000000006</v>
      </c>
      <c r="E2994" s="79">
        <v>2887.44</v>
      </c>
      <c r="F2994" s="79">
        <f>SUM(BASE_DATOS[[#This Row],[Capital($)]:[Interés
Resarcitorio($)]])</f>
        <v>17544.482</v>
      </c>
      <c r="G2994" s="8">
        <v>44830</v>
      </c>
      <c r="H2994" s="80" t="s">
        <v>59</v>
      </c>
      <c r="I2994" s="79" t="s">
        <v>7</v>
      </c>
      <c r="J2994" s="81">
        <v>120</v>
      </c>
      <c r="K2994" t="s">
        <v>47</v>
      </c>
    </row>
    <row r="2995" spans="2:11" x14ac:dyDescent="0.25">
      <c r="B2995" s="2">
        <v>23</v>
      </c>
      <c r="C2995" s="4">
        <v>9078.1910000000007</v>
      </c>
      <c r="D2995" s="4">
        <v>5929.2690000000002</v>
      </c>
      <c r="E2995" s="79">
        <v>0</v>
      </c>
      <c r="F2995" s="79">
        <f>SUM(BASE_DATOS[[#This Row],[Capital($)]:[Interés
Resarcitorio($)]])</f>
        <v>15007.460000000001</v>
      </c>
      <c r="G2995" s="8">
        <v>44850</v>
      </c>
      <c r="H2995" s="80" t="s">
        <v>59</v>
      </c>
      <c r="I2995" s="79" t="s">
        <v>9</v>
      </c>
      <c r="J2995" s="81">
        <v>120</v>
      </c>
      <c r="K2995" t="s">
        <v>47</v>
      </c>
    </row>
    <row r="2996" spans="2:11" x14ac:dyDescent="0.25">
      <c r="B2996" s="2">
        <f>+B2995</f>
        <v>23</v>
      </c>
      <c r="C2996" s="4">
        <v>9078.1910000000007</v>
      </c>
      <c r="D2996" s="4">
        <v>5929.2690000000002</v>
      </c>
      <c r="E2996" s="79">
        <v>2956.47</v>
      </c>
      <c r="F2996" s="79">
        <f>SUM(BASE_DATOS[[#This Row],[Capital($)]:[Interés
Resarcitorio($)]])</f>
        <v>17963.93</v>
      </c>
      <c r="G2996" s="8">
        <v>44860</v>
      </c>
      <c r="H2996" s="80" t="s">
        <v>59</v>
      </c>
      <c r="I2996" s="79" t="s">
        <v>7</v>
      </c>
      <c r="J2996" s="81">
        <v>120</v>
      </c>
      <c r="K2996" t="s">
        <v>47</v>
      </c>
    </row>
    <row r="2997" spans="2:11" x14ac:dyDescent="0.25">
      <c r="B2997" s="2">
        <v>24</v>
      </c>
      <c r="C2997" s="4">
        <v>9078.1910000000007</v>
      </c>
      <c r="D2997" s="4">
        <v>6279.6869999999999</v>
      </c>
      <c r="E2997" s="79">
        <v>0</v>
      </c>
      <c r="F2997" s="79">
        <f>SUM(BASE_DATOS[[#This Row],[Capital($)]:[Interés
Resarcitorio($)]])</f>
        <v>15357.878000000001</v>
      </c>
      <c r="G2997" s="8">
        <v>44881</v>
      </c>
      <c r="H2997" s="80" t="s">
        <v>59</v>
      </c>
      <c r="I2997" s="79" t="s">
        <v>9</v>
      </c>
      <c r="J2997" s="81">
        <v>120</v>
      </c>
      <c r="K2997" t="s">
        <v>47</v>
      </c>
    </row>
    <row r="2998" spans="2:11" x14ac:dyDescent="0.25">
      <c r="B2998" s="2">
        <f>+B2997</f>
        <v>24</v>
      </c>
      <c r="C2998" s="4">
        <v>9078.1910000000007</v>
      </c>
      <c r="D2998" s="4">
        <v>6279.6869999999999</v>
      </c>
      <c r="E2998" s="79">
        <v>3025.5</v>
      </c>
      <c r="F2998" s="79">
        <f>SUM(BASE_DATOS[[#This Row],[Capital($)]:[Interés
Resarcitorio($)]])</f>
        <v>18383.378000000001</v>
      </c>
      <c r="G2998" s="8">
        <v>44891</v>
      </c>
      <c r="H2998" s="80" t="s">
        <v>59</v>
      </c>
      <c r="I2998" s="79" t="s">
        <v>7</v>
      </c>
      <c r="J2998" s="81">
        <v>120</v>
      </c>
      <c r="K2998" t="s">
        <v>47</v>
      </c>
    </row>
    <row r="2999" spans="2:11" x14ac:dyDescent="0.25">
      <c r="B2999" s="2">
        <v>25</v>
      </c>
      <c r="C2999" s="4">
        <v>9078.1910000000007</v>
      </c>
      <c r="D2999" s="4">
        <v>6798.0520000000006</v>
      </c>
      <c r="E2999" s="79">
        <v>0</v>
      </c>
      <c r="F2999" s="79">
        <f>SUM(BASE_DATOS[[#This Row],[Capital($)]:[Interés
Resarcitorio($)]])</f>
        <v>15876.243000000002</v>
      </c>
      <c r="G2999" s="8">
        <v>44911</v>
      </c>
      <c r="H2999" s="80" t="s">
        <v>59</v>
      </c>
      <c r="I2999" s="79" t="s">
        <v>9</v>
      </c>
      <c r="J2999" s="81">
        <v>120</v>
      </c>
      <c r="K2999" t="s">
        <v>47</v>
      </c>
    </row>
    <row r="3000" spans="2:11" x14ac:dyDescent="0.25">
      <c r="B3000" s="2">
        <f>+B2999</f>
        <v>25</v>
      </c>
      <c r="C3000" s="4">
        <v>9078.1910000000007</v>
      </c>
      <c r="D3000" s="4">
        <v>6798.0520000000006</v>
      </c>
      <c r="E3000" s="79">
        <v>3127.62</v>
      </c>
      <c r="F3000" s="79">
        <f>SUM(BASE_DATOS[[#This Row],[Capital($)]:[Interés
Resarcitorio($)]])</f>
        <v>19003.863000000001</v>
      </c>
      <c r="G3000" s="8">
        <v>44921</v>
      </c>
      <c r="H3000" s="80" t="s">
        <v>59</v>
      </c>
      <c r="I3000" s="79" t="s">
        <v>7</v>
      </c>
      <c r="J3000" s="81">
        <v>120</v>
      </c>
      <c r="K3000" t="s">
        <v>47</v>
      </c>
    </row>
    <row r="3001" spans="2:11" x14ac:dyDescent="0.25">
      <c r="B3001" s="2">
        <v>26</v>
      </c>
      <c r="C3001" s="4">
        <v>9078.1910000000007</v>
      </c>
      <c r="D3001" s="4">
        <v>7316.4169999999995</v>
      </c>
      <c r="E3001" s="79">
        <v>0</v>
      </c>
      <c r="F3001" s="79">
        <f>SUM(BASE_DATOS[[#This Row],[Capital($)]:[Interés
Resarcitorio($)]])</f>
        <v>16394.608</v>
      </c>
      <c r="G3001" s="8">
        <v>44942</v>
      </c>
      <c r="H3001" s="80" t="s">
        <v>59</v>
      </c>
      <c r="I3001" s="79" t="s">
        <v>9</v>
      </c>
      <c r="J3001" s="81">
        <v>120</v>
      </c>
      <c r="K3001" t="s">
        <v>47</v>
      </c>
    </row>
    <row r="3002" spans="2:11" x14ac:dyDescent="0.25">
      <c r="B3002" s="2">
        <f>+B3001</f>
        <v>26</v>
      </c>
      <c r="C3002" s="4">
        <v>9078.1910000000007</v>
      </c>
      <c r="D3002" s="4">
        <v>7316.4169999999995</v>
      </c>
      <c r="E3002" s="79">
        <v>3229.74</v>
      </c>
      <c r="F3002" s="79">
        <f>SUM(BASE_DATOS[[#This Row],[Capital($)]:[Interés
Resarcitorio($)]])</f>
        <v>19624.347999999998</v>
      </c>
      <c r="G3002" s="8">
        <v>44952</v>
      </c>
      <c r="H3002" s="80" t="s">
        <v>59</v>
      </c>
      <c r="I3002" s="79" t="s">
        <v>7</v>
      </c>
      <c r="J3002" s="81">
        <v>120</v>
      </c>
      <c r="K3002" t="s">
        <v>47</v>
      </c>
    </row>
    <row r="3003" spans="2:11" x14ac:dyDescent="0.25">
      <c r="B3003" s="2">
        <v>27</v>
      </c>
      <c r="C3003" s="4">
        <v>9078.1910000000007</v>
      </c>
      <c r="D3003" s="4">
        <v>7834.7809999999999</v>
      </c>
      <c r="E3003" s="79">
        <v>0</v>
      </c>
      <c r="F3003" s="79">
        <f>SUM(BASE_DATOS[[#This Row],[Capital($)]:[Interés
Resarcitorio($)]])</f>
        <v>16912.972000000002</v>
      </c>
      <c r="G3003" s="8">
        <v>44973</v>
      </c>
      <c r="H3003" s="80" t="s">
        <v>59</v>
      </c>
      <c r="I3003" s="79" t="s">
        <v>9</v>
      </c>
      <c r="J3003" s="81">
        <v>120</v>
      </c>
      <c r="K3003" t="s">
        <v>47</v>
      </c>
    </row>
    <row r="3004" spans="2:11" x14ac:dyDescent="0.25">
      <c r="B3004" s="2">
        <f>+B3003</f>
        <v>27</v>
      </c>
      <c r="C3004" s="4">
        <v>9078.1910000000007</v>
      </c>
      <c r="D3004" s="4">
        <v>7834.7809999999999</v>
      </c>
      <c r="E3004" s="79">
        <v>3331.86</v>
      </c>
      <c r="F3004" s="79">
        <f>SUM(BASE_DATOS[[#This Row],[Capital($)]:[Interés
Resarcitorio($)]])</f>
        <v>20244.832000000002</v>
      </c>
      <c r="G3004" s="8">
        <v>44983</v>
      </c>
      <c r="H3004" s="80" t="s">
        <v>59</v>
      </c>
      <c r="I3004" s="79" t="s">
        <v>7</v>
      </c>
      <c r="J3004" s="81">
        <v>120</v>
      </c>
      <c r="K3004" t="s">
        <v>47</v>
      </c>
    </row>
    <row r="3005" spans="2:11" x14ac:dyDescent="0.25">
      <c r="B3005" s="2">
        <v>28</v>
      </c>
      <c r="C3005" s="4">
        <v>9078.1910000000007</v>
      </c>
      <c r="D3005" s="4">
        <v>8353.1460000000006</v>
      </c>
      <c r="E3005" s="79">
        <v>0</v>
      </c>
      <c r="F3005" s="79">
        <f>SUM(BASE_DATOS[[#This Row],[Capital($)]:[Interés
Resarcitorio($)]])</f>
        <v>17431.337</v>
      </c>
      <c r="G3005" s="8">
        <v>45001</v>
      </c>
      <c r="H3005" s="80" t="s">
        <v>59</v>
      </c>
      <c r="I3005" s="79" t="s">
        <v>9</v>
      </c>
      <c r="J3005" s="81">
        <v>120</v>
      </c>
      <c r="K3005" t="s">
        <v>47</v>
      </c>
    </row>
    <row r="3006" spans="2:11" x14ac:dyDescent="0.25">
      <c r="B3006" s="2">
        <f>+B3005</f>
        <v>28</v>
      </c>
      <c r="C3006" s="4">
        <v>9078.1910000000007</v>
      </c>
      <c r="D3006" s="4">
        <v>8353.1460000000006</v>
      </c>
      <c r="E3006" s="79">
        <v>3433.97</v>
      </c>
      <c r="F3006" s="79">
        <f>SUM(BASE_DATOS[[#This Row],[Capital($)]:[Interés
Resarcitorio($)]])</f>
        <v>20865.307000000001</v>
      </c>
      <c r="G3006" s="8">
        <v>45011</v>
      </c>
      <c r="H3006" s="80" t="s">
        <v>59</v>
      </c>
      <c r="I3006" s="79" t="s">
        <v>7</v>
      </c>
      <c r="J3006" s="81">
        <v>120</v>
      </c>
      <c r="K3006" t="s">
        <v>47</v>
      </c>
    </row>
    <row r="3007" spans="2:11" x14ac:dyDescent="0.25">
      <c r="B3007" s="2">
        <v>29</v>
      </c>
      <c r="C3007" s="4">
        <v>9078.1910000000007</v>
      </c>
      <c r="D3007" s="4">
        <v>8871.5110000000004</v>
      </c>
      <c r="E3007" s="79">
        <v>0</v>
      </c>
      <c r="F3007" s="79">
        <f>SUM(BASE_DATOS[[#This Row],[Capital($)]:[Interés
Resarcitorio($)]])</f>
        <v>17949.702000000001</v>
      </c>
      <c r="G3007" s="8">
        <v>45032</v>
      </c>
      <c r="H3007" s="80" t="s">
        <v>59</v>
      </c>
      <c r="I3007" s="79" t="s">
        <v>9</v>
      </c>
      <c r="J3007" s="81">
        <v>120</v>
      </c>
      <c r="K3007" t="s">
        <v>47</v>
      </c>
    </row>
    <row r="3008" spans="2:11" x14ac:dyDescent="0.25">
      <c r="B3008" s="2">
        <f>+B3007</f>
        <v>29</v>
      </c>
      <c r="C3008" s="4">
        <v>9078.1910000000007</v>
      </c>
      <c r="D3008" s="4">
        <v>8871.5110000000004</v>
      </c>
      <c r="E3008" s="79">
        <v>3536.09</v>
      </c>
      <c r="F3008" s="79">
        <f>SUM(BASE_DATOS[[#This Row],[Capital($)]:[Interés
Resarcitorio($)]])</f>
        <v>21485.792000000001</v>
      </c>
      <c r="G3008" s="8">
        <v>45042</v>
      </c>
      <c r="H3008" s="80" t="s">
        <v>59</v>
      </c>
      <c r="I3008" s="79" t="s">
        <v>7</v>
      </c>
      <c r="J3008" s="81">
        <v>120</v>
      </c>
      <c r="K3008" t="s">
        <v>47</v>
      </c>
    </row>
    <row r="3009" spans="2:11" x14ac:dyDescent="0.25">
      <c r="B3009" s="2">
        <v>30</v>
      </c>
      <c r="C3009" s="4">
        <v>9078.1910000000007</v>
      </c>
      <c r="D3009" s="4">
        <v>9389.8760000000002</v>
      </c>
      <c r="E3009" s="79">
        <v>0</v>
      </c>
      <c r="F3009" s="79">
        <f>SUM(BASE_DATOS[[#This Row],[Capital($)]:[Interés
Resarcitorio($)]])</f>
        <v>18468.067000000003</v>
      </c>
      <c r="G3009" s="8">
        <v>45062</v>
      </c>
      <c r="H3009" s="80" t="s">
        <v>59</v>
      </c>
      <c r="I3009" s="79" t="s">
        <v>9</v>
      </c>
      <c r="J3009" s="81">
        <v>120</v>
      </c>
      <c r="K3009" t="s">
        <v>47</v>
      </c>
    </row>
    <row r="3010" spans="2:11" x14ac:dyDescent="0.25">
      <c r="B3010" s="2">
        <f>+B3009</f>
        <v>30</v>
      </c>
      <c r="C3010" s="4">
        <v>9078.1910000000007</v>
      </c>
      <c r="D3010" s="4">
        <v>9389.8760000000002</v>
      </c>
      <c r="E3010" s="79">
        <v>3638.21</v>
      </c>
      <c r="F3010" s="79">
        <f>SUM(BASE_DATOS[[#This Row],[Capital($)]:[Interés
Resarcitorio($)]])</f>
        <v>22106.277000000002</v>
      </c>
      <c r="G3010" s="8">
        <v>45072</v>
      </c>
      <c r="H3010" s="80" t="s">
        <v>59</v>
      </c>
      <c r="I3010" s="79" t="s">
        <v>7</v>
      </c>
      <c r="J3010" s="81">
        <v>120</v>
      </c>
      <c r="K3010" t="s">
        <v>47</v>
      </c>
    </row>
    <row r="3011" spans="2:11" x14ac:dyDescent="0.25">
      <c r="B3011" s="2">
        <v>31</v>
      </c>
      <c r="C3011" s="4">
        <v>9078.1910000000007</v>
      </c>
      <c r="D3011" s="4">
        <v>10087.081</v>
      </c>
      <c r="E3011" s="79">
        <v>0</v>
      </c>
      <c r="F3011" s="79">
        <f>SUM(BASE_DATOS[[#This Row],[Capital($)]:[Interés
Resarcitorio($)]])</f>
        <v>19165.272000000001</v>
      </c>
      <c r="G3011" s="8">
        <v>45093</v>
      </c>
      <c r="H3011" s="80" t="s">
        <v>59</v>
      </c>
      <c r="I3011" s="79" t="s">
        <v>9</v>
      </c>
      <c r="J3011" s="81">
        <v>120</v>
      </c>
      <c r="K3011" t="s">
        <v>47</v>
      </c>
    </row>
    <row r="3012" spans="2:11" x14ac:dyDescent="0.25">
      <c r="B3012" s="2">
        <f>+B3011</f>
        <v>31</v>
      </c>
      <c r="C3012" s="4">
        <v>9078.1910000000007</v>
      </c>
      <c r="D3012" s="4">
        <v>10087.081</v>
      </c>
      <c r="E3012" s="79">
        <v>3775.56</v>
      </c>
      <c r="F3012" s="79">
        <f>SUM(BASE_DATOS[[#This Row],[Capital($)]:[Interés
Resarcitorio($)]])</f>
        <v>22940.832000000002</v>
      </c>
      <c r="G3012" s="8">
        <v>45103</v>
      </c>
      <c r="H3012" s="80" t="s">
        <v>59</v>
      </c>
      <c r="I3012" s="79" t="s">
        <v>7</v>
      </c>
      <c r="J3012" s="81">
        <v>120</v>
      </c>
      <c r="K3012" t="s">
        <v>47</v>
      </c>
    </row>
    <row r="3013" spans="2:11" x14ac:dyDescent="0.25">
      <c r="B3013" s="2">
        <v>32</v>
      </c>
      <c r="C3013" s="4">
        <v>9078.1910000000007</v>
      </c>
      <c r="D3013" s="4">
        <v>10784.286</v>
      </c>
      <c r="E3013" s="79">
        <v>0</v>
      </c>
      <c r="F3013" s="79">
        <f>SUM(BASE_DATOS[[#This Row],[Capital($)]:[Interés
Resarcitorio($)]])</f>
        <v>19862.476999999999</v>
      </c>
      <c r="G3013" s="8">
        <v>45123</v>
      </c>
      <c r="H3013" s="80" t="s">
        <v>59</v>
      </c>
      <c r="I3013" s="79" t="s">
        <v>9</v>
      </c>
      <c r="J3013" s="81">
        <v>120</v>
      </c>
      <c r="K3013" t="s">
        <v>47</v>
      </c>
    </row>
    <row r="3014" spans="2:11" x14ac:dyDescent="0.25">
      <c r="B3014" s="2">
        <f>+B3013</f>
        <v>32</v>
      </c>
      <c r="C3014" s="4">
        <v>9078.1910000000007</v>
      </c>
      <c r="D3014" s="4">
        <v>10784.286</v>
      </c>
      <c r="E3014" s="79">
        <v>3912.91</v>
      </c>
      <c r="F3014" s="79">
        <f>SUM(BASE_DATOS[[#This Row],[Capital($)]:[Interés
Resarcitorio($)]])</f>
        <v>23775.386999999999</v>
      </c>
      <c r="G3014" s="8">
        <v>45133</v>
      </c>
      <c r="H3014" s="80" t="s">
        <v>59</v>
      </c>
      <c r="I3014" s="79" t="s">
        <v>7</v>
      </c>
      <c r="J3014" s="81">
        <v>120</v>
      </c>
      <c r="K3014" t="s">
        <v>47</v>
      </c>
    </row>
    <row r="3015" spans="2:11" x14ac:dyDescent="0.25">
      <c r="B3015" s="2">
        <v>33</v>
      </c>
      <c r="C3015" s="4">
        <v>9078.1910000000007</v>
      </c>
      <c r="D3015" s="4">
        <v>11481.491</v>
      </c>
      <c r="E3015" s="79">
        <v>0</v>
      </c>
      <c r="F3015" s="79">
        <f>SUM(BASE_DATOS[[#This Row],[Capital($)]:[Interés
Resarcitorio($)]])</f>
        <v>20559.682000000001</v>
      </c>
      <c r="G3015" s="8">
        <v>45154</v>
      </c>
      <c r="H3015" s="80" t="s">
        <v>59</v>
      </c>
      <c r="I3015" s="79" t="s">
        <v>9</v>
      </c>
      <c r="J3015" s="81">
        <v>120</v>
      </c>
      <c r="K3015" t="s">
        <v>47</v>
      </c>
    </row>
    <row r="3016" spans="2:11" x14ac:dyDescent="0.25">
      <c r="B3016" s="2">
        <f>+B3015</f>
        <v>33</v>
      </c>
      <c r="C3016" s="4">
        <v>9078.1910000000007</v>
      </c>
      <c r="D3016" s="4">
        <v>11481.491</v>
      </c>
      <c r="E3016" s="79">
        <v>4050.26</v>
      </c>
      <c r="F3016" s="79">
        <f>SUM(BASE_DATOS[[#This Row],[Capital($)]:[Interés
Resarcitorio($)]])</f>
        <v>24609.942000000003</v>
      </c>
      <c r="G3016" s="8">
        <v>45164</v>
      </c>
      <c r="H3016" s="80" t="s">
        <v>59</v>
      </c>
      <c r="I3016" s="79" t="s">
        <v>7</v>
      </c>
      <c r="J3016" s="81">
        <v>120</v>
      </c>
      <c r="K3016" t="s">
        <v>47</v>
      </c>
    </row>
    <row r="3017" spans="2:11" x14ac:dyDescent="0.25">
      <c r="B3017" s="2">
        <v>34</v>
      </c>
      <c r="C3017" s="4">
        <v>9078.1910000000007</v>
      </c>
      <c r="D3017" s="4">
        <v>12178.696</v>
      </c>
      <c r="E3017" s="79">
        <v>0</v>
      </c>
      <c r="F3017" s="79">
        <f>SUM(BASE_DATOS[[#This Row],[Capital($)]:[Interés
Resarcitorio($)]])</f>
        <v>21256.887000000002</v>
      </c>
      <c r="G3017" s="8">
        <v>45185</v>
      </c>
      <c r="H3017" s="80" t="s">
        <v>59</v>
      </c>
      <c r="I3017" s="79" t="s">
        <v>9</v>
      </c>
      <c r="J3017" s="81">
        <v>120</v>
      </c>
      <c r="K3017" t="s">
        <v>47</v>
      </c>
    </row>
    <row r="3018" spans="2:11" x14ac:dyDescent="0.25">
      <c r="B3018" s="2">
        <f>+B3017</f>
        <v>34</v>
      </c>
      <c r="C3018" s="4">
        <v>9078.1910000000007</v>
      </c>
      <c r="D3018" s="4">
        <v>12178.696</v>
      </c>
      <c r="E3018" s="79">
        <v>4187.6099999999997</v>
      </c>
      <c r="F3018" s="79">
        <f>SUM(BASE_DATOS[[#This Row],[Capital($)]:[Interés
Resarcitorio($)]])</f>
        <v>25444.497000000003</v>
      </c>
      <c r="G3018" s="8">
        <v>45195</v>
      </c>
      <c r="H3018" s="80" t="s">
        <v>59</v>
      </c>
      <c r="I3018" s="79" t="s">
        <v>7</v>
      </c>
      <c r="J3018" s="81">
        <v>120</v>
      </c>
      <c r="K3018" t="s">
        <v>47</v>
      </c>
    </row>
    <row r="3019" spans="2:11" x14ac:dyDescent="0.25">
      <c r="B3019" s="2">
        <v>35</v>
      </c>
      <c r="C3019" s="4">
        <v>9078.1910000000007</v>
      </c>
      <c r="D3019" s="4">
        <v>12875.901</v>
      </c>
      <c r="E3019" s="79">
        <v>0</v>
      </c>
      <c r="F3019" s="79">
        <f>SUM(BASE_DATOS[[#This Row],[Capital($)]:[Interés
Resarcitorio($)]])</f>
        <v>21954.092000000001</v>
      </c>
      <c r="G3019" s="8">
        <v>45215</v>
      </c>
      <c r="H3019" s="80" t="s">
        <v>59</v>
      </c>
      <c r="I3019" s="79" t="s">
        <v>9</v>
      </c>
      <c r="J3019" s="81">
        <v>120</v>
      </c>
      <c r="K3019" t="s">
        <v>47</v>
      </c>
    </row>
    <row r="3020" spans="2:11" x14ac:dyDescent="0.25">
      <c r="B3020" s="2">
        <f>+B3019</f>
        <v>35</v>
      </c>
      <c r="C3020" s="4">
        <v>9078.1910000000007</v>
      </c>
      <c r="D3020" s="4">
        <v>12875.901</v>
      </c>
      <c r="E3020" s="79">
        <v>4324.96</v>
      </c>
      <c r="F3020" s="79">
        <f>SUM(BASE_DATOS[[#This Row],[Capital($)]:[Interés
Resarcitorio($)]])</f>
        <v>26279.052</v>
      </c>
      <c r="G3020" s="8">
        <v>45225</v>
      </c>
      <c r="H3020" s="80" t="s">
        <v>59</v>
      </c>
      <c r="I3020" s="79" t="s">
        <v>7</v>
      </c>
      <c r="J3020" s="81">
        <v>120</v>
      </c>
      <c r="K3020" t="s">
        <v>47</v>
      </c>
    </row>
    <row r="3021" spans="2:11" x14ac:dyDescent="0.25">
      <c r="B3021" s="2">
        <v>36</v>
      </c>
      <c r="C3021" s="4">
        <v>9078.1910000000007</v>
      </c>
      <c r="D3021" s="4">
        <v>13573.106</v>
      </c>
      <c r="E3021" s="79">
        <v>0</v>
      </c>
      <c r="F3021" s="79">
        <f>SUM(BASE_DATOS[[#This Row],[Capital($)]:[Interés
Resarcitorio($)]])</f>
        <v>22651.296999999999</v>
      </c>
      <c r="G3021" s="8">
        <v>45246</v>
      </c>
      <c r="H3021" s="80" t="s">
        <v>59</v>
      </c>
      <c r="I3021" s="79" t="s">
        <v>9</v>
      </c>
      <c r="J3021" s="81">
        <v>120</v>
      </c>
      <c r="K3021" t="s">
        <v>47</v>
      </c>
    </row>
    <row r="3022" spans="2:11" x14ac:dyDescent="0.25">
      <c r="B3022" s="2">
        <f>+B3021</f>
        <v>36</v>
      </c>
      <c r="C3022" s="4">
        <v>9078.1910000000007</v>
      </c>
      <c r="D3022" s="4">
        <v>13573.106</v>
      </c>
      <c r="E3022" s="79">
        <v>4462.3100000000004</v>
      </c>
      <c r="F3022" s="79">
        <f>SUM(BASE_DATOS[[#This Row],[Capital($)]:[Interés
Resarcitorio($)]])</f>
        <v>27113.607</v>
      </c>
      <c r="G3022" s="8">
        <v>45256</v>
      </c>
      <c r="H3022" s="80" t="s">
        <v>59</v>
      </c>
      <c r="I3022" s="79" t="s">
        <v>7</v>
      </c>
      <c r="J3022" s="81">
        <v>120</v>
      </c>
      <c r="K3022" t="s">
        <v>47</v>
      </c>
    </row>
    <row r="3023" spans="2:11" x14ac:dyDescent="0.25">
      <c r="B3023" s="2">
        <v>37</v>
      </c>
      <c r="C3023" s="4">
        <v>9078.1910000000007</v>
      </c>
      <c r="D3023" s="4">
        <v>14550.826999999999</v>
      </c>
      <c r="E3023" s="79">
        <v>0</v>
      </c>
      <c r="F3023" s="79">
        <f>SUM(BASE_DATOS[[#This Row],[Capital($)]:[Interés
Resarcitorio($)]])</f>
        <v>23629.018</v>
      </c>
      <c r="G3023" s="8">
        <v>45276</v>
      </c>
      <c r="H3023" s="80" t="s">
        <v>59</v>
      </c>
      <c r="I3023" s="79" t="s">
        <v>9</v>
      </c>
      <c r="J3023" s="81">
        <v>120</v>
      </c>
      <c r="K3023" t="s">
        <v>47</v>
      </c>
    </row>
    <row r="3024" spans="2:11" x14ac:dyDescent="0.25">
      <c r="B3024" s="2">
        <f>+B3023</f>
        <v>37</v>
      </c>
      <c r="C3024" s="4">
        <v>9078.1910000000007</v>
      </c>
      <c r="D3024" s="4">
        <v>14550.826999999999</v>
      </c>
      <c r="E3024" s="79">
        <v>4654.92</v>
      </c>
      <c r="F3024" s="79">
        <f>SUM(BASE_DATOS[[#This Row],[Capital($)]:[Interés
Resarcitorio($)]])</f>
        <v>28283.938000000002</v>
      </c>
      <c r="G3024" s="8">
        <v>45286</v>
      </c>
      <c r="H3024" s="80" t="s">
        <v>59</v>
      </c>
      <c r="I3024" s="79" t="s">
        <v>7</v>
      </c>
      <c r="J3024" s="81">
        <v>120</v>
      </c>
      <c r="K3024" t="s">
        <v>47</v>
      </c>
    </row>
    <row r="3025" spans="2:11" x14ac:dyDescent="0.25">
      <c r="B3025" s="2">
        <v>38</v>
      </c>
      <c r="C3025" s="4">
        <v>9078.1910000000007</v>
      </c>
      <c r="D3025" s="4">
        <v>15528.548000000001</v>
      </c>
      <c r="E3025" s="79">
        <v>0</v>
      </c>
      <c r="F3025" s="79">
        <f>SUM(BASE_DATOS[[#This Row],[Capital($)]:[Interés
Resarcitorio($)]])</f>
        <v>24606.739000000001</v>
      </c>
      <c r="G3025" s="8">
        <v>45307</v>
      </c>
      <c r="H3025" s="80" t="s">
        <v>59</v>
      </c>
      <c r="I3025" s="79" t="s">
        <v>9</v>
      </c>
      <c r="J3025" s="81">
        <v>120</v>
      </c>
      <c r="K3025" t="s">
        <v>47</v>
      </c>
    </row>
    <row r="3026" spans="2:11" x14ac:dyDescent="0.25">
      <c r="B3026" s="2">
        <f>+B3025</f>
        <v>38</v>
      </c>
      <c r="C3026" s="4">
        <v>9078.1910000000007</v>
      </c>
      <c r="D3026" s="4">
        <v>15528.548000000001</v>
      </c>
      <c r="E3026" s="79">
        <v>4847.53</v>
      </c>
      <c r="F3026" s="79">
        <f>SUM(BASE_DATOS[[#This Row],[Capital($)]:[Interés
Resarcitorio($)]])</f>
        <v>29454.269</v>
      </c>
      <c r="G3026" s="8">
        <v>45317</v>
      </c>
      <c r="H3026" s="80" t="s">
        <v>59</v>
      </c>
      <c r="I3026" s="79" t="s">
        <v>7</v>
      </c>
      <c r="J3026" s="81">
        <v>120</v>
      </c>
      <c r="K3026" t="s">
        <v>47</v>
      </c>
    </row>
    <row r="3027" spans="2:11" x14ac:dyDescent="0.25">
      <c r="B3027" s="2">
        <v>39</v>
      </c>
      <c r="C3027" s="4">
        <v>9078.1910000000007</v>
      </c>
      <c r="D3027" s="4">
        <v>16506.269</v>
      </c>
      <c r="E3027" s="79">
        <v>0</v>
      </c>
      <c r="F3027" s="79">
        <f>SUM(BASE_DATOS[[#This Row],[Capital($)]:[Interés
Resarcitorio($)]])</f>
        <v>25584.46</v>
      </c>
      <c r="G3027" s="8">
        <v>45338</v>
      </c>
      <c r="H3027" s="80" t="s">
        <v>59</v>
      </c>
      <c r="I3027" s="79" t="s">
        <v>9</v>
      </c>
      <c r="J3027" s="81">
        <v>120</v>
      </c>
      <c r="K3027" t="s">
        <v>47</v>
      </c>
    </row>
    <row r="3028" spans="2:11" x14ac:dyDescent="0.25">
      <c r="B3028" s="2">
        <f>+B3027</f>
        <v>39</v>
      </c>
      <c r="C3028" s="4">
        <v>9078.1910000000007</v>
      </c>
      <c r="D3028" s="4">
        <v>16506.269</v>
      </c>
      <c r="E3028" s="79">
        <v>13022.49</v>
      </c>
      <c r="F3028" s="79">
        <f>SUM(BASE_DATOS[[#This Row],[Capital($)]:[Interés
Resarcitorio($)]])</f>
        <v>38606.949999999997</v>
      </c>
      <c r="G3028" s="8">
        <v>45348</v>
      </c>
      <c r="H3028" s="80" t="s">
        <v>59</v>
      </c>
      <c r="I3028" s="79" t="s">
        <v>7</v>
      </c>
      <c r="J3028" s="81">
        <v>120</v>
      </c>
      <c r="K3028" t="s">
        <v>47</v>
      </c>
    </row>
    <row r="3029" spans="2:11" x14ac:dyDescent="0.25">
      <c r="B3029" s="2">
        <v>40</v>
      </c>
      <c r="C3029" s="4">
        <v>9078.1910000000007</v>
      </c>
      <c r="D3029" s="4">
        <v>17483.991000000002</v>
      </c>
      <c r="E3029" s="79">
        <v>0</v>
      </c>
      <c r="F3029" s="79">
        <f>SUM(BASE_DATOS[[#This Row],[Capital($)]:[Interés
Resarcitorio($)]])</f>
        <v>26562.182000000001</v>
      </c>
      <c r="G3029" s="8">
        <v>45367</v>
      </c>
      <c r="H3029" s="80" t="s">
        <v>59</v>
      </c>
      <c r="I3029" s="79" t="s">
        <v>9</v>
      </c>
      <c r="J3029" s="81">
        <v>120</v>
      </c>
      <c r="K3029" t="s">
        <v>47</v>
      </c>
    </row>
    <row r="3030" spans="2:11" x14ac:dyDescent="0.25">
      <c r="B3030" s="2">
        <f>+B3029</f>
        <v>40</v>
      </c>
      <c r="C3030" s="4">
        <v>9078.1910000000007</v>
      </c>
      <c r="D3030" s="4">
        <v>17483.991000000002</v>
      </c>
      <c r="E3030" s="79">
        <v>13520.15</v>
      </c>
      <c r="F3030" s="79">
        <f>SUM(BASE_DATOS[[#This Row],[Capital($)]:[Interés
Resarcitorio($)]])</f>
        <v>40082.332000000002</v>
      </c>
      <c r="G3030" s="8">
        <v>45377</v>
      </c>
      <c r="H3030" s="80" t="s">
        <v>59</v>
      </c>
      <c r="I3030" s="79" t="s">
        <v>7</v>
      </c>
      <c r="J3030" s="81">
        <v>120</v>
      </c>
      <c r="K3030" t="s">
        <v>47</v>
      </c>
    </row>
    <row r="3031" spans="2:11" x14ac:dyDescent="0.25">
      <c r="B3031" s="2">
        <v>41</v>
      </c>
      <c r="C3031" s="4">
        <v>9078.1910000000007</v>
      </c>
      <c r="D3031" s="4">
        <v>18461.712</v>
      </c>
      <c r="E3031" s="79">
        <v>0</v>
      </c>
      <c r="F3031" s="79">
        <f>SUM(BASE_DATOS[[#This Row],[Capital($)]:[Interés
Resarcitorio($)]])</f>
        <v>27539.902999999998</v>
      </c>
      <c r="G3031" s="8">
        <v>45398</v>
      </c>
      <c r="H3031" s="80" t="s">
        <v>59</v>
      </c>
      <c r="I3031" s="79" t="s">
        <v>9</v>
      </c>
      <c r="J3031" s="81">
        <v>120</v>
      </c>
      <c r="K3031" t="s">
        <v>47</v>
      </c>
    </row>
    <row r="3032" spans="2:11" x14ac:dyDescent="0.25">
      <c r="B3032" s="2">
        <f>+B3031</f>
        <v>41</v>
      </c>
      <c r="C3032" s="4">
        <v>9078.1910000000007</v>
      </c>
      <c r="D3032" s="4">
        <v>18461.712</v>
      </c>
      <c r="E3032" s="79">
        <v>11080.22</v>
      </c>
      <c r="F3032" s="79">
        <f>SUM(BASE_DATOS[[#This Row],[Capital($)]:[Interés
Resarcitorio($)]])</f>
        <v>38620.123</v>
      </c>
      <c r="G3032" s="8">
        <v>45408</v>
      </c>
      <c r="H3032" s="80" t="s">
        <v>59</v>
      </c>
      <c r="I3032" s="79" t="s">
        <v>7</v>
      </c>
      <c r="J3032" s="81">
        <v>120</v>
      </c>
      <c r="K3032" t="s">
        <v>47</v>
      </c>
    </row>
    <row r="3033" spans="2:11" x14ac:dyDescent="0.25">
      <c r="B3033" s="2">
        <v>42</v>
      </c>
      <c r="C3033" s="4">
        <v>9078.1910000000007</v>
      </c>
      <c r="D3033" s="4">
        <v>19439.432999999997</v>
      </c>
      <c r="E3033" s="79">
        <v>0</v>
      </c>
      <c r="F3033" s="79">
        <f>SUM(BASE_DATOS[[#This Row],[Capital($)]:[Interés
Resarcitorio($)]])</f>
        <v>28517.623999999996</v>
      </c>
      <c r="G3033" s="8">
        <v>45428</v>
      </c>
      <c r="H3033" s="80" t="s">
        <v>59</v>
      </c>
      <c r="I3033" s="79" t="s">
        <v>9</v>
      </c>
      <c r="J3033" s="81">
        <v>120</v>
      </c>
      <c r="K3033" t="s">
        <v>47</v>
      </c>
    </row>
    <row r="3034" spans="2:11" x14ac:dyDescent="0.25">
      <c r="B3034" s="2">
        <f>+B3033</f>
        <v>42</v>
      </c>
      <c r="C3034" s="4">
        <v>9078.1910000000007</v>
      </c>
      <c r="D3034" s="4">
        <v>19439.432999999997</v>
      </c>
      <c r="E3034" s="79">
        <v>11473.59</v>
      </c>
      <c r="F3034" s="79">
        <f>SUM(BASE_DATOS[[#This Row],[Capital($)]:[Interés
Resarcitorio($)]])</f>
        <v>39991.213999999993</v>
      </c>
      <c r="G3034" s="8">
        <v>45438</v>
      </c>
      <c r="H3034" s="80" t="s">
        <v>59</v>
      </c>
      <c r="I3034" s="79" t="s">
        <v>7</v>
      </c>
      <c r="J3034" s="81">
        <v>120</v>
      </c>
      <c r="K3034" t="s">
        <v>47</v>
      </c>
    </row>
    <row r="3035" spans="2:11" x14ac:dyDescent="0.25">
      <c r="B3035" s="2">
        <v>43</v>
      </c>
      <c r="C3035" s="4">
        <v>9078.1910000000007</v>
      </c>
      <c r="D3035" s="4">
        <v>19680.913</v>
      </c>
      <c r="E3035" s="79">
        <v>0</v>
      </c>
      <c r="F3035" s="79">
        <f>SUM(BASE_DATOS[[#This Row],[Capital($)]:[Interés
Resarcitorio($)]])</f>
        <v>28759.103999999999</v>
      </c>
      <c r="G3035" s="8">
        <v>45459</v>
      </c>
      <c r="H3035" s="80" t="s">
        <v>59</v>
      </c>
      <c r="I3035" s="79" t="s">
        <v>9</v>
      </c>
      <c r="J3035" s="81">
        <v>120</v>
      </c>
      <c r="K3035" t="s">
        <v>47</v>
      </c>
    </row>
    <row r="3036" spans="2:11" x14ac:dyDescent="0.25">
      <c r="B3036" s="2">
        <f>+B3035</f>
        <v>43</v>
      </c>
      <c r="C3036" s="4">
        <v>9078.1910000000007</v>
      </c>
      <c r="D3036" s="4">
        <v>19680.913</v>
      </c>
      <c r="E3036" s="79">
        <v>6144.86</v>
      </c>
      <c r="F3036" s="79">
        <f>SUM(BASE_DATOS[[#This Row],[Capital($)]:[Interés
Resarcitorio($)]])</f>
        <v>34903.964</v>
      </c>
      <c r="G3036" s="8">
        <v>45469</v>
      </c>
      <c r="H3036" s="80" t="s">
        <v>59</v>
      </c>
      <c r="I3036" s="79" t="s">
        <v>7</v>
      </c>
      <c r="J3036" s="81">
        <v>120</v>
      </c>
      <c r="K3036" t="s">
        <v>47</v>
      </c>
    </row>
    <row r="3037" spans="2:11" x14ac:dyDescent="0.25">
      <c r="B3037" s="2">
        <v>44</v>
      </c>
      <c r="C3037" s="4">
        <v>9078.1910000000007</v>
      </c>
      <c r="D3037" s="4">
        <v>19922.393</v>
      </c>
      <c r="E3037" s="79">
        <v>0</v>
      </c>
      <c r="F3037" s="79">
        <f>SUM(BASE_DATOS[[#This Row],[Capital($)]:[Interés
Resarcitorio($)]])</f>
        <v>29000.584000000003</v>
      </c>
      <c r="G3037" s="8">
        <v>45489</v>
      </c>
      <c r="H3037" s="80" t="s">
        <v>59</v>
      </c>
      <c r="I3037" s="79" t="s">
        <v>9</v>
      </c>
      <c r="J3037" s="81">
        <v>120</v>
      </c>
      <c r="K3037" t="s">
        <v>47</v>
      </c>
    </row>
    <row r="3038" spans="2:11" x14ac:dyDescent="0.25">
      <c r="B3038" s="2">
        <f>+B3037</f>
        <v>44</v>
      </c>
      <c r="C3038" s="4">
        <v>9078.1910000000007</v>
      </c>
      <c r="D3038" s="4">
        <v>19922.393</v>
      </c>
      <c r="E3038" s="79">
        <v>6196.46</v>
      </c>
      <c r="F3038" s="79">
        <f>SUM(BASE_DATOS[[#This Row],[Capital($)]:[Interés
Resarcitorio($)]])</f>
        <v>35197.044000000002</v>
      </c>
      <c r="G3038" s="8">
        <v>45499</v>
      </c>
      <c r="H3038" s="80" t="s">
        <v>59</v>
      </c>
      <c r="I3038" s="79" t="s">
        <v>7</v>
      </c>
      <c r="J3038" s="81">
        <v>120</v>
      </c>
      <c r="K3038" t="s">
        <v>47</v>
      </c>
    </row>
    <row r="3039" spans="2:11" x14ac:dyDescent="0.25">
      <c r="B3039" s="2">
        <v>45</v>
      </c>
      <c r="C3039" s="4">
        <v>9078.1910000000007</v>
      </c>
      <c r="D3039" s="4">
        <v>20163.873</v>
      </c>
      <c r="E3039" s="79">
        <v>0</v>
      </c>
      <c r="F3039" s="79">
        <f>SUM(BASE_DATOS[[#This Row],[Capital($)]:[Interés
Resarcitorio($)]])</f>
        <v>29242.063999999998</v>
      </c>
      <c r="G3039" s="8">
        <v>45520</v>
      </c>
      <c r="H3039" s="80" t="s">
        <v>59</v>
      </c>
      <c r="I3039" s="79" t="s">
        <v>9</v>
      </c>
      <c r="J3039" s="81">
        <v>120</v>
      </c>
      <c r="K3039" t="s">
        <v>47</v>
      </c>
    </row>
    <row r="3040" spans="2:11" x14ac:dyDescent="0.25">
      <c r="B3040" s="2">
        <f>+B3039</f>
        <v>45</v>
      </c>
      <c r="C3040" s="4">
        <v>9078.1910000000007</v>
      </c>
      <c r="D3040" s="4">
        <v>20163.873</v>
      </c>
      <c r="E3040" s="79">
        <v>6248.05</v>
      </c>
      <c r="F3040" s="79">
        <f>SUM(BASE_DATOS[[#This Row],[Capital($)]:[Interés
Resarcitorio($)]])</f>
        <v>35490.114000000001</v>
      </c>
      <c r="G3040" s="8">
        <v>45530</v>
      </c>
      <c r="H3040" s="80" t="s">
        <v>59</v>
      </c>
      <c r="I3040" s="79" t="s">
        <v>7</v>
      </c>
      <c r="J3040" s="81">
        <v>120</v>
      </c>
      <c r="K3040" t="s">
        <v>47</v>
      </c>
    </row>
    <row r="3041" spans="2:11" x14ac:dyDescent="0.25">
      <c r="B3041" s="2">
        <v>46</v>
      </c>
      <c r="C3041" s="4">
        <v>9078.1910000000007</v>
      </c>
      <c r="D3041" s="4">
        <v>20405.352999999999</v>
      </c>
      <c r="E3041" s="79">
        <v>0</v>
      </c>
      <c r="F3041" s="79">
        <f>SUM(BASE_DATOS[[#This Row],[Capital($)]:[Interés
Resarcitorio($)]])</f>
        <v>29483.544000000002</v>
      </c>
      <c r="G3041" s="8">
        <v>45551</v>
      </c>
      <c r="H3041" s="80" t="s">
        <v>59</v>
      </c>
      <c r="I3041" s="79" t="s">
        <v>9</v>
      </c>
      <c r="J3041" s="81">
        <v>120</v>
      </c>
      <c r="K3041" t="s">
        <v>47</v>
      </c>
    </row>
    <row r="3042" spans="2:11" x14ac:dyDescent="0.25">
      <c r="B3042" s="2">
        <f>+B3041</f>
        <v>46</v>
      </c>
      <c r="C3042" s="4">
        <v>9078.1910000000007</v>
      </c>
      <c r="D3042" s="4">
        <v>20405.352999999999</v>
      </c>
      <c r="E3042" s="79">
        <v>6299.65</v>
      </c>
      <c r="F3042" s="79">
        <f>SUM(BASE_DATOS[[#This Row],[Capital($)]:[Interés
Resarcitorio($)]])</f>
        <v>35783.194000000003</v>
      </c>
      <c r="G3042" s="8">
        <v>45561</v>
      </c>
      <c r="H3042" s="80" t="s">
        <v>59</v>
      </c>
      <c r="I3042" s="79" t="s">
        <v>7</v>
      </c>
      <c r="J3042" s="81">
        <v>120</v>
      </c>
      <c r="K3042" t="s">
        <v>47</v>
      </c>
    </row>
    <row r="3043" spans="2:11" x14ac:dyDescent="0.25">
      <c r="B3043" s="2">
        <v>47</v>
      </c>
      <c r="C3043" s="4">
        <v>9078.1910000000007</v>
      </c>
      <c r="D3043" s="4">
        <v>20646.832000000002</v>
      </c>
      <c r="E3043" s="79">
        <v>0</v>
      </c>
      <c r="F3043" s="79">
        <f>SUM(BASE_DATOS[[#This Row],[Capital($)]:[Interés
Resarcitorio($)]])</f>
        <v>29725.023000000001</v>
      </c>
      <c r="G3043" s="8">
        <v>45581</v>
      </c>
      <c r="H3043" s="80" t="s">
        <v>59</v>
      </c>
      <c r="I3043" s="79" t="s">
        <v>9</v>
      </c>
      <c r="J3043" s="81">
        <v>120</v>
      </c>
      <c r="K3043" t="s">
        <v>47</v>
      </c>
    </row>
    <row r="3044" spans="2:11" x14ac:dyDescent="0.25">
      <c r="B3044" s="2">
        <f>+B3043</f>
        <v>47</v>
      </c>
      <c r="C3044" s="4">
        <v>9078.1910000000007</v>
      </c>
      <c r="D3044" s="4">
        <v>20646.832000000002</v>
      </c>
      <c r="E3044" s="79">
        <v>6351.25</v>
      </c>
      <c r="F3044" s="79">
        <f>SUM(BASE_DATOS[[#This Row],[Capital($)]:[Interés
Resarcitorio($)]])</f>
        <v>36076.273000000001</v>
      </c>
      <c r="G3044" s="8">
        <v>45591</v>
      </c>
      <c r="H3044" s="80" t="s">
        <v>59</v>
      </c>
      <c r="I3044" s="79" t="s">
        <v>7</v>
      </c>
      <c r="J3044" s="81">
        <v>120</v>
      </c>
      <c r="K3044" t="s">
        <v>47</v>
      </c>
    </row>
    <row r="3045" spans="2:11" x14ac:dyDescent="0.25">
      <c r="B3045" s="2">
        <v>48</v>
      </c>
      <c r="C3045" s="4">
        <v>9078.1910000000007</v>
      </c>
      <c r="D3045" s="4">
        <v>20888.311999999998</v>
      </c>
      <c r="E3045" s="79">
        <v>0</v>
      </c>
      <c r="F3045" s="79">
        <f>SUM(BASE_DATOS[[#This Row],[Capital($)]:[Interés
Resarcitorio($)]])</f>
        <v>29966.502999999997</v>
      </c>
      <c r="G3045" s="8">
        <v>45612</v>
      </c>
      <c r="H3045" s="80" t="s">
        <v>59</v>
      </c>
      <c r="I3045" s="79" t="s">
        <v>9</v>
      </c>
      <c r="J3045" s="81">
        <v>120</v>
      </c>
      <c r="K3045" t="s">
        <v>47</v>
      </c>
    </row>
    <row r="3046" spans="2:11" x14ac:dyDescent="0.25">
      <c r="B3046" s="2">
        <f>+B3045</f>
        <v>48</v>
      </c>
      <c r="C3046" s="4">
        <v>9078.1910000000007</v>
      </c>
      <c r="D3046" s="4">
        <v>20888.311999999998</v>
      </c>
      <c r="E3046" s="79">
        <v>6402.84</v>
      </c>
      <c r="F3046" s="79">
        <f>SUM(BASE_DATOS[[#This Row],[Capital($)]:[Interés
Resarcitorio($)]])</f>
        <v>36369.342999999993</v>
      </c>
      <c r="G3046" s="8">
        <v>45622</v>
      </c>
      <c r="H3046" s="80" t="s">
        <v>59</v>
      </c>
      <c r="I3046" s="79" t="s">
        <v>7</v>
      </c>
      <c r="J3046" s="81">
        <v>120</v>
      </c>
      <c r="K3046" t="s">
        <v>47</v>
      </c>
    </row>
    <row r="3047" spans="2:11" x14ac:dyDescent="0.25">
      <c r="B3047" s="2">
        <v>49</v>
      </c>
      <c r="C3047" s="4">
        <v>9078.1910000000007</v>
      </c>
      <c r="D3047" s="4">
        <v>21161.565999999999</v>
      </c>
      <c r="E3047" s="79">
        <v>0</v>
      </c>
      <c r="F3047" s="79">
        <f>SUM(BASE_DATOS[[#This Row],[Capital($)]:[Interés
Resarcitorio($)]])</f>
        <v>30239.756999999998</v>
      </c>
      <c r="G3047" s="8">
        <v>45642</v>
      </c>
      <c r="H3047" s="80" t="s">
        <v>59</v>
      </c>
      <c r="I3047" s="79" t="s">
        <v>9</v>
      </c>
      <c r="J3047" s="81">
        <v>120</v>
      </c>
      <c r="K3047" t="s">
        <v>47</v>
      </c>
    </row>
    <row r="3048" spans="2:11" x14ac:dyDescent="0.25">
      <c r="B3048" s="2">
        <f>+B3047</f>
        <v>49</v>
      </c>
      <c r="C3048" s="4">
        <v>9078.1910000000007</v>
      </c>
      <c r="D3048" s="4">
        <v>21161.565999999999</v>
      </c>
      <c r="E3048" s="79">
        <v>7529.7</v>
      </c>
      <c r="F3048" s="79">
        <f>SUM(BASE_DATOS[[#This Row],[Capital($)]:[Interés
Resarcitorio($)]])</f>
        <v>37769.456999999995</v>
      </c>
      <c r="G3048" s="8">
        <v>45652</v>
      </c>
      <c r="H3048" s="80" t="s">
        <v>59</v>
      </c>
      <c r="I3048" s="79" t="s">
        <v>7</v>
      </c>
      <c r="J3048" s="81">
        <v>120</v>
      </c>
      <c r="K3048" t="s">
        <v>47</v>
      </c>
    </row>
    <row r="3049" spans="2:11" x14ac:dyDescent="0.25">
      <c r="B3049" s="2">
        <v>50</v>
      </c>
      <c r="C3049" s="4">
        <v>9078.1910000000007</v>
      </c>
      <c r="D3049" s="4">
        <v>21434.819</v>
      </c>
      <c r="E3049" s="79">
        <v>0</v>
      </c>
      <c r="F3049" s="79">
        <f>SUM(BASE_DATOS[[#This Row],[Capital($)]:[Interés
Resarcitorio($)]])</f>
        <v>30513.010000000002</v>
      </c>
      <c r="G3049" s="8">
        <v>45673</v>
      </c>
      <c r="H3049" s="80" t="s">
        <v>59</v>
      </c>
      <c r="I3049" s="79" t="s">
        <v>9</v>
      </c>
      <c r="J3049" s="81">
        <v>120</v>
      </c>
      <c r="K3049" t="s">
        <v>47</v>
      </c>
    </row>
    <row r="3050" spans="2:11" x14ac:dyDescent="0.25">
      <c r="B3050" s="2">
        <f>+B3049</f>
        <v>50</v>
      </c>
      <c r="C3050" s="4">
        <v>9078.1910000000007</v>
      </c>
      <c r="D3050" s="4">
        <v>21434.819</v>
      </c>
      <c r="E3050" s="79">
        <v>7597.74</v>
      </c>
      <c r="F3050" s="79">
        <f>SUM(BASE_DATOS[[#This Row],[Capital($)]:[Interés
Resarcitorio($)]])</f>
        <v>38110.75</v>
      </c>
      <c r="G3050" s="8">
        <v>45683</v>
      </c>
      <c r="H3050" s="80" t="s">
        <v>59</v>
      </c>
      <c r="I3050" s="79" t="s">
        <v>7</v>
      </c>
      <c r="J3050" s="81">
        <v>120</v>
      </c>
      <c r="K3050" t="s">
        <v>47</v>
      </c>
    </row>
    <row r="3051" spans="2:11" x14ac:dyDescent="0.25">
      <c r="B3051" s="2">
        <v>51</v>
      </c>
      <c r="C3051" s="4">
        <v>9078.1910000000007</v>
      </c>
      <c r="D3051" s="4">
        <v>21708.073</v>
      </c>
      <c r="E3051" s="79">
        <v>0</v>
      </c>
      <c r="F3051" s="79">
        <f>SUM(BASE_DATOS[[#This Row],[Capital($)]:[Interés
Resarcitorio($)]])</f>
        <v>30786.264000000003</v>
      </c>
      <c r="G3051" s="8">
        <v>45704</v>
      </c>
      <c r="H3051" s="80" t="s">
        <v>59</v>
      </c>
      <c r="I3051" s="79" t="s">
        <v>9</v>
      </c>
      <c r="J3051" s="81">
        <v>120</v>
      </c>
      <c r="K3051" t="s">
        <v>47</v>
      </c>
    </row>
    <row r="3052" spans="2:11" x14ac:dyDescent="0.25">
      <c r="B3052" s="2">
        <f>+B3051</f>
        <v>51</v>
      </c>
      <c r="C3052" s="4">
        <v>9078.1910000000007</v>
      </c>
      <c r="D3052" s="4">
        <v>21708.073</v>
      </c>
      <c r="E3052" s="79">
        <v>7450.28</v>
      </c>
      <c r="F3052" s="79">
        <f>SUM(BASE_DATOS[[#This Row],[Capital($)]:[Interés
Resarcitorio($)]])</f>
        <v>38236.544000000002</v>
      </c>
      <c r="G3052" s="8">
        <v>45714</v>
      </c>
      <c r="H3052" s="80" t="s">
        <v>59</v>
      </c>
      <c r="I3052" s="79" t="s">
        <v>7</v>
      </c>
      <c r="J3052" s="81">
        <v>120</v>
      </c>
      <c r="K3052" t="s">
        <v>47</v>
      </c>
    </row>
    <row r="3053" spans="2:11" x14ac:dyDescent="0.25">
      <c r="B3053" s="2">
        <v>52</v>
      </c>
      <c r="C3053" s="4">
        <v>9078.1910000000007</v>
      </c>
      <c r="D3053" s="4">
        <v>21981.326000000001</v>
      </c>
      <c r="E3053" s="79">
        <v>0</v>
      </c>
      <c r="F3053" s="79">
        <f>SUM(BASE_DATOS[[#This Row],[Capital($)]:[Interés
Resarcitorio($)]])</f>
        <v>31059.517</v>
      </c>
      <c r="G3053" s="8">
        <v>45732</v>
      </c>
      <c r="H3053" s="80" t="s">
        <v>59</v>
      </c>
      <c r="I3053" s="79" t="s">
        <v>9</v>
      </c>
      <c r="J3053" s="81">
        <v>120</v>
      </c>
      <c r="K3053" t="s">
        <v>47</v>
      </c>
    </row>
    <row r="3054" spans="2:11" x14ac:dyDescent="0.25">
      <c r="B3054" s="2">
        <f>+B3053</f>
        <v>52</v>
      </c>
      <c r="C3054" s="4">
        <v>9078.1910000000007</v>
      </c>
      <c r="D3054" s="4">
        <v>21981.326000000001</v>
      </c>
      <c r="E3054" s="79">
        <v>4141.2700000000004</v>
      </c>
      <c r="F3054" s="79">
        <f>SUM(BASE_DATOS[[#This Row],[Capital($)]:[Interés
Resarcitorio($)]])</f>
        <v>35200.786999999997</v>
      </c>
      <c r="G3054" s="8">
        <v>45742</v>
      </c>
      <c r="H3054" s="80" t="s">
        <v>59</v>
      </c>
      <c r="I3054" s="79" t="s">
        <v>7</v>
      </c>
      <c r="J3054" s="81">
        <v>120</v>
      </c>
      <c r="K3054" t="s">
        <v>47</v>
      </c>
    </row>
    <row r="3055" spans="2:11" x14ac:dyDescent="0.25">
      <c r="B3055" s="2">
        <v>53</v>
      </c>
      <c r="C3055" s="4">
        <v>9078.1910000000007</v>
      </c>
      <c r="D3055" s="4">
        <v>22254.579999999998</v>
      </c>
      <c r="E3055" s="79">
        <v>0</v>
      </c>
      <c r="F3055" s="79">
        <f>SUM(BASE_DATOS[[#This Row],[Capital($)]:[Interés
Resarcitorio($)]])</f>
        <v>31332.771000000001</v>
      </c>
      <c r="G3055" s="8">
        <v>45763</v>
      </c>
      <c r="H3055" s="80" t="s">
        <v>59</v>
      </c>
      <c r="I3055" s="79" t="s">
        <v>9</v>
      </c>
      <c r="J3055" s="81">
        <v>120</v>
      </c>
      <c r="K3055" t="s">
        <v>47</v>
      </c>
    </row>
    <row r="3056" spans="2:11" x14ac:dyDescent="0.25">
      <c r="B3056" s="2">
        <f>+B3055</f>
        <v>53</v>
      </c>
      <c r="C3056" s="4">
        <v>9078.1910000000007</v>
      </c>
      <c r="D3056" s="4">
        <v>22254.579999999998</v>
      </c>
      <c r="E3056" s="79">
        <v>4177.7</v>
      </c>
      <c r="F3056" s="79">
        <f>SUM(BASE_DATOS[[#This Row],[Capital($)]:[Interés
Resarcitorio($)]])</f>
        <v>35510.470999999998</v>
      </c>
      <c r="G3056" s="8">
        <v>45773</v>
      </c>
      <c r="H3056" s="80" t="s">
        <v>59</v>
      </c>
      <c r="I3056" s="79" t="s">
        <v>7</v>
      </c>
      <c r="J3056" s="81">
        <v>120</v>
      </c>
      <c r="K3056" t="s">
        <v>47</v>
      </c>
    </row>
    <row r="3057" spans="2:11" x14ac:dyDescent="0.25">
      <c r="B3057" s="2">
        <v>54</v>
      </c>
      <c r="C3057" s="4">
        <v>9078.1910000000007</v>
      </c>
      <c r="D3057" s="4">
        <v>22527.833999999999</v>
      </c>
      <c r="E3057" s="79">
        <v>0</v>
      </c>
      <c r="F3057" s="79">
        <f>SUM(BASE_DATOS[[#This Row],[Capital($)]:[Interés
Resarcitorio($)]])</f>
        <v>31606.025000000001</v>
      </c>
      <c r="G3057" s="8">
        <v>45793</v>
      </c>
      <c r="H3057" s="80" t="s">
        <v>59</v>
      </c>
      <c r="I3057" s="79" t="s">
        <v>9</v>
      </c>
      <c r="J3057" s="81">
        <v>120</v>
      </c>
      <c r="K3057" t="s">
        <v>47</v>
      </c>
    </row>
    <row r="3058" spans="2:11" x14ac:dyDescent="0.25">
      <c r="B3058" s="2">
        <f>+B3057</f>
        <v>54</v>
      </c>
      <c r="C3058" s="4">
        <v>9078.1910000000007</v>
      </c>
      <c r="D3058" s="4">
        <v>22527.833999999999</v>
      </c>
      <c r="E3058" s="79">
        <v>4214.1400000000003</v>
      </c>
      <c r="F3058" s="79">
        <f>SUM(BASE_DATOS[[#This Row],[Capital($)]:[Interés
Resarcitorio($)]])</f>
        <v>35820.165000000001</v>
      </c>
      <c r="G3058" s="8">
        <v>45803</v>
      </c>
      <c r="H3058" s="80" t="s">
        <v>59</v>
      </c>
      <c r="I3058" s="79" t="s">
        <v>7</v>
      </c>
      <c r="J3058" s="81">
        <v>120</v>
      </c>
      <c r="K3058" t="s">
        <v>47</v>
      </c>
    </row>
    <row r="3059" spans="2:11" x14ac:dyDescent="0.25">
      <c r="B3059" s="2">
        <v>55</v>
      </c>
      <c r="C3059" s="4">
        <v>9078.1910000000007</v>
      </c>
      <c r="D3059" s="4">
        <v>22801.087</v>
      </c>
      <c r="E3059" s="79">
        <v>0</v>
      </c>
      <c r="F3059" s="79">
        <f>SUM(BASE_DATOS[[#This Row],[Capital($)]:[Interés
Resarcitorio($)]])</f>
        <v>31879.277999999998</v>
      </c>
      <c r="G3059" s="8">
        <v>45824</v>
      </c>
      <c r="H3059" s="80" t="s">
        <v>59</v>
      </c>
      <c r="I3059" s="79" t="s">
        <v>9</v>
      </c>
      <c r="J3059" s="81">
        <v>120</v>
      </c>
      <c r="K3059" t="s">
        <v>47</v>
      </c>
    </row>
    <row r="3060" spans="2:11" x14ac:dyDescent="0.25">
      <c r="B3060" s="2">
        <f>+B3059</f>
        <v>55</v>
      </c>
      <c r="C3060" s="4">
        <v>9078.1910000000007</v>
      </c>
      <c r="D3060" s="4">
        <v>22801.087</v>
      </c>
      <c r="E3060" s="79">
        <v>4250.57</v>
      </c>
      <c r="F3060" s="79">
        <f>SUM(BASE_DATOS[[#This Row],[Capital($)]:[Interés
Resarcitorio($)]])</f>
        <v>36129.847999999998</v>
      </c>
      <c r="G3060" s="8">
        <v>45834</v>
      </c>
      <c r="H3060" s="80" t="s">
        <v>59</v>
      </c>
      <c r="I3060" s="79" t="s">
        <v>7</v>
      </c>
      <c r="J3060" s="81">
        <v>120</v>
      </c>
      <c r="K3060" t="s">
        <v>47</v>
      </c>
    </row>
    <row r="3061" spans="2:11" x14ac:dyDescent="0.25">
      <c r="B3061" s="2">
        <v>56</v>
      </c>
      <c r="C3061" s="4">
        <v>9078.1910000000007</v>
      </c>
      <c r="D3061" s="4">
        <v>23074.341</v>
      </c>
      <c r="E3061" s="79">
        <v>0</v>
      </c>
      <c r="F3061" s="79">
        <f>SUM(BASE_DATOS[[#This Row],[Capital($)]:[Interés
Resarcitorio($)]])</f>
        <v>32152.531999999999</v>
      </c>
      <c r="G3061" s="8">
        <v>45854</v>
      </c>
      <c r="H3061" s="80" t="s">
        <v>59</v>
      </c>
      <c r="I3061" s="79" t="s">
        <v>6</v>
      </c>
      <c r="J3061" s="81">
        <v>120</v>
      </c>
      <c r="K3061" t="s">
        <v>47</v>
      </c>
    </row>
    <row r="3062" spans="2:11" x14ac:dyDescent="0.25">
      <c r="B3062" s="2">
        <f>+B3061</f>
        <v>56</v>
      </c>
      <c r="C3062" s="4">
        <v>9078.1910000000007</v>
      </c>
      <c r="D3062" s="4">
        <v>23074.341</v>
      </c>
      <c r="E3062" s="79">
        <v>4287</v>
      </c>
      <c r="F3062" s="79">
        <f>SUM(BASE_DATOS[[#This Row],[Capital($)]:[Interés
Resarcitorio($)]])</f>
        <v>36439.531999999999</v>
      </c>
      <c r="G3062" s="8">
        <v>45864</v>
      </c>
      <c r="H3062" s="80" t="s">
        <v>59</v>
      </c>
      <c r="I3062" s="79" t="s">
        <v>7</v>
      </c>
      <c r="J3062" s="81">
        <v>120</v>
      </c>
      <c r="K3062" t="s">
        <v>47</v>
      </c>
    </row>
    <row r="3063" spans="2:11" x14ac:dyDescent="0.25">
      <c r="B3063" s="2">
        <v>57</v>
      </c>
      <c r="C3063" s="4">
        <v>9078.1910000000007</v>
      </c>
      <c r="D3063" s="4">
        <v>23347.594000000001</v>
      </c>
      <c r="E3063" s="79">
        <v>0</v>
      </c>
      <c r="F3063" s="79">
        <f>SUM(BASE_DATOS[[#This Row],[Capital($)]:[Interés
Resarcitorio($)]])</f>
        <v>32425.785000000003</v>
      </c>
      <c r="G3063" s="8">
        <v>45885</v>
      </c>
      <c r="H3063" s="80" t="s">
        <v>59</v>
      </c>
      <c r="I3063" s="79" t="s">
        <v>6</v>
      </c>
      <c r="J3063" s="81">
        <v>120</v>
      </c>
      <c r="K3063" t="s">
        <v>47</v>
      </c>
    </row>
    <row r="3064" spans="2:11" x14ac:dyDescent="0.25">
      <c r="B3064" s="2">
        <f>+B3063</f>
        <v>57</v>
      </c>
      <c r="C3064" s="4">
        <v>9078.1910000000007</v>
      </c>
      <c r="D3064" s="4">
        <v>23347.594000000001</v>
      </c>
      <c r="E3064" s="79">
        <v>4323.4399999999996</v>
      </c>
      <c r="F3064" s="79">
        <f>SUM(BASE_DATOS[[#This Row],[Capital($)]:[Interés
Resarcitorio($)]])</f>
        <v>36749.225000000006</v>
      </c>
      <c r="G3064" s="8">
        <v>45895</v>
      </c>
      <c r="H3064" s="80" t="s">
        <v>59</v>
      </c>
      <c r="I3064" s="79" t="s">
        <v>7</v>
      </c>
      <c r="J3064" s="81">
        <v>120</v>
      </c>
      <c r="K3064" t="s">
        <v>47</v>
      </c>
    </row>
    <row r="3065" spans="2:11" x14ac:dyDescent="0.25">
      <c r="B3065" s="2">
        <v>58</v>
      </c>
      <c r="C3065" s="4">
        <v>9078.1910000000007</v>
      </c>
      <c r="D3065" s="4">
        <v>23620.848000000002</v>
      </c>
      <c r="E3065" s="79">
        <v>0</v>
      </c>
      <c r="F3065" s="79">
        <f>SUM(BASE_DATOS[[#This Row],[Capital($)]:[Interés
Resarcitorio($)]])</f>
        <v>32699.039000000004</v>
      </c>
      <c r="G3065" s="8">
        <v>45916</v>
      </c>
      <c r="H3065" s="80" t="s">
        <v>59</v>
      </c>
      <c r="I3065" s="79" t="s">
        <v>6</v>
      </c>
      <c r="J3065" s="81">
        <v>120</v>
      </c>
      <c r="K3065" t="s">
        <v>47</v>
      </c>
    </row>
    <row r="3066" spans="2:11" x14ac:dyDescent="0.25">
      <c r="B3066" s="2">
        <f>+B3065</f>
        <v>58</v>
      </c>
      <c r="C3066" s="4">
        <v>9078.1910000000007</v>
      </c>
      <c r="D3066" s="4">
        <v>23620.848000000002</v>
      </c>
      <c r="E3066" s="79">
        <v>4359.87</v>
      </c>
      <c r="F3066" s="79">
        <f>SUM(BASE_DATOS[[#This Row],[Capital($)]:[Interés
Resarcitorio($)]])</f>
        <v>37058.909000000007</v>
      </c>
      <c r="G3066" s="8">
        <v>45926</v>
      </c>
      <c r="H3066" s="80" t="s">
        <v>59</v>
      </c>
      <c r="I3066" s="79" t="s">
        <v>7</v>
      </c>
      <c r="J3066" s="81">
        <v>120</v>
      </c>
      <c r="K3066" t="s">
        <v>47</v>
      </c>
    </row>
    <row r="3067" spans="2:11" x14ac:dyDescent="0.25">
      <c r="B3067" s="2">
        <v>59</v>
      </c>
      <c r="C3067" s="4">
        <v>9078.1910000000007</v>
      </c>
      <c r="D3067" s="4">
        <v>23894.101000000002</v>
      </c>
      <c r="E3067" s="79">
        <v>0</v>
      </c>
      <c r="F3067" s="79">
        <f>SUM(BASE_DATOS[[#This Row],[Capital($)]:[Interés
Resarcitorio($)]])</f>
        <v>32972.292000000001</v>
      </c>
      <c r="G3067" s="8">
        <v>45946</v>
      </c>
      <c r="H3067" s="80" t="s">
        <v>59</v>
      </c>
      <c r="I3067" s="79" t="s">
        <v>6</v>
      </c>
      <c r="J3067" s="81">
        <v>120</v>
      </c>
      <c r="K3067" t="s">
        <v>47</v>
      </c>
    </row>
    <row r="3068" spans="2:11" x14ac:dyDescent="0.25">
      <c r="B3068" s="2">
        <f>+B3067</f>
        <v>59</v>
      </c>
      <c r="C3068" s="4">
        <v>9078.1910000000007</v>
      </c>
      <c r="D3068" s="4">
        <v>23894.101000000002</v>
      </c>
      <c r="E3068" s="79">
        <v>4396.3100000000004</v>
      </c>
      <c r="F3068" s="79">
        <f>SUM(BASE_DATOS[[#This Row],[Capital($)]:[Interés
Resarcitorio($)]])</f>
        <v>37368.601999999999</v>
      </c>
      <c r="G3068" s="8">
        <v>45956</v>
      </c>
      <c r="H3068" s="80" t="s">
        <v>59</v>
      </c>
      <c r="I3068" s="79" t="s">
        <v>7</v>
      </c>
      <c r="J3068" s="81">
        <v>120</v>
      </c>
      <c r="K3068" t="s">
        <v>47</v>
      </c>
    </row>
    <row r="3069" spans="2:11" x14ac:dyDescent="0.25">
      <c r="B3069" s="2">
        <v>60</v>
      </c>
      <c r="C3069" s="4">
        <v>9078.1910000000007</v>
      </c>
      <c r="D3069" s="4">
        <v>24167.355</v>
      </c>
      <c r="E3069" s="79">
        <v>0</v>
      </c>
      <c r="F3069" s="79">
        <f>SUM(BASE_DATOS[[#This Row],[Capital($)]:[Interés
Resarcitorio($)]])</f>
        <v>33245.546000000002</v>
      </c>
      <c r="G3069" s="8">
        <v>45977</v>
      </c>
      <c r="H3069" s="80" t="s">
        <v>59</v>
      </c>
      <c r="I3069" s="79" t="s">
        <v>6</v>
      </c>
      <c r="J3069" s="81">
        <v>120</v>
      </c>
      <c r="K3069" t="s">
        <v>47</v>
      </c>
    </row>
    <row r="3070" spans="2:11" x14ac:dyDescent="0.25">
      <c r="B3070" s="2">
        <f>+B3069</f>
        <v>60</v>
      </c>
      <c r="C3070" s="4">
        <v>9078.1910000000007</v>
      </c>
      <c r="D3070" s="4">
        <v>24167.355</v>
      </c>
      <c r="E3070" s="79">
        <v>4432.74</v>
      </c>
      <c r="F3070" s="79">
        <f>SUM(BASE_DATOS[[#This Row],[Capital($)]:[Interés
Resarcitorio($)]])</f>
        <v>37678.286</v>
      </c>
      <c r="G3070" s="8">
        <v>45987</v>
      </c>
      <c r="H3070" s="80" t="s">
        <v>59</v>
      </c>
      <c r="I3070" s="79" t="s">
        <v>7</v>
      </c>
      <c r="J3070" s="81">
        <v>120</v>
      </c>
      <c r="K3070" t="s">
        <v>47</v>
      </c>
    </row>
    <row r="3071" spans="2:11" x14ac:dyDescent="0.25">
      <c r="B3071" s="2">
        <v>61</v>
      </c>
      <c r="C3071" s="4">
        <v>9078.1910000000007</v>
      </c>
      <c r="D3071" s="4">
        <v>24440.608</v>
      </c>
      <c r="E3071" s="79">
        <v>0</v>
      </c>
      <c r="F3071" s="79">
        <f>SUM(BASE_DATOS[[#This Row],[Capital($)]:[Interés
Resarcitorio($)]])</f>
        <v>33518.798999999999</v>
      </c>
      <c r="G3071" s="8">
        <v>46007</v>
      </c>
      <c r="H3071" s="80" t="s">
        <v>59</v>
      </c>
      <c r="I3071" s="79" t="s">
        <v>6</v>
      </c>
      <c r="J3071" s="81">
        <v>120</v>
      </c>
      <c r="K3071" t="s">
        <v>47</v>
      </c>
    </row>
    <row r="3072" spans="2:11" x14ac:dyDescent="0.25">
      <c r="B3072" s="2">
        <f>+B3071</f>
        <v>61</v>
      </c>
      <c r="C3072" s="4">
        <v>9078.1910000000007</v>
      </c>
      <c r="D3072" s="4">
        <v>24440.608</v>
      </c>
      <c r="E3072" s="79">
        <v>4469.17</v>
      </c>
      <c r="F3072" s="79">
        <f>SUM(BASE_DATOS[[#This Row],[Capital($)]:[Interés
Resarcitorio($)]])</f>
        <v>37987.968999999997</v>
      </c>
      <c r="G3072" s="8">
        <v>46017</v>
      </c>
      <c r="H3072" s="80" t="s">
        <v>59</v>
      </c>
      <c r="I3072" s="79" t="s">
        <v>7</v>
      </c>
      <c r="J3072" s="81">
        <v>120</v>
      </c>
      <c r="K3072" t="s">
        <v>47</v>
      </c>
    </row>
    <row r="3073" spans="2:11" x14ac:dyDescent="0.25">
      <c r="B3073" s="2">
        <v>62</v>
      </c>
      <c r="C3073" s="4">
        <v>9078.1910000000007</v>
      </c>
      <c r="D3073" s="4">
        <v>24713.862000000001</v>
      </c>
      <c r="E3073" s="79">
        <v>0</v>
      </c>
      <c r="F3073" s="79">
        <f>SUM(BASE_DATOS[[#This Row],[Capital($)]:[Interés
Resarcitorio($)]])</f>
        <v>33792.053</v>
      </c>
      <c r="G3073" s="8">
        <v>46038</v>
      </c>
      <c r="H3073" s="80" t="s">
        <v>59</v>
      </c>
      <c r="I3073" s="79" t="s">
        <v>6</v>
      </c>
      <c r="J3073" s="81">
        <v>120</v>
      </c>
      <c r="K3073" t="s">
        <v>47</v>
      </c>
    </row>
    <row r="3074" spans="2:11" x14ac:dyDescent="0.25">
      <c r="B3074" s="2">
        <f>+B3073</f>
        <v>62</v>
      </c>
      <c r="C3074" s="4">
        <v>9078.1910000000007</v>
      </c>
      <c r="D3074" s="4">
        <v>24713.862000000001</v>
      </c>
      <c r="E3074" s="79">
        <v>4505.6099999999997</v>
      </c>
      <c r="F3074" s="79">
        <f>SUM(BASE_DATOS[[#This Row],[Capital($)]:[Interés
Resarcitorio($)]])</f>
        <v>38297.663</v>
      </c>
      <c r="G3074" s="8">
        <v>46048</v>
      </c>
      <c r="H3074" s="80" t="s">
        <v>59</v>
      </c>
      <c r="I3074" s="79" t="s">
        <v>7</v>
      </c>
      <c r="J3074" s="81">
        <v>120</v>
      </c>
      <c r="K3074" t="s">
        <v>47</v>
      </c>
    </row>
    <row r="3075" spans="2:11" x14ac:dyDescent="0.25">
      <c r="B3075" s="2">
        <v>63</v>
      </c>
      <c r="C3075" s="4">
        <v>9078.1910000000007</v>
      </c>
      <c r="D3075" s="4">
        <v>24987.116000000002</v>
      </c>
      <c r="E3075" s="79">
        <v>0</v>
      </c>
      <c r="F3075" s="79">
        <f>SUM(BASE_DATOS[[#This Row],[Capital($)]:[Interés
Resarcitorio($)]])</f>
        <v>34065.307000000001</v>
      </c>
      <c r="G3075" s="8">
        <v>46069</v>
      </c>
      <c r="H3075" s="80" t="s">
        <v>59</v>
      </c>
      <c r="I3075" s="79" t="s">
        <v>6</v>
      </c>
      <c r="J3075" s="81">
        <v>120</v>
      </c>
      <c r="K3075" t="s">
        <v>47</v>
      </c>
    </row>
    <row r="3076" spans="2:11" x14ac:dyDescent="0.25">
      <c r="B3076" s="2">
        <f>+B3075</f>
        <v>63</v>
      </c>
      <c r="C3076" s="4">
        <v>9078.1910000000007</v>
      </c>
      <c r="D3076" s="4">
        <v>24987.116000000002</v>
      </c>
      <c r="E3076" s="79">
        <v>4542.04</v>
      </c>
      <c r="F3076" s="79">
        <f>SUM(BASE_DATOS[[#This Row],[Capital($)]:[Interés
Resarcitorio($)]])</f>
        <v>38607.347000000002</v>
      </c>
      <c r="G3076" s="8">
        <v>46079</v>
      </c>
      <c r="H3076" s="80" t="s">
        <v>59</v>
      </c>
      <c r="I3076" s="79" t="s">
        <v>7</v>
      </c>
      <c r="J3076" s="81">
        <v>120</v>
      </c>
      <c r="K3076" t="s">
        <v>47</v>
      </c>
    </row>
    <row r="3077" spans="2:11" x14ac:dyDescent="0.25">
      <c r="B3077" s="2">
        <v>64</v>
      </c>
      <c r="C3077" s="4">
        <v>9078.1910000000007</v>
      </c>
      <c r="D3077" s="4">
        <v>25260.368999999999</v>
      </c>
      <c r="E3077" s="79">
        <v>0</v>
      </c>
      <c r="F3077" s="79">
        <f>SUM(BASE_DATOS[[#This Row],[Capital($)]:[Interés
Resarcitorio($)]])</f>
        <v>34338.559999999998</v>
      </c>
      <c r="G3077" s="8">
        <v>46097</v>
      </c>
      <c r="H3077" s="80" t="s">
        <v>59</v>
      </c>
      <c r="I3077" s="79" t="s">
        <v>6</v>
      </c>
      <c r="J3077" s="81">
        <v>120</v>
      </c>
      <c r="K3077" t="s">
        <v>47</v>
      </c>
    </row>
    <row r="3078" spans="2:11" x14ac:dyDescent="0.25">
      <c r="B3078" s="2">
        <f>+B3077</f>
        <v>64</v>
      </c>
      <c r="C3078" s="4">
        <v>9078.1910000000007</v>
      </c>
      <c r="D3078" s="4">
        <v>25260.368999999999</v>
      </c>
      <c r="E3078" s="79">
        <v>4578.47</v>
      </c>
      <c r="F3078" s="79">
        <f>SUM(BASE_DATOS[[#This Row],[Capital($)]:[Interés
Resarcitorio($)]])</f>
        <v>38917.03</v>
      </c>
      <c r="G3078" s="8">
        <v>46107</v>
      </c>
      <c r="H3078" s="80" t="s">
        <v>59</v>
      </c>
      <c r="I3078" s="79" t="s">
        <v>7</v>
      </c>
      <c r="J3078" s="81">
        <v>120</v>
      </c>
      <c r="K3078" t="s">
        <v>47</v>
      </c>
    </row>
    <row r="3079" spans="2:11" x14ac:dyDescent="0.25">
      <c r="B3079" s="2">
        <v>65</v>
      </c>
      <c r="C3079" s="4">
        <v>9078.1910000000007</v>
      </c>
      <c r="D3079" s="4">
        <v>25533.623</v>
      </c>
      <c r="E3079" s="79">
        <v>0</v>
      </c>
      <c r="F3079" s="79">
        <f>SUM(BASE_DATOS[[#This Row],[Capital($)]:[Interés
Resarcitorio($)]])</f>
        <v>34611.813999999998</v>
      </c>
      <c r="G3079" s="8">
        <v>46128</v>
      </c>
      <c r="H3079" s="80" t="s">
        <v>59</v>
      </c>
      <c r="I3079" s="79" t="s">
        <v>6</v>
      </c>
      <c r="J3079" s="81">
        <v>120</v>
      </c>
      <c r="K3079" t="s">
        <v>47</v>
      </c>
    </row>
    <row r="3080" spans="2:11" x14ac:dyDescent="0.25">
      <c r="B3080" s="2">
        <f>+B3079</f>
        <v>65</v>
      </c>
      <c r="C3080" s="4">
        <v>9078.1910000000007</v>
      </c>
      <c r="D3080" s="4">
        <v>25533.623</v>
      </c>
      <c r="E3080" s="79">
        <v>4614.91</v>
      </c>
      <c r="F3080" s="79">
        <f>SUM(BASE_DATOS[[#This Row],[Capital($)]:[Interés
Resarcitorio($)]])</f>
        <v>39226.724000000002</v>
      </c>
      <c r="G3080" s="8">
        <v>46138</v>
      </c>
      <c r="H3080" s="80" t="s">
        <v>59</v>
      </c>
      <c r="I3080" s="79" t="s">
        <v>7</v>
      </c>
      <c r="J3080" s="81">
        <v>120</v>
      </c>
      <c r="K3080" t="s">
        <v>47</v>
      </c>
    </row>
    <row r="3081" spans="2:11" x14ac:dyDescent="0.25">
      <c r="B3081" s="2">
        <v>66</v>
      </c>
      <c r="C3081" s="4">
        <v>9078.1910000000007</v>
      </c>
      <c r="D3081" s="4">
        <v>25806.876</v>
      </c>
      <c r="E3081" s="79">
        <v>0</v>
      </c>
      <c r="F3081" s="79">
        <f>SUM(BASE_DATOS[[#This Row],[Capital($)]:[Interés
Resarcitorio($)]])</f>
        <v>34885.067000000003</v>
      </c>
      <c r="G3081" s="8">
        <v>46158</v>
      </c>
      <c r="H3081" s="80" t="s">
        <v>59</v>
      </c>
      <c r="I3081" s="79" t="s">
        <v>6</v>
      </c>
      <c r="J3081" s="81">
        <v>120</v>
      </c>
      <c r="K3081" t="s">
        <v>47</v>
      </c>
    </row>
    <row r="3082" spans="2:11" x14ac:dyDescent="0.25">
      <c r="B3082" s="2">
        <f>+B3081</f>
        <v>66</v>
      </c>
      <c r="C3082" s="4">
        <v>9078.1910000000007</v>
      </c>
      <c r="D3082" s="4">
        <v>25806.876</v>
      </c>
      <c r="E3082" s="79">
        <v>4651.34</v>
      </c>
      <c r="F3082" s="79">
        <f>SUM(BASE_DATOS[[#This Row],[Capital($)]:[Interés
Resarcitorio($)]])</f>
        <v>39536.407000000007</v>
      </c>
      <c r="G3082" s="8">
        <v>46168</v>
      </c>
      <c r="H3082" s="80" t="s">
        <v>59</v>
      </c>
      <c r="I3082" s="79" t="s">
        <v>7</v>
      </c>
      <c r="J3082" s="81">
        <v>120</v>
      </c>
      <c r="K3082" t="s">
        <v>47</v>
      </c>
    </row>
    <row r="3083" spans="2:11" x14ac:dyDescent="0.25">
      <c r="B3083" s="2">
        <v>67</v>
      </c>
      <c r="C3083" s="4">
        <v>9078.1910000000007</v>
      </c>
      <c r="D3083" s="4">
        <v>26080.129999999997</v>
      </c>
      <c r="E3083" s="79">
        <v>0</v>
      </c>
      <c r="F3083" s="79">
        <f>SUM(BASE_DATOS[[#This Row],[Capital($)]:[Interés
Resarcitorio($)]])</f>
        <v>35158.320999999996</v>
      </c>
      <c r="G3083" s="8">
        <v>46189</v>
      </c>
      <c r="H3083" s="80" t="s">
        <v>59</v>
      </c>
      <c r="I3083" s="79" t="s">
        <v>6</v>
      </c>
      <c r="J3083" s="81">
        <v>120</v>
      </c>
      <c r="K3083" t="s">
        <v>47</v>
      </c>
    </row>
    <row r="3084" spans="2:11" x14ac:dyDescent="0.25">
      <c r="B3084" s="2">
        <f>+B3083</f>
        <v>67</v>
      </c>
      <c r="C3084" s="4">
        <v>9078.1910000000007</v>
      </c>
      <c r="D3084" s="4">
        <v>26080.129999999997</v>
      </c>
      <c r="E3084" s="79">
        <v>4687.78</v>
      </c>
      <c r="F3084" s="79">
        <f>SUM(BASE_DATOS[[#This Row],[Capital($)]:[Interés
Resarcitorio($)]])</f>
        <v>39846.100999999995</v>
      </c>
      <c r="G3084" s="8">
        <v>46199</v>
      </c>
      <c r="H3084" s="80" t="s">
        <v>59</v>
      </c>
      <c r="I3084" s="79" t="s">
        <v>7</v>
      </c>
      <c r="J3084" s="81">
        <v>120</v>
      </c>
      <c r="K3084" t="s">
        <v>47</v>
      </c>
    </row>
    <row r="3085" spans="2:11" x14ac:dyDescent="0.25">
      <c r="B3085" s="2">
        <v>68</v>
      </c>
      <c r="C3085" s="4">
        <v>9078.1910000000007</v>
      </c>
      <c r="D3085" s="4">
        <v>26353.383000000002</v>
      </c>
      <c r="E3085" s="79">
        <v>0</v>
      </c>
      <c r="F3085" s="79">
        <f>SUM(BASE_DATOS[[#This Row],[Capital($)]:[Interés
Resarcitorio($)]])</f>
        <v>35431.574000000001</v>
      </c>
      <c r="G3085" s="8">
        <v>46219</v>
      </c>
      <c r="H3085" s="80" t="s">
        <v>59</v>
      </c>
      <c r="I3085" s="79" t="s">
        <v>6</v>
      </c>
      <c r="J3085" s="81">
        <v>120</v>
      </c>
      <c r="K3085" t="s">
        <v>47</v>
      </c>
    </row>
    <row r="3086" spans="2:11" x14ac:dyDescent="0.25">
      <c r="B3086" s="2">
        <f>+B3085</f>
        <v>68</v>
      </c>
      <c r="C3086" s="4">
        <v>9078.1910000000007</v>
      </c>
      <c r="D3086" s="4">
        <v>26353.383000000002</v>
      </c>
      <c r="E3086" s="79">
        <v>4724.21</v>
      </c>
      <c r="F3086" s="79">
        <f>SUM(BASE_DATOS[[#This Row],[Capital($)]:[Interés
Resarcitorio($)]])</f>
        <v>40155.784</v>
      </c>
      <c r="G3086" s="8">
        <v>46229</v>
      </c>
      <c r="H3086" s="80" t="s">
        <v>59</v>
      </c>
      <c r="I3086" s="79" t="s">
        <v>7</v>
      </c>
      <c r="J3086" s="81">
        <v>120</v>
      </c>
      <c r="K3086" t="s">
        <v>47</v>
      </c>
    </row>
    <row r="3087" spans="2:11" x14ac:dyDescent="0.25">
      <c r="B3087" s="2">
        <v>69</v>
      </c>
      <c r="C3087" s="4">
        <v>9078.1910000000007</v>
      </c>
      <c r="D3087" s="4">
        <v>26626.636999999999</v>
      </c>
      <c r="E3087" s="79">
        <v>0</v>
      </c>
      <c r="F3087" s="79">
        <f>SUM(BASE_DATOS[[#This Row],[Capital($)]:[Interés
Resarcitorio($)]])</f>
        <v>35704.828000000001</v>
      </c>
      <c r="G3087" s="8">
        <v>46250</v>
      </c>
      <c r="H3087" s="80" t="s">
        <v>59</v>
      </c>
      <c r="I3087" s="79" t="s">
        <v>6</v>
      </c>
      <c r="J3087" s="81">
        <v>120</v>
      </c>
      <c r="K3087" t="s">
        <v>47</v>
      </c>
    </row>
    <row r="3088" spans="2:11" x14ac:dyDescent="0.25">
      <c r="B3088" s="2">
        <f>+B3087</f>
        <v>69</v>
      </c>
      <c r="C3088" s="4">
        <v>9078.1910000000007</v>
      </c>
      <c r="D3088" s="4">
        <v>26626.636999999999</v>
      </c>
      <c r="E3088" s="79">
        <v>4760.6400000000003</v>
      </c>
      <c r="F3088" s="79">
        <f>SUM(BASE_DATOS[[#This Row],[Capital($)]:[Interés
Resarcitorio($)]])</f>
        <v>40465.468000000001</v>
      </c>
      <c r="G3088" s="8">
        <v>46260</v>
      </c>
      <c r="H3088" s="80" t="s">
        <v>59</v>
      </c>
      <c r="I3088" s="79" t="s">
        <v>7</v>
      </c>
      <c r="J3088" s="81">
        <v>120</v>
      </c>
      <c r="K3088" t="s">
        <v>47</v>
      </c>
    </row>
    <row r="3089" spans="2:11" x14ac:dyDescent="0.25">
      <c r="B3089" s="2">
        <v>70</v>
      </c>
      <c r="C3089" s="4">
        <v>9078.1910000000007</v>
      </c>
      <c r="D3089" s="4">
        <v>26899.890000000003</v>
      </c>
      <c r="E3089" s="79">
        <v>0</v>
      </c>
      <c r="F3089" s="79">
        <f>SUM(BASE_DATOS[[#This Row],[Capital($)]:[Interés
Resarcitorio($)]])</f>
        <v>35978.081000000006</v>
      </c>
      <c r="G3089" s="8">
        <v>46281</v>
      </c>
      <c r="H3089" s="80" t="s">
        <v>59</v>
      </c>
      <c r="I3089" s="79" t="s">
        <v>6</v>
      </c>
      <c r="J3089" s="81">
        <v>120</v>
      </c>
      <c r="K3089" t="s">
        <v>47</v>
      </c>
    </row>
    <row r="3090" spans="2:11" x14ac:dyDescent="0.25">
      <c r="B3090" s="2">
        <f>+B3089</f>
        <v>70</v>
      </c>
      <c r="C3090" s="4">
        <v>9078.1910000000007</v>
      </c>
      <c r="D3090" s="4">
        <v>26899.890000000003</v>
      </c>
      <c r="E3090" s="79">
        <v>4797.08</v>
      </c>
      <c r="F3090" s="79">
        <f>SUM(BASE_DATOS[[#This Row],[Capital($)]:[Interés
Resarcitorio($)]])</f>
        <v>40775.161000000007</v>
      </c>
      <c r="G3090" s="8">
        <v>46291</v>
      </c>
      <c r="H3090" s="80" t="s">
        <v>59</v>
      </c>
      <c r="I3090" s="79" t="s">
        <v>7</v>
      </c>
      <c r="J3090" s="81">
        <v>120</v>
      </c>
      <c r="K3090" t="s">
        <v>47</v>
      </c>
    </row>
    <row r="3091" spans="2:11" x14ac:dyDescent="0.25">
      <c r="B3091" s="2">
        <v>71</v>
      </c>
      <c r="C3091" s="4">
        <v>9078.1910000000007</v>
      </c>
      <c r="D3091" s="4">
        <v>27173.144</v>
      </c>
      <c r="E3091" s="79">
        <v>0</v>
      </c>
      <c r="F3091" s="79">
        <f>SUM(BASE_DATOS[[#This Row],[Capital($)]:[Interés
Resarcitorio($)]])</f>
        <v>36251.334999999999</v>
      </c>
      <c r="G3091" s="8">
        <v>46311</v>
      </c>
      <c r="H3091" s="80" t="s">
        <v>59</v>
      </c>
      <c r="I3091" s="79" t="s">
        <v>6</v>
      </c>
      <c r="J3091" s="81">
        <v>120</v>
      </c>
      <c r="K3091" t="s">
        <v>47</v>
      </c>
    </row>
    <row r="3092" spans="2:11" x14ac:dyDescent="0.25">
      <c r="B3092" s="2">
        <f>+B3091</f>
        <v>71</v>
      </c>
      <c r="C3092" s="4">
        <v>9078.1910000000007</v>
      </c>
      <c r="D3092" s="4">
        <v>27173.144</v>
      </c>
      <c r="E3092" s="79">
        <v>4833.51</v>
      </c>
      <c r="F3092" s="79">
        <f>SUM(BASE_DATOS[[#This Row],[Capital($)]:[Interés
Resarcitorio($)]])</f>
        <v>41084.845000000001</v>
      </c>
      <c r="G3092" s="8">
        <v>46321</v>
      </c>
      <c r="H3092" s="80" t="s">
        <v>59</v>
      </c>
      <c r="I3092" s="79" t="s">
        <v>7</v>
      </c>
      <c r="J3092" s="81">
        <v>120</v>
      </c>
      <c r="K3092" t="s">
        <v>47</v>
      </c>
    </row>
    <row r="3093" spans="2:11" x14ac:dyDescent="0.25">
      <c r="B3093" s="2">
        <v>72</v>
      </c>
      <c r="C3093" s="4">
        <v>9078.1910000000007</v>
      </c>
      <c r="D3093" s="4">
        <v>27446.396999999997</v>
      </c>
      <c r="E3093" s="79">
        <v>0</v>
      </c>
      <c r="F3093" s="79">
        <f>SUM(BASE_DATOS[[#This Row],[Capital($)]:[Interés
Resarcitorio($)]])</f>
        <v>36524.587999999996</v>
      </c>
      <c r="G3093" s="8">
        <v>46342</v>
      </c>
      <c r="H3093" s="80" t="s">
        <v>59</v>
      </c>
      <c r="I3093" s="79" t="s">
        <v>6</v>
      </c>
      <c r="J3093" s="81">
        <v>120</v>
      </c>
      <c r="K3093" t="s">
        <v>47</v>
      </c>
    </row>
    <row r="3094" spans="2:11" x14ac:dyDescent="0.25">
      <c r="B3094" s="2">
        <f>+B3093</f>
        <v>72</v>
      </c>
      <c r="C3094" s="4">
        <v>9078.1910000000007</v>
      </c>
      <c r="D3094" s="4">
        <v>27446.396999999997</v>
      </c>
      <c r="E3094" s="79">
        <v>4869.95</v>
      </c>
      <c r="F3094" s="79">
        <f>SUM(BASE_DATOS[[#This Row],[Capital($)]:[Interés
Resarcitorio($)]])</f>
        <v>41394.537999999993</v>
      </c>
      <c r="G3094" s="8">
        <v>46352</v>
      </c>
      <c r="H3094" s="80" t="s">
        <v>59</v>
      </c>
      <c r="I3094" s="79" t="s">
        <v>7</v>
      </c>
      <c r="J3094" s="81">
        <v>120</v>
      </c>
      <c r="K3094" t="s">
        <v>47</v>
      </c>
    </row>
    <row r="3095" spans="2:11" x14ac:dyDescent="0.25">
      <c r="B3095" s="2">
        <v>73</v>
      </c>
      <c r="C3095" s="4">
        <v>9078.1910000000007</v>
      </c>
      <c r="D3095" s="4">
        <v>27719.651000000002</v>
      </c>
      <c r="E3095" s="79">
        <v>0</v>
      </c>
      <c r="F3095" s="79">
        <f>SUM(BASE_DATOS[[#This Row],[Capital($)]:[Interés
Resarcitorio($)]])</f>
        <v>36797.842000000004</v>
      </c>
      <c r="G3095" s="8">
        <v>46372</v>
      </c>
      <c r="H3095" s="80" t="s">
        <v>59</v>
      </c>
      <c r="I3095" s="79" t="s">
        <v>6</v>
      </c>
      <c r="J3095" s="81">
        <v>120</v>
      </c>
      <c r="K3095" t="s">
        <v>47</v>
      </c>
    </row>
    <row r="3096" spans="2:11" x14ac:dyDescent="0.25">
      <c r="B3096" s="2">
        <f>+B3095</f>
        <v>73</v>
      </c>
      <c r="C3096" s="4">
        <v>9078.1910000000007</v>
      </c>
      <c r="D3096" s="4">
        <v>27719.651000000002</v>
      </c>
      <c r="E3096" s="79">
        <v>4906.38</v>
      </c>
      <c r="F3096" s="79">
        <f>SUM(BASE_DATOS[[#This Row],[Capital($)]:[Interés
Resarcitorio($)]])</f>
        <v>41704.222000000002</v>
      </c>
      <c r="G3096" s="8">
        <v>46382</v>
      </c>
      <c r="H3096" s="80" t="s">
        <v>59</v>
      </c>
      <c r="I3096" s="79" t="s">
        <v>7</v>
      </c>
      <c r="J3096" s="81">
        <v>120</v>
      </c>
      <c r="K3096" t="s">
        <v>47</v>
      </c>
    </row>
    <row r="3097" spans="2:11" x14ac:dyDescent="0.25">
      <c r="B3097" s="2">
        <v>74</v>
      </c>
      <c r="C3097" s="4">
        <v>9078.1910000000007</v>
      </c>
      <c r="D3097" s="4">
        <v>27992.904999999999</v>
      </c>
      <c r="E3097" s="79">
        <v>0</v>
      </c>
      <c r="F3097" s="79">
        <f>SUM(BASE_DATOS[[#This Row],[Capital($)]:[Interés
Resarcitorio($)]])</f>
        <v>37071.095999999998</v>
      </c>
      <c r="G3097" s="8">
        <v>46403</v>
      </c>
      <c r="H3097" s="80" t="s">
        <v>59</v>
      </c>
      <c r="I3097" s="79" t="s">
        <v>6</v>
      </c>
      <c r="J3097" s="81">
        <v>120</v>
      </c>
      <c r="K3097" t="s">
        <v>47</v>
      </c>
    </row>
    <row r="3098" spans="2:11" x14ac:dyDescent="0.25">
      <c r="B3098" s="2">
        <f>+B3097</f>
        <v>74</v>
      </c>
      <c r="C3098" s="4">
        <v>9078.1910000000007</v>
      </c>
      <c r="D3098" s="4">
        <v>27992.904999999999</v>
      </c>
      <c r="E3098" s="79">
        <v>4942.8100000000004</v>
      </c>
      <c r="F3098" s="79">
        <f>SUM(BASE_DATOS[[#This Row],[Capital($)]:[Interés
Resarcitorio($)]])</f>
        <v>42013.905999999995</v>
      </c>
      <c r="G3098" s="8">
        <v>46413</v>
      </c>
      <c r="H3098" s="80" t="s">
        <v>59</v>
      </c>
      <c r="I3098" s="79" t="s">
        <v>7</v>
      </c>
      <c r="J3098" s="81">
        <v>120</v>
      </c>
      <c r="K3098" t="s">
        <v>47</v>
      </c>
    </row>
    <row r="3099" spans="2:11" x14ac:dyDescent="0.25">
      <c r="B3099" s="2">
        <v>75</v>
      </c>
      <c r="C3099" s="4">
        <v>9078.1910000000007</v>
      </c>
      <c r="D3099" s="4">
        <v>28266.158000000003</v>
      </c>
      <c r="E3099" s="79">
        <v>0</v>
      </c>
      <c r="F3099" s="79">
        <f>SUM(BASE_DATOS[[#This Row],[Capital($)]:[Interés
Resarcitorio($)]])</f>
        <v>37344.349000000002</v>
      </c>
      <c r="G3099" s="8">
        <v>46434</v>
      </c>
      <c r="H3099" s="80" t="s">
        <v>59</v>
      </c>
      <c r="I3099" s="79" t="s">
        <v>6</v>
      </c>
      <c r="J3099" s="81">
        <v>120</v>
      </c>
      <c r="K3099" t="s">
        <v>47</v>
      </c>
    </row>
    <row r="3100" spans="2:11" x14ac:dyDescent="0.25">
      <c r="B3100" s="2">
        <f>+B3099</f>
        <v>75</v>
      </c>
      <c r="C3100" s="4">
        <v>9078.1910000000007</v>
      </c>
      <c r="D3100" s="4">
        <v>28266.158000000003</v>
      </c>
      <c r="E3100" s="79">
        <v>4979.25</v>
      </c>
      <c r="F3100" s="79">
        <f>SUM(BASE_DATOS[[#This Row],[Capital($)]:[Interés
Resarcitorio($)]])</f>
        <v>42323.599000000002</v>
      </c>
      <c r="G3100" s="8">
        <v>46444</v>
      </c>
      <c r="H3100" s="80" t="s">
        <v>59</v>
      </c>
      <c r="I3100" s="79" t="s">
        <v>7</v>
      </c>
      <c r="J3100" s="81">
        <v>120</v>
      </c>
      <c r="K3100" t="s">
        <v>47</v>
      </c>
    </row>
    <row r="3101" spans="2:11" x14ac:dyDescent="0.25">
      <c r="B3101" s="2">
        <v>76</v>
      </c>
      <c r="C3101" s="4">
        <v>9078.1910000000007</v>
      </c>
      <c r="D3101" s="4">
        <v>28539.412</v>
      </c>
      <c r="E3101" s="79">
        <v>0</v>
      </c>
      <c r="F3101" s="79">
        <f>SUM(BASE_DATOS[[#This Row],[Capital($)]:[Interés
Resarcitorio($)]])</f>
        <v>37617.603000000003</v>
      </c>
      <c r="G3101" s="8">
        <v>46462</v>
      </c>
      <c r="H3101" s="80" t="s">
        <v>59</v>
      </c>
      <c r="I3101" s="79" t="s">
        <v>6</v>
      </c>
      <c r="J3101" s="81">
        <v>120</v>
      </c>
      <c r="K3101" t="s">
        <v>47</v>
      </c>
    </row>
    <row r="3102" spans="2:11" x14ac:dyDescent="0.25">
      <c r="B3102" s="2">
        <f>+B3101</f>
        <v>76</v>
      </c>
      <c r="C3102" s="4">
        <v>9078.1910000000007</v>
      </c>
      <c r="D3102" s="4">
        <v>28539.412</v>
      </c>
      <c r="E3102" s="79">
        <v>5015.68</v>
      </c>
      <c r="F3102" s="79">
        <f>SUM(BASE_DATOS[[#This Row],[Capital($)]:[Interés
Resarcitorio($)]])</f>
        <v>42633.283000000003</v>
      </c>
      <c r="G3102" s="8">
        <v>46472</v>
      </c>
      <c r="H3102" s="80" t="s">
        <v>59</v>
      </c>
      <c r="I3102" s="79" t="s">
        <v>7</v>
      </c>
      <c r="J3102" s="81">
        <v>120</v>
      </c>
      <c r="K3102" t="s">
        <v>47</v>
      </c>
    </row>
    <row r="3103" spans="2:11" x14ac:dyDescent="0.25">
      <c r="B3103" s="2">
        <v>77</v>
      </c>
      <c r="C3103" s="4">
        <v>9078.1910000000007</v>
      </c>
      <c r="D3103" s="4">
        <v>28812.665000000001</v>
      </c>
      <c r="E3103" s="79">
        <v>0</v>
      </c>
      <c r="F3103" s="79">
        <f>SUM(BASE_DATOS[[#This Row],[Capital($)]:[Interés
Resarcitorio($)]])</f>
        <v>37890.856</v>
      </c>
      <c r="G3103" s="8">
        <v>46493</v>
      </c>
      <c r="H3103" s="80" t="s">
        <v>59</v>
      </c>
      <c r="I3103" s="79" t="s">
        <v>6</v>
      </c>
      <c r="J3103" s="81">
        <v>120</v>
      </c>
      <c r="K3103" t="s">
        <v>47</v>
      </c>
    </row>
    <row r="3104" spans="2:11" x14ac:dyDescent="0.25">
      <c r="B3104" s="2">
        <f>+B3103</f>
        <v>77</v>
      </c>
      <c r="C3104" s="4">
        <v>9078.1910000000007</v>
      </c>
      <c r="D3104" s="4">
        <v>28812.665000000001</v>
      </c>
      <c r="E3104" s="79">
        <v>5052.1099999999997</v>
      </c>
      <c r="F3104" s="79">
        <f>SUM(BASE_DATOS[[#This Row],[Capital($)]:[Interés
Resarcitorio($)]])</f>
        <v>42942.966</v>
      </c>
      <c r="G3104" s="8">
        <v>46503</v>
      </c>
      <c r="H3104" s="80" t="s">
        <v>59</v>
      </c>
      <c r="I3104" s="79" t="s">
        <v>7</v>
      </c>
      <c r="J3104" s="81">
        <v>120</v>
      </c>
      <c r="K3104" t="s">
        <v>47</v>
      </c>
    </row>
    <row r="3105" spans="2:11" x14ac:dyDescent="0.25">
      <c r="B3105" s="2">
        <v>78</v>
      </c>
      <c r="C3105" s="4">
        <v>9078.1910000000007</v>
      </c>
      <c r="D3105" s="4">
        <v>29085.919000000002</v>
      </c>
      <c r="E3105" s="79">
        <v>0</v>
      </c>
      <c r="F3105" s="79">
        <f>SUM(BASE_DATOS[[#This Row],[Capital($)]:[Interés
Resarcitorio($)]])</f>
        <v>38164.11</v>
      </c>
      <c r="G3105" s="8">
        <v>46523</v>
      </c>
      <c r="H3105" s="80" t="s">
        <v>59</v>
      </c>
      <c r="I3105" s="79" t="s">
        <v>6</v>
      </c>
      <c r="J3105" s="81">
        <v>120</v>
      </c>
      <c r="K3105" t="s">
        <v>47</v>
      </c>
    </row>
    <row r="3106" spans="2:11" x14ac:dyDescent="0.25">
      <c r="B3106" s="2">
        <f>+B3105</f>
        <v>78</v>
      </c>
      <c r="C3106" s="4">
        <v>9078.1910000000007</v>
      </c>
      <c r="D3106" s="4">
        <v>29085.919000000002</v>
      </c>
      <c r="E3106" s="79">
        <v>5088.55</v>
      </c>
      <c r="F3106" s="79">
        <f>SUM(BASE_DATOS[[#This Row],[Capital($)]:[Interés
Resarcitorio($)]])</f>
        <v>43252.66</v>
      </c>
      <c r="G3106" s="8">
        <v>46533</v>
      </c>
      <c r="H3106" s="80" t="s">
        <v>59</v>
      </c>
      <c r="I3106" s="79" t="s">
        <v>7</v>
      </c>
      <c r="J3106" s="81">
        <v>120</v>
      </c>
      <c r="K3106" t="s">
        <v>47</v>
      </c>
    </row>
    <row r="3107" spans="2:11" x14ac:dyDescent="0.25">
      <c r="B3107" s="2">
        <v>79</v>
      </c>
      <c r="C3107" s="4">
        <v>9078.1910000000007</v>
      </c>
      <c r="D3107" s="4">
        <v>29359.171999999999</v>
      </c>
      <c r="E3107" s="79">
        <v>0</v>
      </c>
      <c r="F3107" s="79">
        <f>SUM(BASE_DATOS[[#This Row],[Capital($)]:[Interés
Resarcitorio($)]])</f>
        <v>38437.362999999998</v>
      </c>
      <c r="G3107" s="8">
        <v>46554</v>
      </c>
      <c r="H3107" s="80" t="s">
        <v>59</v>
      </c>
      <c r="I3107" s="79" t="s">
        <v>6</v>
      </c>
      <c r="J3107" s="81">
        <v>120</v>
      </c>
      <c r="K3107" t="s">
        <v>47</v>
      </c>
    </row>
    <row r="3108" spans="2:11" x14ac:dyDescent="0.25">
      <c r="B3108" s="2">
        <f>+B3107</f>
        <v>79</v>
      </c>
      <c r="C3108" s="4">
        <v>9078.1910000000007</v>
      </c>
      <c r="D3108" s="4">
        <v>29359.171999999999</v>
      </c>
      <c r="E3108" s="79">
        <v>5124.9799999999996</v>
      </c>
      <c r="F3108" s="79">
        <f>SUM(BASE_DATOS[[#This Row],[Capital($)]:[Interés
Resarcitorio($)]])</f>
        <v>43562.342999999993</v>
      </c>
      <c r="G3108" s="8">
        <v>46564</v>
      </c>
      <c r="H3108" s="80" t="s">
        <v>59</v>
      </c>
      <c r="I3108" s="79" t="s">
        <v>7</v>
      </c>
      <c r="J3108" s="81">
        <v>120</v>
      </c>
      <c r="K3108" t="s">
        <v>47</v>
      </c>
    </row>
    <row r="3109" spans="2:11" x14ac:dyDescent="0.25">
      <c r="B3109" s="2">
        <v>80</v>
      </c>
      <c r="C3109" s="4">
        <v>9078.1910000000007</v>
      </c>
      <c r="D3109" s="4">
        <v>29632.425999999999</v>
      </c>
      <c r="E3109" s="79">
        <v>0</v>
      </c>
      <c r="F3109" s="79">
        <f>SUM(BASE_DATOS[[#This Row],[Capital($)]:[Interés
Resarcitorio($)]])</f>
        <v>38710.616999999998</v>
      </c>
      <c r="G3109" s="8">
        <v>46584</v>
      </c>
      <c r="H3109" s="80" t="s">
        <v>59</v>
      </c>
      <c r="I3109" s="79" t="s">
        <v>6</v>
      </c>
      <c r="J3109" s="81">
        <v>120</v>
      </c>
      <c r="K3109" t="s">
        <v>47</v>
      </c>
    </row>
    <row r="3110" spans="2:11" x14ac:dyDescent="0.25">
      <c r="B3110" s="2">
        <f>+B3109</f>
        <v>80</v>
      </c>
      <c r="C3110" s="4">
        <v>9078.1910000000007</v>
      </c>
      <c r="D3110" s="4">
        <v>29632.425999999999</v>
      </c>
      <c r="E3110" s="79">
        <v>5161.42</v>
      </c>
      <c r="F3110" s="79">
        <f>SUM(BASE_DATOS[[#This Row],[Capital($)]:[Interés
Resarcitorio($)]])</f>
        <v>43872.036999999997</v>
      </c>
      <c r="G3110" s="8">
        <v>46594</v>
      </c>
      <c r="H3110" s="80" t="s">
        <v>59</v>
      </c>
      <c r="I3110" s="79" t="s">
        <v>7</v>
      </c>
      <c r="J3110" s="81">
        <v>120</v>
      </c>
      <c r="K3110" t="s">
        <v>47</v>
      </c>
    </row>
    <row r="3111" spans="2:11" x14ac:dyDescent="0.25">
      <c r="B3111" s="2">
        <v>81</v>
      </c>
      <c r="C3111" s="4">
        <v>9078.1910000000007</v>
      </c>
      <c r="D3111" s="4">
        <v>29905.678999999996</v>
      </c>
      <c r="E3111" s="79">
        <v>0</v>
      </c>
      <c r="F3111" s="79">
        <f>SUM(BASE_DATOS[[#This Row],[Capital($)]:[Interés
Resarcitorio($)]])</f>
        <v>38983.869999999995</v>
      </c>
      <c r="G3111" s="8">
        <v>46615</v>
      </c>
      <c r="H3111" s="80" t="s">
        <v>59</v>
      </c>
      <c r="I3111" s="79" t="s">
        <v>6</v>
      </c>
      <c r="J3111" s="81">
        <v>120</v>
      </c>
      <c r="K3111" t="s">
        <v>47</v>
      </c>
    </row>
    <row r="3112" spans="2:11" x14ac:dyDescent="0.25">
      <c r="B3112" s="2">
        <f>+B3111</f>
        <v>81</v>
      </c>
      <c r="C3112" s="4">
        <v>9078.1910000000007</v>
      </c>
      <c r="D3112" s="4">
        <v>29905.678999999996</v>
      </c>
      <c r="E3112" s="79">
        <v>5197.8500000000004</v>
      </c>
      <c r="F3112" s="79">
        <f>SUM(BASE_DATOS[[#This Row],[Capital($)]:[Interés
Resarcitorio($)]])</f>
        <v>44181.719999999994</v>
      </c>
      <c r="G3112" s="8">
        <v>46625</v>
      </c>
      <c r="H3112" s="80" t="s">
        <v>59</v>
      </c>
      <c r="I3112" s="79" t="s">
        <v>7</v>
      </c>
      <c r="J3112" s="81">
        <v>120</v>
      </c>
      <c r="K3112" t="s">
        <v>47</v>
      </c>
    </row>
    <row r="3113" spans="2:11" x14ac:dyDescent="0.25">
      <c r="B3113" s="2">
        <v>82</v>
      </c>
      <c r="C3113" s="4">
        <v>9078.1910000000007</v>
      </c>
      <c r="D3113" s="4">
        <v>30178.933000000001</v>
      </c>
      <c r="E3113" s="79">
        <v>0</v>
      </c>
      <c r="F3113" s="79">
        <f>SUM(BASE_DATOS[[#This Row],[Capital($)]:[Interés
Resarcitorio($)]])</f>
        <v>39257.124000000003</v>
      </c>
      <c r="G3113" s="8">
        <v>46646</v>
      </c>
      <c r="H3113" s="80" t="s">
        <v>59</v>
      </c>
      <c r="I3113" s="79" t="s">
        <v>6</v>
      </c>
      <c r="J3113" s="81">
        <v>120</v>
      </c>
      <c r="K3113" t="s">
        <v>47</v>
      </c>
    </row>
    <row r="3114" spans="2:11" x14ac:dyDescent="0.25">
      <c r="B3114" s="2">
        <f>+B3113</f>
        <v>82</v>
      </c>
      <c r="C3114" s="4">
        <v>9078.1910000000007</v>
      </c>
      <c r="D3114" s="4">
        <v>30178.933000000001</v>
      </c>
      <c r="E3114" s="79">
        <v>5234.28</v>
      </c>
      <c r="F3114" s="79">
        <f>SUM(BASE_DATOS[[#This Row],[Capital($)]:[Interés
Resarcitorio($)]])</f>
        <v>44491.404000000002</v>
      </c>
      <c r="G3114" s="8">
        <v>46656</v>
      </c>
      <c r="H3114" s="80" t="s">
        <v>59</v>
      </c>
      <c r="I3114" s="79" t="s">
        <v>7</v>
      </c>
      <c r="J3114" s="81">
        <v>120</v>
      </c>
      <c r="K3114" t="s">
        <v>47</v>
      </c>
    </row>
    <row r="3115" spans="2:11" x14ac:dyDescent="0.25">
      <c r="B3115" s="2">
        <v>83</v>
      </c>
      <c r="C3115" s="4">
        <v>9078.1910000000007</v>
      </c>
      <c r="D3115" s="4">
        <v>30452.185999999998</v>
      </c>
      <c r="E3115" s="79">
        <v>0</v>
      </c>
      <c r="F3115" s="79">
        <f>SUM(BASE_DATOS[[#This Row],[Capital($)]:[Interés
Resarcitorio($)]])</f>
        <v>39530.377</v>
      </c>
      <c r="G3115" s="8">
        <v>46676</v>
      </c>
      <c r="H3115" s="80" t="s">
        <v>59</v>
      </c>
      <c r="I3115" s="79" t="s">
        <v>6</v>
      </c>
      <c r="J3115" s="81">
        <v>120</v>
      </c>
      <c r="K3115" t="s">
        <v>47</v>
      </c>
    </row>
    <row r="3116" spans="2:11" x14ac:dyDescent="0.25">
      <c r="B3116" s="2">
        <f>+B3115</f>
        <v>83</v>
      </c>
      <c r="C3116" s="4">
        <v>9078.1910000000007</v>
      </c>
      <c r="D3116" s="4">
        <v>30452.185999999998</v>
      </c>
      <c r="E3116" s="79">
        <v>5270.72</v>
      </c>
      <c r="F3116" s="79">
        <f>SUM(BASE_DATOS[[#This Row],[Capital($)]:[Interés
Resarcitorio($)]])</f>
        <v>44801.097000000002</v>
      </c>
      <c r="G3116" s="8">
        <v>46686</v>
      </c>
      <c r="H3116" s="80" t="s">
        <v>59</v>
      </c>
      <c r="I3116" s="79" t="s">
        <v>7</v>
      </c>
      <c r="J3116" s="81">
        <v>120</v>
      </c>
      <c r="K3116" t="s">
        <v>47</v>
      </c>
    </row>
    <row r="3117" spans="2:11" x14ac:dyDescent="0.25">
      <c r="B3117" s="2">
        <v>84</v>
      </c>
      <c r="C3117" s="4">
        <v>9078.1910000000007</v>
      </c>
      <c r="D3117" s="4">
        <v>30725.440000000002</v>
      </c>
      <c r="E3117" s="79">
        <v>0</v>
      </c>
      <c r="F3117" s="79">
        <f>SUM(BASE_DATOS[[#This Row],[Capital($)]:[Interés
Resarcitorio($)]])</f>
        <v>39803.631000000001</v>
      </c>
      <c r="G3117" s="8">
        <v>46707</v>
      </c>
      <c r="H3117" s="80" t="s">
        <v>59</v>
      </c>
      <c r="I3117" s="79" t="s">
        <v>6</v>
      </c>
      <c r="J3117" s="81">
        <v>120</v>
      </c>
      <c r="K3117" t="s">
        <v>47</v>
      </c>
    </row>
    <row r="3118" spans="2:11" x14ac:dyDescent="0.25">
      <c r="B3118" s="2">
        <f>+B3117</f>
        <v>84</v>
      </c>
      <c r="C3118" s="4">
        <v>9078.1910000000007</v>
      </c>
      <c r="D3118" s="4">
        <v>30725.440000000002</v>
      </c>
      <c r="E3118" s="79">
        <v>5307.15</v>
      </c>
      <c r="F3118" s="79">
        <f>SUM(BASE_DATOS[[#This Row],[Capital($)]:[Interés
Resarcitorio($)]])</f>
        <v>45110.781000000003</v>
      </c>
      <c r="G3118" s="8">
        <v>46717</v>
      </c>
      <c r="H3118" s="80" t="s">
        <v>59</v>
      </c>
      <c r="I3118" s="79" t="s">
        <v>7</v>
      </c>
      <c r="J3118" s="81">
        <v>120</v>
      </c>
      <c r="K3118" t="s">
        <v>47</v>
      </c>
    </row>
    <row r="3119" spans="2:11" x14ac:dyDescent="0.25">
      <c r="B3119" s="2">
        <v>85</v>
      </c>
      <c r="C3119" s="4">
        <v>9078.1910000000007</v>
      </c>
      <c r="D3119" s="4">
        <v>30998.694</v>
      </c>
      <c r="E3119" s="79">
        <v>0</v>
      </c>
      <c r="F3119" s="79">
        <f>SUM(BASE_DATOS[[#This Row],[Capital($)]:[Interés
Resarcitorio($)]])</f>
        <v>40076.885000000002</v>
      </c>
      <c r="G3119" s="8">
        <v>46737</v>
      </c>
      <c r="H3119" s="80" t="s">
        <v>59</v>
      </c>
      <c r="I3119" s="79" t="s">
        <v>6</v>
      </c>
      <c r="J3119" s="81">
        <v>120</v>
      </c>
      <c r="K3119" t="s">
        <v>47</v>
      </c>
    </row>
    <row r="3120" spans="2:11" x14ac:dyDescent="0.25">
      <c r="B3120" s="2">
        <f>+B3119</f>
        <v>85</v>
      </c>
      <c r="C3120" s="4">
        <v>9078.1910000000007</v>
      </c>
      <c r="D3120" s="4">
        <v>30998.694</v>
      </c>
      <c r="E3120" s="79">
        <v>5343.58</v>
      </c>
      <c r="F3120" s="79">
        <f>SUM(BASE_DATOS[[#This Row],[Capital($)]:[Interés
Resarcitorio($)]])</f>
        <v>45420.465000000004</v>
      </c>
      <c r="G3120" s="8">
        <v>46747</v>
      </c>
      <c r="H3120" s="80" t="s">
        <v>59</v>
      </c>
      <c r="I3120" s="79" t="s">
        <v>7</v>
      </c>
      <c r="J3120" s="81">
        <v>120</v>
      </c>
      <c r="K3120" t="s">
        <v>47</v>
      </c>
    </row>
    <row r="3121" spans="2:11" x14ac:dyDescent="0.25">
      <c r="B3121" s="2">
        <v>86</v>
      </c>
      <c r="C3121" s="4">
        <v>9078.1910000000007</v>
      </c>
      <c r="D3121" s="4">
        <v>31271.946999999996</v>
      </c>
      <c r="E3121" s="79">
        <v>0</v>
      </c>
      <c r="F3121" s="79">
        <f>SUM(BASE_DATOS[[#This Row],[Capital($)]:[Interés
Resarcitorio($)]])</f>
        <v>40350.137999999999</v>
      </c>
      <c r="G3121" s="8">
        <v>46768</v>
      </c>
      <c r="H3121" s="80" t="s">
        <v>59</v>
      </c>
      <c r="I3121" s="79" t="s">
        <v>6</v>
      </c>
      <c r="J3121" s="81">
        <v>120</v>
      </c>
      <c r="K3121" t="s">
        <v>47</v>
      </c>
    </row>
    <row r="3122" spans="2:11" x14ac:dyDescent="0.25">
      <c r="B3122" s="2">
        <f>+B3121</f>
        <v>86</v>
      </c>
      <c r="C3122" s="4">
        <v>9078.1910000000007</v>
      </c>
      <c r="D3122" s="4">
        <v>31271.946999999996</v>
      </c>
      <c r="E3122" s="79">
        <v>5380.02</v>
      </c>
      <c r="F3122" s="79">
        <f>SUM(BASE_DATOS[[#This Row],[Capital($)]:[Interés
Resarcitorio($)]])</f>
        <v>45730.157999999996</v>
      </c>
      <c r="G3122" s="8">
        <v>46778</v>
      </c>
      <c r="H3122" s="80" t="s">
        <v>59</v>
      </c>
      <c r="I3122" s="79" t="s">
        <v>7</v>
      </c>
      <c r="J3122" s="81">
        <v>120</v>
      </c>
      <c r="K3122" t="s">
        <v>47</v>
      </c>
    </row>
    <row r="3123" spans="2:11" x14ac:dyDescent="0.25">
      <c r="B3123" s="2">
        <v>87</v>
      </c>
      <c r="C3123" s="4">
        <v>9078.1910000000007</v>
      </c>
      <c r="D3123" s="4">
        <v>31545.201000000001</v>
      </c>
      <c r="E3123" s="79">
        <v>0</v>
      </c>
      <c r="F3123" s="79">
        <f>SUM(BASE_DATOS[[#This Row],[Capital($)]:[Interés
Resarcitorio($)]])</f>
        <v>40623.392</v>
      </c>
      <c r="G3123" s="8">
        <v>46799</v>
      </c>
      <c r="H3123" s="80" t="s">
        <v>59</v>
      </c>
      <c r="I3123" s="79" t="s">
        <v>6</v>
      </c>
      <c r="J3123" s="81">
        <v>120</v>
      </c>
      <c r="K3123" t="s">
        <v>47</v>
      </c>
    </row>
    <row r="3124" spans="2:11" x14ac:dyDescent="0.25">
      <c r="B3124" s="2">
        <f>+B3123</f>
        <v>87</v>
      </c>
      <c r="C3124" s="4">
        <v>9078.1910000000007</v>
      </c>
      <c r="D3124" s="4">
        <v>31545.201000000001</v>
      </c>
      <c r="E3124" s="79">
        <v>5416.45</v>
      </c>
      <c r="F3124" s="79">
        <f>SUM(BASE_DATOS[[#This Row],[Capital($)]:[Interés
Resarcitorio($)]])</f>
        <v>46039.841999999997</v>
      </c>
      <c r="G3124" s="8">
        <v>46809</v>
      </c>
      <c r="H3124" s="80" t="s">
        <v>59</v>
      </c>
      <c r="I3124" s="79" t="s">
        <v>7</v>
      </c>
      <c r="J3124" s="81">
        <v>120</v>
      </c>
      <c r="K3124" t="s">
        <v>47</v>
      </c>
    </row>
    <row r="3125" spans="2:11" x14ac:dyDescent="0.25">
      <c r="B3125" s="2">
        <v>88</v>
      </c>
      <c r="C3125" s="4">
        <v>9078.1910000000007</v>
      </c>
      <c r="D3125" s="4">
        <v>31818.453999999998</v>
      </c>
      <c r="E3125" s="79">
        <v>0</v>
      </c>
      <c r="F3125" s="79">
        <f>SUM(BASE_DATOS[[#This Row],[Capital($)]:[Interés
Resarcitorio($)]])</f>
        <v>40896.644999999997</v>
      </c>
      <c r="G3125" s="8">
        <v>46828</v>
      </c>
      <c r="H3125" s="80" t="s">
        <v>59</v>
      </c>
      <c r="I3125" s="79" t="s">
        <v>6</v>
      </c>
      <c r="J3125" s="81">
        <v>120</v>
      </c>
      <c r="K3125" t="s">
        <v>47</v>
      </c>
    </row>
    <row r="3126" spans="2:11" x14ac:dyDescent="0.25">
      <c r="B3126" s="2">
        <f>+B3125</f>
        <v>88</v>
      </c>
      <c r="C3126" s="4">
        <v>9078.1910000000007</v>
      </c>
      <c r="D3126" s="4">
        <v>31818.453999999998</v>
      </c>
      <c r="E3126" s="79">
        <v>5452.89</v>
      </c>
      <c r="F3126" s="79">
        <f>SUM(BASE_DATOS[[#This Row],[Capital($)]:[Interés
Resarcitorio($)]])</f>
        <v>46349.534999999996</v>
      </c>
      <c r="G3126" s="8">
        <v>46838</v>
      </c>
      <c r="H3126" s="80" t="s">
        <v>59</v>
      </c>
      <c r="I3126" s="79" t="s">
        <v>7</v>
      </c>
      <c r="J3126" s="81">
        <v>120</v>
      </c>
      <c r="K3126" t="s">
        <v>47</v>
      </c>
    </row>
    <row r="3127" spans="2:11" x14ac:dyDescent="0.25">
      <c r="B3127" s="2">
        <v>89</v>
      </c>
      <c r="C3127" s="4">
        <v>9078.1910000000007</v>
      </c>
      <c r="D3127" s="4">
        <v>32091.708000000002</v>
      </c>
      <c r="E3127" s="79">
        <v>0</v>
      </c>
      <c r="F3127" s="79">
        <f>SUM(BASE_DATOS[[#This Row],[Capital($)]:[Interés
Resarcitorio($)]])</f>
        <v>41169.899000000005</v>
      </c>
      <c r="G3127" s="8">
        <v>46859</v>
      </c>
      <c r="H3127" s="80" t="s">
        <v>59</v>
      </c>
      <c r="I3127" s="79" t="s">
        <v>6</v>
      </c>
      <c r="J3127" s="81">
        <v>120</v>
      </c>
      <c r="K3127" t="s">
        <v>47</v>
      </c>
    </row>
    <row r="3128" spans="2:11" x14ac:dyDescent="0.25">
      <c r="B3128" s="2">
        <f>+B3127</f>
        <v>89</v>
      </c>
      <c r="C3128" s="4">
        <v>9078.1910000000007</v>
      </c>
      <c r="D3128" s="4">
        <v>32091.708000000002</v>
      </c>
      <c r="E3128" s="79">
        <v>5489.32</v>
      </c>
      <c r="F3128" s="79">
        <f>SUM(BASE_DATOS[[#This Row],[Capital($)]:[Interés
Resarcitorio($)]])</f>
        <v>46659.219000000005</v>
      </c>
      <c r="G3128" s="8">
        <v>46869</v>
      </c>
      <c r="H3128" s="80" t="s">
        <v>59</v>
      </c>
      <c r="I3128" s="79" t="s">
        <v>7</v>
      </c>
      <c r="J3128" s="81">
        <v>120</v>
      </c>
      <c r="K3128" t="s">
        <v>47</v>
      </c>
    </row>
    <row r="3129" spans="2:11" x14ac:dyDescent="0.25">
      <c r="B3129" s="2">
        <v>90</v>
      </c>
      <c r="C3129" s="4">
        <v>9078.1910000000007</v>
      </c>
      <c r="D3129" s="4">
        <v>32364.960999999999</v>
      </c>
      <c r="E3129" s="79">
        <v>0</v>
      </c>
      <c r="F3129" s="79">
        <f>SUM(BASE_DATOS[[#This Row],[Capital($)]:[Interés
Resarcitorio($)]])</f>
        <v>41443.152000000002</v>
      </c>
      <c r="G3129" s="8">
        <v>46889</v>
      </c>
      <c r="H3129" s="80" t="s">
        <v>59</v>
      </c>
      <c r="I3129" s="79" t="s">
        <v>6</v>
      </c>
      <c r="J3129" s="81">
        <v>120</v>
      </c>
      <c r="K3129" t="s">
        <v>47</v>
      </c>
    </row>
    <row r="3130" spans="2:11" x14ac:dyDescent="0.25">
      <c r="B3130" s="2">
        <f>+B3129</f>
        <v>90</v>
      </c>
      <c r="C3130" s="4">
        <v>9078.1910000000007</v>
      </c>
      <c r="D3130" s="4">
        <v>32364.960999999999</v>
      </c>
      <c r="E3130" s="79">
        <v>5525.75</v>
      </c>
      <c r="F3130" s="79">
        <f>SUM(BASE_DATOS[[#This Row],[Capital($)]:[Interés
Resarcitorio($)]])</f>
        <v>46968.902000000002</v>
      </c>
      <c r="G3130" s="8">
        <v>46899</v>
      </c>
      <c r="H3130" s="80" t="s">
        <v>59</v>
      </c>
      <c r="I3130" s="79" t="s">
        <v>7</v>
      </c>
      <c r="J3130" s="81">
        <v>120</v>
      </c>
      <c r="K3130" t="s">
        <v>47</v>
      </c>
    </row>
    <row r="3131" spans="2:11" x14ac:dyDescent="0.25">
      <c r="B3131" s="2">
        <v>91</v>
      </c>
      <c r="C3131" s="4">
        <v>9078.1910000000007</v>
      </c>
      <c r="D3131" s="4">
        <v>32638.215000000004</v>
      </c>
      <c r="E3131" s="79">
        <v>0</v>
      </c>
      <c r="F3131" s="79">
        <f>SUM(BASE_DATOS[[#This Row],[Capital($)]:[Interés
Resarcitorio($)]])</f>
        <v>41716.406000000003</v>
      </c>
      <c r="G3131" s="8">
        <v>46920</v>
      </c>
      <c r="H3131" s="80" t="s">
        <v>59</v>
      </c>
      <c r="I3131" s="79" t="s">
        <v>6</v>
      </c>
      <c r="J3131" s="81">
        <v>120</v>
      </c>
      <c r="K3131" t="s">
        <v>47</v>
      </c>
    </row>
    <row r="3132" spans="2:11" x14ac:dyDescent="0.25">
      <c r="B3132" s="2">
        <f>+B3131</f>
        <v>91</v>
      </c>
      <c r="C3132" s="4">
        <v>9078.1910000000007</v>
      </c>
      <c r="D3132" s="4">
        <v>32638.215000000004</v>
      </c>
      <c r="E3132" s="79">
        <v>5562.19</v>
      </c>
      <c r="F3132" s="79">
        <f>SUM(BASE_DATOS[[#This Row],[Capital($)]:[Interés
Resarcitorio($)]])</f>
        <v>47278.596000000005</v>
      </c>
      <c r="G3132" s="8">
        <v>46930</v>
      </c>
      <c r="H3132" s="80" t="s">
        <v>59</v>
      </c>
      <c r="I3132" s="79" t="s">
        <v>7</v>
      </c>
      <c r="J3132" s="81">
        <v>120</v>
      </c>
      <c r="K3132" t="s">
        <v>47</v>
      </c>
    </row>
    <row r="3133" spans="2:11" x14ac:dyDescent="0.25">
      <c r="B3133" s="2">
        <v>92</v>
      </c>
      <c r="C3133" s="4">
        <v>9078.1910000000007</v>
      </c>
      <c r="D3133" s="4">
        <v>32911.468000000001</v>
      </c>
      <c r="E3133" s="79">
        <v>0</v>
      </c>
      <c r="F3133" s="79">
        <f>SUM(BASE_DATOS[[#This Row],[Capital($)]:[Interés
Resarcitorio($)]])</f>
        <v>41989.659</v>
      </c>
      <c r="G3133" s="8">
        <v>46950</v>
      </c>
      <c r="H3133" s="80" t="s">
        <v>59</v>
      </c>
      <c r="I3133" s="79" t="s">
        <v>6</v>
      </c>
      <c r="J3133" s="81">
        <v>120</v>
      </c>
      <c r="K3133" t="s">
        <v>47</v>
      </c>
    </row>
    <row r="3134" spans="2:11" x14ac:dyDescent="0.25">
      <c r="B3134" s="2">
        <f>+B3133</f>
        <v>92</v>
      </c>
      <c r="C3134" s="4">
        <v>9078.1910000000007</v>
      </c>
      <c r="D3134" s="4">
        <v>32911.468000000001</v>
      </c>
      <c r="E3134" s="79">
        <v>5598.62</v>
      </c>
      <c r="F3134" s="79">
        <f>SUM(BASE_DATOS[[#This Row],[Capital($)]:[Interés
Resarcitorio($)]])</f>
        <v>47588.279000000002</v>
      </c>
      <c r="G3134" s="8">
        <v>46960</v>
      </c>
      <c r="H3134" s="80" t="s">
        <v>59</v>
      </c>
      <c r="I3134" s="79" t="s">
        <v>7</v>
      </c>
      <c r="J3134" s="81">
        <v>120</v>
      </c>
      <c r="K3134" t="s">
        <v>47</v>
      </c>
    </row>
    <row r="3135" spans="2:11" x14ac:dyDescent="0.25">
      <c r="B3135" s="2">
        <v>93</v>
      </c>
      <c r="C3135" s="4">
        <v>9078.1910000000007</v>
      </c>
      <c r="D3135" s="4">
        <v>33184.721999999994</v>
      </c>
      <c r="E3135" s="79">
        <v>0</v>
      </c>
      <c r="F3135" s="79">
        <f>SUM(BASE_DATOS[[#This Row],[Capital($)]:[Interés
Resarcitorio($)]])</f>
        <v>42262.912999999993</v>
      </c>
      <c r="G3135" s="8">
        <v>46981</v>
      </c>
      <c r="H3135" s="80" t="s">
        <v>59</v>
      </c>
      <c r="I3135" s="79" t="s">
        <v>6</v>
      </c>
      <c r="J3135" s="81">
        <v>120</v>
      </c>
      <c r="K3135" t="s">
        <v>47</v>
      </c>
    </row>
    <row r="3136" spans="2:11" x14ac:dyDescent="0.25">
      <c r="B3136" s="2">
        <f>+B3135</f>
        <v>93</v>
      </c>
      <c r="C3136" s="4">
        <v>9078.1910000000007</v>
      </c>
      <c r="D3136" s="4">
        <v>33184.721999999994</v>
      </c>
      <c r="E3136" s="79">
        <v>5635.06</v>
      </c>
      <c r="F3136" s="79">
        <f>SUM(BASE_DATOS[[#This Row],[Capital($)]:[Interés
Resarcitorio($)]])</f>
        <v>47897.972999999991</v>
      </c>
      <c r="G3136" s="8">
        <v>46991</v>
      </c>
      <c r="H3136" s="80" t="s">
        <v>59</v>
      </c>
      <c r="I3136" s="79" t="s">
        <v>7</v>
      </c>
      <c r="J3136" s="81">
        <v>120</v>
      </c>
      <c r="K3136" t="s">
        <v>47</v>
      </c>
    </row>
    <row r="3137" spans="2:11" x14ac:dyDescent="0.25">
      <c r="B3137" s="2">
        <v>94</v>
      </c>
      <c r="C3137" s="4">
        <v>9078.1910000000007</v>
      </c>
      <c r="D3137" s="4">
        <v>33457.976000000002</v>
      </c>
      <c r="E3137" s="79">
        <v>0</v>
      </c>
      <c r="F3137" s="79">
        <f>SUM(BASE_DATOS[[#This Row],[Capital($)]:[Interés
Resarcitorio($)]])</f>
        <v>42536.167000000001</v>
      </c>
      <c r="G3137" s="8">
        <v>47012</v>
      </c>
      <c r="H3137" s="80" t="s">
        <v>59</v>
      </c>
      <c r="I3137" s="79" t="s">
        <v>6</v>
      </c>
      <c r="J3137" s="81">
        <v>120</v>
      </c>
      <c r="K3137" t="s">
        <v>47</v>
      </c>
    </row>
    <row r="3138" spans="2:11" x14ac:dyDescent="0.25">
      <c r="B3138" s="2">
        <f>+B3137</f>
        <v>94</v>
      </c>
      <c r="C3138" s="4">
        <v>9078.1910000000007</v>
      </c>
      <c r="D3138" s="4">
        <v>33457.976000000002</v>
      </c>
      <c r="E3138" s="79">
        <v>5671.49</v>
      </c>
      <c r="F3138" s="79">
        <f>SUM(BASE_DATOS[[#This Row],[Capital($)]:[Interés
Resarcitorio($)]])</f>
        <v>48207.656999999999</v>
      </c>
      <c r="G3138" s="8">
        <v>47022</v>
      </c>
      <c r="H3138" s="80" t="s">
        <v>59</v>
      </c>
      <c r="I3138" s="79" t="s">
        <v>7</v>
      </c>
      <c r="J3138" s="81">
        <v>120</v>
      </c>
      <c r="K3138" t="s">
        <v>47</v>
      </c>
    </row>
    <row r="3139" spans="2:11" x14ac:dyDescent="0.25">
      <c r="B3139" s="2">
        <v>95</v>
      </c>
      <c r="C3139" s="4">
        <v>9078.1910000000007</v>
      </c>
      <c r="D3139" s="4">
        <v>33731.228999999999</v>
      </c>
      <c r="E3139" s="79">
        <v>0</v>
      </c>
      <c r="F3139" s="79">
        <f>SUM(BASE_DATOS[[#This Row],[Capital($)]:[Interés
Resarcitorio($)]])</f>
        <v>42809.42</v>
      </c>
      <c r="G3139" s="8">
        <v>47042</v>
      </c>
      <c r="H3139" s="80" t="s">
        <v>59</v>
      </c>
      <c r="I3139" s="79" t="s">
        <v>6</v>
      </c>
      <c r="J3139" s="81">
        <v>120</v>
      </c>
      <c r="K3139" t="s">
        <v>47</v>
      </c>
    </row>
    <row r="3140" spans="2:11" x14ac:dyDescent="0.25">
      <c r="B3140" s="2">
        <f>+B3139</f>
        <v>95</v>
      </c>
      <c r="C3140" s="4">
        <v>9078.1910000000007</v>
      </c>
      <c r="D3140" s="4">
        <v>33731.228999999999</v>
      </c>
      <c r="E3140" s="79">
        <v>5707.92</v>
      </c>
      <c r="F3140" s="79">
        <f>SUM(BASE_DATOS[[#This Row],[Capital($)]:[Interés
Resarcitorio($)]])</f>
        <v>48517.34</v>
      </c>
      <c r="G3140" s="8">
        <v>47052</v>
      </c>
      <c r="H3140" s="80" t="s">
        <v>59</v>
      </c>
      <c r="I3140" s="79" t="s">
        <v>7</v>
      </c>
      <c r="J3140" s="81">
        <v>120</v>
      </c>
      <c r="K3140" t="s">
        <v>47</v>
      </c>
    </row>
    <row r="3141" spans="2:11" x14ac:dyDescent="0.25">
      <c r="B3141" s="2">
        <v>96</v>
      </c>
      <c r="C3141" s="4">
        <v>9078.1910000000007</v>
      </c>
      <c r="D3141" s="4">
        <v>34004.483</v>
      </c>
      <c r="E3141" s="79">
        <v>0</v>
      </c>
      <c r="F3141" s="79">
        <f>SUM(BASE_DATOS[[#This Row],[Capital($)]:[Interés
Resarcitorio($)]])</f>
        <v>43082.673999999999</v>
      </c>
      <c r="G3141" s="8">
        <v>47073</v>
      </c>
      <c r="H3141" s="80" t="s">
        <v>59</v>
      </c>
      <c r="I3141" s="79" t="s">
        <v>6</v>
      </c>
      <c r="J3141" s="81">
        <v>120</v>
      </c>
      <c r="K3141" t="s">
        <v>47</v>
      </c>
    </row>
    <row r="3142" spans="2:11" x14ac:dyDescent="0.25">
      <c r="B3142" s="2">
        <f>+B3141</f>
        <v>96</v>
      </c>
      <c r="C3142" s="4">
        <v>9078.1910000000007</v>
      </c>
      <c r="D3142" s="4">
        <v>34004.483</v>
      </c>
      <c r="E3142" s="79">
        <v>5744.36</v>
      </c>
      <c r="F3142" s="79">
        <f>SUM(BASE_DATOS[[#This Row],[Capital($)]:[Interés
Resarcitorio($)]])</f>
        <v>48827.034</v>
      </c>
      <c r="G3142" s="8">
        <v>47083</v>
      </c>
      <c r="H3142" s="80" t="s">
        <v>59</v>
      </c>
      <c r="I3142" s="79" t="s">
        <v>7</v>
      </c>
      <c r="J3142" s="81">
        <v>120</v>
      </c>
      <c r="K3142" t="s">
        <v>47</v>
      </c>
    </row>
    <row r="3143" spans="2:11" x14ac:dyDescent="0.25">
      <c r="B3143" s="2">
        <v>97</v>
      </c>
      <c r="C3143" s="4">
        <v>9078.1910000000007</v>
      </c>
      <c r="D3143" s="4">
        <v>34277.735999999997</v>
      </c>
      <c r="E3143" s="79">
        <v>0</v>
      </c>
      <c r="F3143" s="79">
        <f>SUM(BASE_DATOS[[#This Row],[Capital($)]:[Interés
Resarcitorio($)]])</f>
        <v>43355.926999999996</v>
      </c>
      <c r="G3143" s="8">
        <v>47103</v>
      </c>
      <c r="H3143" s="80" t="s">
        <v>59</v>
      </c>
      <c r="I3143" s="79" t="s">
        <v>6</v>
      </c>
      <c r="J3143" s="81">
        <v>120</v>
      </c>
      <c r="K3143" t="s">
        <v>47</v>
      </c>
    </row>
    <row r="3144" spans="2:11" x14ac:dyDescent="0.25">
      <c r="B3144" s="2">
        <f>+B3143</f>
        <v>97</v>
      </c>
      <c r="C3144" s="4">
        <v>9078.1910000000007</v>
      </c>
      <c r="D3144" s="4">
        <v>34277.735999999997</v>
      </c>
      <c r="E3144" s="79">
        <v>5780.79</v>
      </c>
      <c r="F3144" s="79">
        <f>SUM(BASE_DATOS[[#This Row],[Capital($)]:[Interés
Resarcitorio($)]])</f>
        <v>49136.716999999997</v>
      </c>
      <c r="G3144" s="8">
        <v>47113</v>
      </c>
      <c r="H3144" s="80" t="s">
        <v>59</v>
      </c>
      <c r="I3144" s="79" t="s">
        <v>7</v>
      </c>
      <c r="J3144" s="81">
        <v>120</v>
      </c>
      <c r="K3144" t="s">
        <v>47</v>
      </c>
    </row>
    <row r="3145" spans="2:11" x14ac:dyDescent="0.25">
      <c r="B3145" s="2">
        <v>98</v>
      </c>
      <c r="C3145" s="4">
        <v>9078.1910000000007</v>
      </c>
      <c r="D3145" s="4">
        <v>34550.990000000005</v>
      </c>
      <c r="E3145" s="79">
        <v>0</v>
      </c>
      <c r="F3145" s="79">
        <f>SUM(BASE_DATOS[[#This Row],[Capital($)]:[Interés
Resarcitorio($)]])</f>
        <v>43629.181000000004</v>
      </c>
      <c r="G3145" s="8">
        <v>47134</v>
      </c>
      <c r="H3145" s="80" t="s">
        <v>59</v>
      </c>
      <c r="I3145" s="79" t="s">
        <v>6</v>
      </c>
      <c r="J3145" s="81">
        <v>120</v>
      </c>
      <c r="K3145" t="s">
        <v>47</v>
      </c>
    </row>
    <row r="3146" spans="2:11" x14ac:dyDescent="0.25">
      <c r="B3146" s="2">
        <f>+B3145</f>
        <v>98</v>
      </c>
      <c r="C3146" s="4">
        <v>9078.1910000000007</v>
      </c>
      <c r="D3146" s="4">
        <v>34550.990000000005</v>
      </c>
      <c r="E3146" s="79">
        <v>5817.22</v>
      </c>
      <c r="F3146" s="79">
        <f>SUM(BASE_DATOS[[#This Row],[Capital($)]:[Interés
Resarcitorio($)]])</f>
        <v>49446.401000000005</v>
      </c>
      <c r="G3146" s="8">
        <v>47144</v>
      </c>
      <c r="H3146" s="80" t="s">
        <v>59</v>
      </c>
      <c r="I3146" s="79" t="s">
        <v>7</v>
      </c>
      <c r="J3146" s="81">
        <v>120</v>
      </c>
      <c r="K3146" t="s">
        <v>47</v>
      </c>
    </row>
    <row r="3147" spans="2:11" x14ac:dyDescent="0.25">
      <c r="B3147" s="2">
        <v>99</v>
      </c>
      <c r="C3147" s="4">
        <v>9078.1910000000007</v>
      </c>
      <c r="D3147" s="4">
        <v>34824.243000000002</v>
      </c>
      <c r="E3147" s="79">
        <v>0</v>
      </c>
      <c r="F3147" s="79">
        <f>SUM(BASE_DATOS[[#This Row],[Capital($)]:[Interés
Resarcitorio($)]])</f>
        <v>43902.434000000001</v>
      </c>
      <c r="G3147" s="8">
        <v>47165</v>
      </c>
      <c r="H3147" s="80" t="s">
        <v>59</v>
      </c>
      <c r="I3147" s="79" t="s">
        <v>6</v>
      </c>
      <c r="J3147" s="81">
        <v>120</v>
      </c>
      <c r="K3147" t="s">
        <v>47</v>
      </c>
    </row>
    <row r="3148" spans="2:11" x14ac:dyDescent="0.25">
      <c r="B3148" s="2">
        <f>+B3147</f>
        <v>99</v>
      </c>
      <c r="C3148" s="4">
        <v>9078.1910000000007</v>
      </c>
      <c r="D3148" s="4">
        <v>34824.243000000002</v>
      </c>
      <c r="E3148" s="79">
        <v>5853.66</v>
      </c>
      <c r="F3148" s="79">
        <f>SUM(BASE_DATOS[[#This Row],[Capital($)]:[Interés
Resarcitorio($)]])</f>
        <v>49756.093999999997</v>
      </c>
      <c r="G3148" s="8">
        <v>47175</v>
      </c>
      <c r="H3148" s="80" t="s">
        <v>59</v>
      </c>
      <c r="I3148" s="79" t="s">
        <v>7</v>
      </c>
      <c r="J3148" s="81">
        <v>120</v>
      </c>
      <c r="K3148" t="s">
        <v>47</v>
      </c>
    </row>
    <row r="3149" spans="2:11" x14ac:dyDescent="0.25">
      <c r="B3149" s="2">
        <v>100</v>
      </c>
      <c r="C3149" s="4">
        <v>9078.1910000000007</v>
      </c>
      <c r="D3149" s="4">
        <v>35097.496999999996</v>
      </c>
      <c r="E3149" s="79">
        <v>0</v>
      </c>
      <c r="F3149" s="79">
        <f>SUM(BASE_DATOS[[#This Row],[Capital($)]:[Interés
Resarcitorio($)]])</f>
        <v>44175.687999999995</v>
      </c>
      <c r="G3149" s="8">
        <v>47193</v>
      </c>
      <c r="H3149" s="80" t="s">
        <v>59</v>
      </c>
      <c r="I3149" s="79" t="s">
        <v>6</v>
      </c>
      <c r="J3149" s="81">
        <v>120</v>
      </c>
      <c r="K3149" t="s">
        <v>47</v>
      </c>
    </row>
    <row r="3150" spans="2:11" x14ac:dyDescent="0.25">
      <c r="B3150" s="2">
        <f>+B3149</f>
        <v>100</v>
      </c>
      <c r="C3150" s="4">
        <v>9078.1910000000007</v>
      </c>
      <c r="D3150" s="4">
        <v>35097.496999999996</v>
      </c>
      <c r="E3150" s="79">
        <v>5890.09</v>
      </c>
      <c r="F3150" s="79">
        <f>SUM(BASE_DATOS[[#This Row],[Capital($)]:[Interés
Resarcitorio($)]])</f>
        <v>50065.777999999991</v>
      </c>
      <c r="G3150" s="8">
        <v>47203</v>
      </c>
      <c r="H3150" s="80" t="s">
        <v>59</v>
      </c>
      <c r="I3150" s="79" t="s">
        <v>7</v>
      </c>
      <c r="J3150" s="81">
        <v>120</v>
      </c>
      <c r="K3150" t="s">
        <v>47</v>
      </c>
    </row>
    <row r="3151" spans="2:11" x14ac:dyDescent="0.25">
      <c r="B3151" s="2">
        <v>101</v>
      </c>
      <c r="C3151" s="4">
        <v>9078.1910000000007</v>
      </c>
      <c r="D3151" s="4">
        <v>35370.75</v>
      </c>
      <c r="E3151" s="79">
        <v>0</v>
      </c>
      <c r="F3151" s="79">
        <f>SUM(BASE_DATOS[[#This Row],[Capital($)]:[Interés
Resarcitorio($)]])</f>
        <v>44448.940999999999</v>
      </c>
      <c r="G3151" s="8">
        <v>47224</v>
      </c>
      <c r="H3151" s="80" t="s">
        <v>59</v>
      </c>
      <c r="I3151" s="79" t="s">
        <v>6</v>
      </c>
      <c r="J3151" s="81">
        <v>120</v>
      </c>
      <c r="K3151" t="s">
        <v>47</v>
      </c>
    </row>
    <row r="3152" spans="2:11" x14ac:dyDescent="0.25">
      <c r="B3152" s="2">
        <f>+B3151</f>
        <v>101</v>
      </c>
      <c r="C3152" s="4">
        <v>9078.1910000000007</v>
      </c>
      <c r="D3152" s="4">
        <v>35370.75</v>
      </c>
      <c r="E3152" s="79">
        <v>5926.53</v>
      </c>
      <c r="F3152" s="79">
        <f>SUM(BASE_DATOS[[#This Row],[Capital($)]:[Interés
Resarcitorio($)]])</f>
        <v>50375.470999999998</v>
      </c>
      <c r="G3152" s="8">
        <v>47234</v>
      </c>
      <c r="H3152" s="80" t="s">
        <v>59</v>
      </c>
      <c r="I3152" s="79" t="s">
        <v>7</v>
      </c>
      <c r="J3152" s="81">
        <v>120</v>
      </c>
      <c r="K3152" t="s">
        <v>47</v>
      </c>
    </row>
    <row r="3153" spans="2:11" x14ac:dyDescent="0.25">
      <c r="B3153" s="2">
        <v>102</v>
      </c>
      <c r="C3153" s="4">
        <v>9078.1910000000007</v>
      </c>
      <c r="D3153" s="4">
        <v>35644.004000000001</v>
      </c>
      <c r="E3153" s="79">
        <v>0</v>
      </c>
      <c r="F3153" s="79">
        <f>SUM(BASE_DATOS[[#This Row],[Capital($)]:[Interés
Resarcitorio($)]])</f>
        <v>44722.195</v>
      </c>
      <c r="G3153" s="8">
        <v>47254</v>
      </c>
      <c r="H3153" s="80" t="s">
        <v>59</v>
      </c>
      <c r="I3153" s="79" t="s">
        <v>6</v>
      </c>
      <c r="J3153" s="81">
        <v>120</v>
      </c>
      <c r="K3153" t="s">
        <v>47</v>
      </c>
    </row>
    <row r="3154" spans="2:11" x14ac:dyDescent="0.25">
      <c r="B3154" s="2">
        <f>+B3153</f>
        <v>102</v>
      </c>
      <c r="C3154" s="4">
        <v>9078.1910000000007</v>
      </c>
      <c r="D3154" s="4">
        <v>35644.004000000001</v>
      </c>
      <c r="E3154" s="79">
        <v>5962.96</v>
      </c>
      <c r="F3154" s="79">
        <f>SUM(BASE_DATOS[[#This Row],[Capital($)]:[Interés
Resarcitorio($)]])</f>
        <v>50685.154999999999</v>
      </c>
      <c r="G3154" s="8">
        <v>47264</v>
      </c>
      <c r="H3154" s="80" t="s">
        <v>59</v>
      </c>
      <c r="I3154" s="79" t="s">
        <v>7</v>
      </c>
      <c r="J3154" s="81">
        <v>120</v>
      </c>
      <c r="K3154" t="s">
        <v>47</v>
      </c>
    </row>
    <row r="3155" spans="2:11" x14ac:dyDescent="0.25">
      <c r="B3155" s="2">
        <v>103</v>
      </c>
      <c r="C3155" s="4">
        <v>9078.1910000000007</v>
      </c>
      <c r="D3155" s="4">
        <v>35917.256999999998</v>
      </c>
      <c r="E3155" s="79">
        <v>0</v>
      </c>
      <c r="F3155" s="79">
        <f>SUM(BASE_DATOS[[#This Row],[Capital($)]:[Interés
Resarcitorio($)]])</f>
        <v>44995.447999999997</v>
      </c>
      <c r="G3155" s="8">
        <v>47285</v>
      </c>
      <c r="H3155" s="80" t="s">
        <v>59</v>
      </c>
      <c r="I3155" s="79" t="s">
        <v>6</v>
      </c>
      <c r="J3155" s="81">
        <v>120</v>
      </c>
      <c r="K3155" t="s">
        <v>47</v>
      </c>
    </row>
    <row r="3156" spans="2:11" x14ac:dyDescent="0.25">
      <c r="B3156" s="2">
        <f>+B3155</f>
        <v>103</v>
      </c>
      <c r="C3156" s="4">
        <v>9078.1910000000007</v>
      </c>
      <c r="D3156" s="4">
        <v>35917.256999999998</v>
      </c>
      <c r="E3156" s="79">
        <v>5999.39</v>
      </c>
      <c r="F3156" s="79">
        <f>SUM(BASE_DATOS[[#This Row],[Capital($)]:[Interés
Resarcitorio($)]])</f>
        <v>50994.837999999996</v>
      </c>
      <c r="G3156" s="8">
        <v>47295</v>
      </c>
      <c r="H3156" s="80" t="s">
        <v>59</v>
      </c>
      <c r="I3156" s="79" t="s">
        <v>7</v>
      </c>
      <c r="J3156" s="81">
        <v>120</v>
      </c>
      <c r="K3156" t="s">
        <v>47</v>
      </c>
    </row>
    <row r="3157" spans="2:11" x14ac:dyDescent="0.25">
      <c r="B3157" s="2">
        <v>104</v>
      </c>
      <c r="C3157" s="4">
        <v>9078.1910000000007</v>
      </c>
      <c r="D3157" s="4">
        <v>36190.510999999999</v>
      </c>
      <c r="E3157" s="79">
        <v>0</v>
      </c>
      <c r="F3157" s="79">
        <f>SUM(BASE_DATOS[[#This Row],[Capital($)]:[Interés
Resarcitorio($)]])</f>
        <v>45268.701999999997</v>
      </c>
      <c r="G3157" s="8">
        <v>47315</v>
      </c>
      <c r="H3157" s="80" t="s">
        <v>59</v>
      </c>
      <c r="I3157" s="79" t="s">
        <v>6</v>
      </c>
      <c r="J3157" s="81">
        <v>120</v>
      </c>
      <c r="K3157" t="s">
        <v>47</v>
      </c>
    </row>
    <row r="3158" spans="2:11" x14ac:dyDescent="0.25">
      <c r="B3158" s="2">
        <f>+B3157</f>
        <v>104</v>
      </c>
      <c r="C3158" s="4">
        <v>9078.1910000000007</v>
      </c>
      <c r="D3158" s="4">
        <v>36190.510999999999</v>
      </c>
      <c r="E3158" s="79">
        <v>6035.83</v>
      </c>
      <c r="F3158" s="79">
        <f>SUM(BASE_DATOS[[#This Row],[Capital($)]:[Interés
Resarcitorio($)]])</f>
        <v>51304.531999999999</v>
      </c>
      <c r="G3158" s="8">
        <v>47325</v>
      </c>
      <c r="H3158" s="80" t="s">
        <v>59</v>
      </c>
      <c r="I3158" s="79" t="s">
        <v>7</v>
      </c>
      <c r="J3158" s="81">
        <v>120</v>
      </c>
      <c r="K3158" t="s">
        <v>47</v>
      </c>
    </row>
    <row r="3159" spans="2:11" x14ac:dyDescent="0.25">
      <c r="B3159" s="2">
        <v>105</v>
      </c>
      <c r="C3159" s="4">
        <v>9078.1910000000007</v>
      </c>
      <c r="D3159" s="4">
        <v>36463.764999999999</v>
      </c>
      <c r="E3159" s="79">
        <v>0</v>
      </c>
      <c r="F3159" s="79">
        <f>SUM(BASE_DATOS[[#This Row],[Capital($)]:[Interés
Resarcitorio($)]])</f>
        <v>45541.955999999998</v>
      </c>
      <c r="G3159" s="8">
        <v>47346</v>
      </c>
      <c r="H3159" s="80" t="s">
        <v>59</v>
      </c>
      <c r="I3159" s="79" t="s">
        <v>6</v>
      </c>
      <c r="J3159" s="81">
        <v>120</v>
      </c>
      <c r="K3159" t="s">
        <v>47</v>
      </c>
    </row>
    <row r="3160" spans="2:11" x14ac:dyDescent="0.25">
      <c r="B3160" s="2">
        <f>+B3159</f>
        <v>105</v>
      </c>
      <c r="C3160" s="4">
        <v>9078.1910000000007</v>
      </c>
      <c r="D3160" s="4">
        <v>36463.764999999999</v>
      </c>
      <c r="E3160" s="79">
        <v>6072.26</v>
      </c>
      <c r="F3160" s="79">
        <f>SUM(BASE_DATOS[[#This Row],[Capital($)]:[Interés
Resarcitorio($)]])</f>
        <v>51614.216</v>
      </c>
      <c r="G3160" s="8">
        <v>47356</v>
      </c>
      <c r="H3160" s="80" t="s">
        <v>59</v>
      </c>
      <c r="I3160" s="79" t="s">
        <v>7</v>
      </c>
      <c r="J3160" s="81">
        <v>120</v>
      </c>
      <c r="K3160" t="s">
        <v>47</v>
      </c>
    </row>
    <row r="3161" spans="2:11" x14ac:dyDescent="0.25">
      <c r="B3161" s="2">
        <v>106</v>
      </c>
      <c r="C3161" s="4">
        <v>9078.1910000000007</v>
      </c>
      <c r="D3161" s="4">
        <v>36737.017999999996</v>
      </c>
      <c r="E3161" s="79">
        <v>0</v>
      </c>
      <c r="F3161" s="79">
        <f>SUM(BASE_DATOS[[#This Row],[Capital($)]:[Interés
Resarcitorio($)]])</f>
        <v>45815.208999999995</v>
      </c>
      <c r="G3161" s="8">
        <v>47377</v>
      </c>
      <c r="H3161" s="80" t="s">
        <v>59</v>
      </c>
      <c r="I3161" s="79" t="s">
        <v>6</v>
      </c>
      <c r="J3161" s="81">
        <v>120</v>
      </c>
      <c r="K3161" t="s">
        <v>47</v>
      </c>
    </row>
    <row r="3162" spans="2:11" x14ac:dyDescent="0.25">
      <c r="B3162" s="2">
        <f>+B3161</f>
        <v>106</v>
      </c>
      <c r="C3162" s="4">
        <v>9078.1910000000007</v>
      </c>
      <c r="D3162" s="4">
        <v>36737.017999999996</v>
      </c>
      <c r="E3162" s="79">
        <v>6108.69</v>
      </c>
      <c r="F3162" s="79">
        <f>SUM(BASE_DATOS[[#This Row],[Capital($)]:[Interés
Resarcitorio($)]])</f>
        <v>51923.898999999998</v>
      </c>
      <c r="G3162" s="8">
        <v>47387</v>
      </c>
      <c r="H3162" s="80" t="s">
        <v>59</v>
      </c>
      <c r="I3162" s="79" t="s">
        <v>7</v>
      </c>
      <c r="J3162" s="81">
        <v>120</v>
      </c>
      <c r="K3162" t="s">
        <v>47</v>
      </c>
    </row>
    <row r="3163" spans="2:11" x14ac:dyDescent="0.25">
      <c r="B3163" s="2">
        <v>107</v>
      </c>
      <c r="C3163" s="4">
        <v>9078.1910000000007</v>
      </c>
      <c r="D3163" s="4">
        <v>37010.271999999997</v>
      </c>
      <c r="E3163" s="79">
        <v>0</v>
      </c>
      <c r="F3163" s="79">
        <f>SUM(BASE_DATOS[[#This Row],[Capital($)]:[Interés
Resarcitorio($)]])</f>
        <v>46088.462999999996</v>
      </c>
      <c r="G3163" s="8">
        <v>47407</v>
      </c>
      <c r="H3163" s="80" t="s">
        <v>59</v>
      </c>
      <c r="I3163" s="79" t="s">
        <v>6</v>
      </c>
      <c r="J3163" s="81">
        <v>120</v>
      </c>
      <c r="K3163" t="s">
        <v>47</v>
      </c>
    </row>
    <row r="3164" spans="2:11" x14ac:dyDescent="0.25">
      <c r="B3164" s="2">
        <f>+B3163</f>
        <v>107</v>
      </c>
      <c r="C3164" s="4">
        <v>9078.1910000000007</v>
      </c>
      <c r="D3164" s="4">
        <v>37010.271999999997</v>
      </c>
      <c r="E3164" s="79">
        <v>6145.13</v>
      </c>
      <c r="F3164" s="79">
        <f>SUM(BASE_DATOS[[#This Row],[Capital($)]:[Interés
Resarcitorio($)]])</f>
        <v>52233.592999999993</v>
      </c>
      <c r="G3164" s="8">
        <v>47417</v>
      </c>
      <c r="H3164" s="80" t="s">
        <v>59</v>
      </c>
      <c r="I3164" s="79" t="s">
        <v>7</v>
      </c>
      <c r="J3164" s="81">
        <v>120</v>
      </c>
      <c r="K3164" t="s">
        <v>47</v>
      </c>
    </row>
    <row r="3165" spans="2:11" x14ac:dyDescent="0.25">
      <c r="B3165" s="2">
        <v>108</v>
      </c>
      <c r="C3165" s="4">
        <v>9078.1910000000007</v>
      </c>
      <c r="D3165" s="4">
        <v>37283.525000000001</v>
      </c>
      <c r="E3165" s="79">
        <v>0</v>
      </c>
      <c r="F3165" s="79">
        <f>SUM(BASE_DATOS[[#This Row],[Capital($)]:[Interés
Resarcitorio($)]])</f>
        <v>46361.716</v>
      </c>
      <c r="G3165" s="8">
        <v>47438</v>
      </c>
      <c r="H3165" s="80" t="s">
        <v>59</v>
      </c>
      <c r="I3165" s="79" t="s">
        <v>6</v>
      </c>
      <c r="J3165" s="81">
        <v>120</v>
      </c>
      <c r="K3165" t="s">
        <v>47</v>
      </c>
    </row>
    <row r="3166" spans="2:11" x14ac:dyDescent="0.25">
      <c r="B3166" s="2">
        <f>+B3165</f>
        <v>108</v>
      </c>
      <c r="C3166" s="4">
        <v>9078.1910000000007</v>
      </c>
      <c r="D3166" s="4">
        <v>37283.525000000001</v>
      </c>
      <c r="E3166" s="79">
        <v>6181.56</v>
      </c>
      <c r="F3166" s="79">
        <f>SUM(BASE_DATOS[[#This Row],[Capital($)]:[Interés
Resarcitorio($)]])</f>
        <v>52543.275999999998</v>
      </c>
      <c r="G3166" s="8">
        <v>47448</v>
      </c>
      <c r="H3166" s="80" t="s">
        <v>59</v>
      </c>
      <c r="I3166" s="79" t="s">
        <v>7</v>
      </c>
      <c r="J3166" s="81">
        <v>120</v>
      </c>
      <c r="K3166" t="s">
        <v>47</v>
      </c>
    </row>
    <row r="3167" spans="2:11" x14ac:dyDescent="0.25">
      <c r="B3167" s="2">
        <v>109</v>
      </c>
      <c r="C3167" s="4">
        <v>9078.1910000000007</v>
      </c>
      <c r="D3167" s="4">
        <v>37556.778999999995</v>
      </c>
      <c r="E3167" s="79">
        <v>0</v>
      </c>
      <c r="F3167" s="79">
        <f>SUM(BASE_DATOS[[#This Row],[Capital($)]:[Interés
Resarcitorio($)]])</f>
        <v>46634.969999999994</v>
      </c>
      <c r="G3167" s="8">
        <v>47468</v>
      </c>
      <c r="H3167" s="80" t="s">
        <v>59</v>
      </c>
      <c r="I3167" s="79" t="s">
        <v>6</v>
      </c>
      <c r="J3167" s="81">
        <v>120</v>
      </c>
      <c r="K3167" t="s">
        <v>47</v>
      </c>
    </row>
    <row r="3168" spans="2:11" x14ac:dyDescent="0.25">
      <c r="B3168" s="2">
        <f>+B3167</f>
        <v>109</v>
      </c>
      <c r="C3168" s="4">
        <v>9078.1910000000007</v>
      </c>
      <c r="D3168" s="4">
        <v>37556.778999999995</v>
      </c>
      <c r="E3168" s="79">
        <v>6218</v>
      </c>
      <c r="F3168" s="79">
        <f>SUM(BASE_DATOS[[#This Row],[Capital($)]:[Interés
Resarcitorio($)]])</f>
        <v>52852.969999999994</v>
      </c>
      <c r="G3168" s="8">
        <v>47478</v>
      </c>
      <c r="H3168" s="80" t="s">
        <v>59</v>
      </c>
      <c r="I3168" s="79" t="s">
        <v>7</v>
      </c>
      <c r="J3168" s="81">
        <v>120</v>
      </c>
      <c r="K3168" t="s">
        <v>47</v>
      </c>
    </row>
    <row r="3169" spans="2:11" x14ac:dyDescent="0.25">
      <c r="B3169" s="2">
        <v>110</v>
      </c>
      <c r="C3169" s="4">
        <v>9078.1910000000007</v>
      </c>
      <c r="D3169" s="4">
        <v>37830.031999999999</v>
      </c>
      <c r="E3169" s="79">
        <v>0</v>
      </c>
      <c r="F3169" s="79">
        <f>SUM(BASE_DATOS[[#This Row],[Capital($)]:[Interés
Resarcitorio($)]])</f>
        <v>46908.222999999998</v>
      </c>
      <c r="G3169" s="8">
        <v>47499</v>
      </c>
      <c r="H3169" s="80" t="s">
        <v>59</v>
      </c>
      <c r="I3169" s="79" t="s">
        <v>6</v>
      </c>
      <c r="J3169" s="81">
        <v>120</v>
      </c>
      <c r="K3169" t="s">
        <v>47</v>
      </c>
    </row>
    <row r="3170" spans="2:11" x14ac:dyDescent="0.25">
      <c r="B3170" s="2">
        <f>+B3169</f>
        <v>110</v>
      </c>
      <c r="C3170" s="4">
        <v>9078.1910000000007</v>
      </c>
      <c r="D3170" s="4">
        <v>37830.031999999999</v>
      </c>
      <c r="E3170" s="79">
        <v>6254.43</v>
      </c>
      <c r="F3170" s="79">
        <f>SUM(BASE_DATOS[[#This Row],[Capital($)]:[Interés
Resarcitorio($)]])</f>
        <v>53162.652999999998</v>
      </c>
      <c r="G3170" s="8">
        <v>47509</v>
      </c>
      <c r="H3170" s="80" t="s">
        <v>59</v>
      </c>
      <c r="I3170" s="79" t="s">
        <v>7</v>
      </c>
      <c r="J3170" s="81">
        <v>120</v>
      </c>
      <c r="K3170" t="s">
        <v>47</v>
      </c>
    </row>
    <row r="3171" spans="2:11" x14ac:dyDescent="0.25">
      <c r="B3171" s="2">
        <v>111</v>
      </c>
      <c r="C3171" s="4">
        <v>9078.1910000000007</v>
      </c>
      <c r="D3171" s="4">
        <v>38103.286</v>
      </c>
      <c r="E3171" s="79">
        <v>0</v>
      </c>
      <c r="F3171" s="79">
        <f>SUM(BASE_DATOS[[#This Row],[Capital($)]:[Interés
Resarcitorio($)]])</f>
        <v>47181.476999999999</v>
      </c>
      <c r="G3171" s="8">
        <v>47530</v>
      </c>
      <c r="H3171" s="80" t="s">
        <v>59</v>
      </c>
      <c r="I3171" s="79" t="s">
        <v>6</v>
      </c>
      <c r="J3171" s="81">
        <v>120</v>
      </c>
      <c r="K3171" t="s">
        <v>47</v>
      </c>
    </row>
    <row r="3172" spans="2:11" x14ac:dyDescent="0.25">
      <c r="B3172" s="2">
        <f>+B3171</f>
        <v>111</v>
      </c>
      <c r="C3172" s="4">
        <v>9078.1910000000007</v>
      </c>
      <c r="D3172" s="4">
        <v>38103.286</v>
      </c>
      <c r="E3172" s="79">
        <v>6290.86</v>
      </c>
      <c r="F3172" s="79">
        <f>SUM(BASE_DATOS[[#This Row],[Capital($)]:[Interés
Resarcitorio($)]])</f>
        <v>53472.337</v>
      </c>
      <c r="G3172" s="8">
        <v>47540</v>
      </c>
      <c r="H3172" s="80" t="s">
        <v>59</v>
      </c>
      <c r="I3172" s="79" t="s">
        <v>7</v>
      </c>
      <c r="J3172" s="81">
        <v>120</v>
      </c>
      <c r="K3172" t="s">
        <v>47</v>
      </c>
    </row>
    <row r="3173" spans="2:11" x14ac:dyDescent="0.25">
      <c r="B3173" s="2">
        <v>112</v>
      </c>
      <c r="C3173" s="4">
        <v>9078.1910000000007</v>
      </c>
      <c r="D3173" s="4">
        <v>38376.539000000004</v>
      </c>
      <c r="E3173" s="79">
        <v>0</v>
      </c>
      <c r="F3173" s="79">
        <f>SUM(BASE_DATOS[[#This Row],[Capital($)]:[Interés
Resarcitorio($)]])</f>
        <v>47454.73</v>
      </c>
      <c r="G3173" s="8">
        <v>47558</v>
      </c>
      <c r="H3173" s="80" t="s">
        <v>59</v>
      </c>
      <c r="I3173" s="79" t="s">
        <v>6</v>
      </c>
      <c r="J3173" s="81">
        <v>120</v>
      </c>
      <c r="K3173" t="s">
        <v>47</v>
      </c>
    </row>
    <row r="3174" spans="2:11" x14ac:dyDescent="0.25">
      <c r="B3174" s="2">
        <f>+B3173</f>
        <v>112</v>
      </c>
      <c r="C3174" s="4">
        <v>9078.1910000000007</v>
      </c>
      <c r="D3174" s="4">
        <v>38376.539000000004</v>
      </c>
      <c r="E3174" s="79">
        <v>6327.3</v>
      </c>
      <c r="F3174" s="79">
        <f>SUM(BASE_DATOS[[#This Row],[Capital($)]:[Interés
Resarcitorio($)]])</f>
        <v>53782.030000000006</v>
      </c>
      <c r="G3174" s="8">
        <v>47568</v>
      </c>
      <c r="H3174" s="80" t="s">
        <v>59</v>
      </c>
      <c r="I3174" s="79" t="s">
        <v>7</v>
      </c>
      <c r="J3174" s="81">
        <v>120</v>
      </c>
      <c r="K3174" t="s">
        <v>47</v>
      </c>
    </row>
    <row r="3175" spans="2:11" x14ac:dyDescent="0.25">
      <c r="B3175" s="2">
        <v>113</v>
      </c>
      <c r="C3175" s="4">
        <v>9078.1910000000007</v>
      </c>
      <c r="D3175" s="4">
        <v>38649.792999999998</v>
      </c>
      <c r="E3175" s="79">
        <v>0</v>
      </c>
      <c r="F3175" s="79">
        <f>SUM(BASE_DATOS[[#This Row],[Capital($)]:[Interés
Resarcitorio($)]])</f>
        <v>47727.983999999997</v>
      </c>
      <c r="G3175" s="8">
        <v>47589</v>
      </c>
      <c r="H3175" s="80" t="s">
        <v>59</v>
      </c>
      <c r="I3175" s="79" t="s">
        <v>6</v>
      </c>
      <c r="J3175" s="81">
        <v>120</v>
      </c>
      <c r="K3175" t="s">
        <v>47</v>
      </c>
    </row>
    <row r="3176" spans="2:11" x14ac:dyDescent="0.25">
      <c r="B3176" s="2">
        <f>+B3175</f>
        <v>113</v>
      </c>
      <c r="C3176" s="4">
        <v>9078.1910000000007</v>
      </c>
      <c r="D3176" s="4">
        <v>38649.792999999998</v>
      </c>
      <c r="E3176" s="79">
        <v>6363.73</v>
      </c>
      <c r="F3176" s="79">
        <f>SUM(BASE_DATOS[[#This Row],[Capital($)]:[Interés
Resarcitorio($)]])</f>
        <v>54091.713999999993</v>
      </c>
      <c r="G3176" s="8">
        <v>47599</v>
      </c>
      <c r="H3176" s="80" t="s">
        <v>59</v>
      </c>
      <c r="I3176" s="79" t="s">
        <v>7</v>
      </c>
      <c r="J3176" s="81">
        <v>120</v>
      </c>
      <c r="K3176" t="s">
        <v>47</v>
      </c>
    </row>
    <row r="3177" spans="2:11" x14ac:dyDescent="0.25">
      <c r="B3177" s="2">
        <v>114</v>
      </c>
      <c r="C3177" s="4">
        <v>9078.1910000000007</v>
      </c>
      <c r="D3177" s="4">
        <v>38923.046999999999</v>
      </c>
      <c r="E3177" s="79">
        <v>0</v>
      </c>
      <c r="F3177" s="79">
        <f>SUM(BASE_DATOS[[#This Row],[Capital($)]:[Interés
Resarcitorio($)]])</f>
        <v>48001.237999999998</v>
      </c>
      <c r="G3177" s="8">
        <v>47619</v>
      </c>
      <c r="H3177" s="80" t="s">
        <v>59</v>
      </c>
      <c r="I3177" s="79" t="s">
        <v>6</v>
      </c>
      <c r="J3177" s="81">
        <v>120</v>
      </c>
      <c r="K3177" t="s">
        <v>47</v>
      </c>
    </row>
    <row r="3178" spans="2:11" x14ac:dyDescent="0.25">
      <c r="B3178" s="2">
        <f>+B3177</f>
        <v>114</v>
      </c>
      <c r="C3178" s="4">
        <v>9078.1910000000007</v>
      </c>
      <c r="D3178" s="4">
        <v>38923.046999999999</v>
      </c>
      <c r="E3178" s="79">
        <v>6400.17</v>
      </c>
      <c r="F3178" s="79">
        <f>SUM(BASE_DATOS[[#This Row],[Capital($)]:[Interés
Resarcitorio($)]])</f>
        <v>54401.407999999996</v>
      </c>
      <c r="G3178" s="8">
        <v>47629</v>
      </c>
      <c r="H3178" s="80" t="s">
        <v>59</v>
      </c>
      <c r="I3178" s="79" t="s">
        <v>7</v>
      </c>
      <c r="J3178" s="81">
        <v>120</v>
      </c>
      <c r="K3178" t="s">
        <v>47</v>
      </c>
    </row>
    <row r="3179" spans="2:11" x14ac:dyDescent="0.25">
      <c r="B3179" s="2">
        <v>115</v>
      </c>
      <c r="C3179" s="4">
        <v>9078.1910000000007</v>
      </c>
      <c r="D3179" s="4">
        <v>39196.300000000003</v>
      </c>
      <c r="E3179" s="79">
        <v>0</v>
      </c>
      <c r="F3179" s="79">
        <f>SUM(BASE_DATOS[[#This Row],[Capital($)]:[Interés
Resarcitorio($)]])</f>
        <v>48274.491000000002</v>
      </c>
      <c r="G3179" s="8">
        <v>47650</v>
      </c>
      <c r="H3179" s="80" t="s">
        <v>59</v>
      </c>
      <c r="I3179" s="79" t="s">
        <v>6</v>
      </c>
      <c r="J3179" s="81">
        <v>120</v>
      </c>
      <c r="K3179" t="s">
        <v>47</v>
      </c>
    </row>
    <row r="3180" spans="2:11" x14ac:dyDescent="0.25">
      <c r="B3180" s="2">
        <f>+B3179</f>
        <v>115</v>
      </c>
      <c r="C3180" s="4">
        <v>9078.1910000000007</v>
      </c>
      <c r="D3180" s="4">
        <v>39196.300000000003</v>
      </c>
      <c r="E3180" s="79">
        <v>6436.6</v>
      </c>
      <c r="F3180" s="79">
        <f>SUM(BASE_DATOS[[#This Row],[Capital($)]:[Interés
Resarcitorio($)]])</f>
        <v>54711.091</v>
      </c>
      <c r="G3180" s="8">
        <v>47660</v>
      </c>
      <c r="H3180" s="80" t="s">
        <v>59</v>
      </c>
      <c r="I3180" s="79" t="s">
        <v>7</v>
      </c>
      <c r="J3180" s="81">
        <v>120</v>
      </c>
      <c r="K3180" t="s">
        <v>47</v>
      </c>
    </row>
    <row r="3181" spans="2:11" x14ac:dyDescent="0.25">
      <c r="B3181" s="2">
        <v>116</v>
      </c>
      <c r="C3181" s="4">
        <v>9078.1910000000007</v>
      </c>
      <c r="D3181" s="4">
        <v>39469.553999999996</v>
      </c>
      <c r="E3181" s="79">
        <v>0</v>
      </c>
      <c r="F3181" s="79">
        <f>SUM(BASE_DATOS[[#This Row],[Capital($)]:[Interés
Resarcitorio($)]])</f>
        <v>48547.744999999995</v>
      </c>
      <c r="G3181" s="8">
        <v>47680</v>
      </c>
      <c r="H3181" s="80" t="s">
        <v>59</v>
      </c>
      <c r="I3181" s="79" t="s">
        <v>6</v>
      </c>
      <c r="J3181" s="81">
        <v>120</v>
      </c>
      <c r="K3181" t="s">
        <v>47</v>
      </c>
    </row>
    <row r="3182" spans="2:11" x14ac:dyDescent="0.25">
      <c r="B3182" s="2">
        <f>+B3181</f>
        <v>116</v>
      </c>
      <c r="C3182" s="4">
        <v>9078.1910000000007</v>
      </c>
      <c r="D3182" s="4">
        <v>39469.553999999996</v>
      </c>
      <c r="E3182" s="79">
        <v>6473.03</v>
      </c>
      <c r="F3182" s="79">
        <f>SUM(BASE_DATOS[[#This Row],[Capital($)]:[Interés
Resarcitorio($)]])</f>
        <v>55020.774999999994</v>
      </c>
      <c r="G3182" s="8">
        <v>47690</v>
      </c>
      <c r="H3182" s="80" t="s">
        <v>59</v>
      </c>
      <c r="I3182" s="79" t="s">
        <v>7</v>
      </c>
      <c r="J3182" s="81">
        <v>120</v>
      </c>
      <c r="K3182" t="s">
        <v>47</v>
      </c>
    </row>
    <row r="3183" spans="2:11" x14ac:dyDescent="0.25">
      <c r="B3183" s="2">
        <v>117</v>
      </c>
      <c r="C3183" s="4">
        <v>9078.1910000000007</v>
      </c>
      <c r="D3183" s="4">
        <v>39742.807000000001</v>
      </c>
      <c r="E3183" s="79">
        <v>0</v>
      </c>
      <c r="F3183" s="79">
        <f>SUM(BASE_DATOS[[#This Row],[Capital($)]:[Interés
Resarcitorio($)]])</f>
        <v>48820.998</v>
      </c>
      <c r="G3183" s="8">
        <v>47711</v>
      </c>
      <c r="H3183" s="80" t="s">
        <v>59</v>
      </c>
      <c r="I3183" s="79" t="s">
        <v>6</v>
      </c>
      <c r="J3183" s="81">
        <v>120</v>
      </c>
      <c r="K3183" t="s">
        <v>47</v>
      </c>
    </row>
    <row r="3184" spans="2:11" x14ac:dyDescent="0.25">
      <c r="B3184" s="2">
        <f>+B3183</f>
        <v>117</v>
      </c>
      <c r="C3184" s="4">
        <v>9078.1910000000007</v>
      </c>
      <c r="D3184" s="4">
        <v>39742.807000000001</v>
      </c>
      <c r="E3184" s="79">
        <v>6509.47</v>
      </c>
      <c r="F3184" s="79">
        <f>SUM(BASE_DATOS[[#This Row],[Capital($)]:[Interés
Resarcitorio($)]])</f>
        <v>55330.468000000001</v>
      </c>
      <c r="G3184" s="8">
        <v>47721</v>
      </c>
      <c r="H3184" s="80" t="s">
        <v>59</v>
      </c>
      <c r="I3184" s="79" t="s">
        <v>7</v>
      </c>
      <c r="J3184" s="81">
        <v>120</v>
      </c>
      <c r="K3184" t="s">
        <v>47</v>
      </c>
    </row>
    <row r="3185" spans="2:11" x14ac:dyDescent="0.25">
      <c r="B3185" s="2">
        <v>118</v>
      </c>
      <c r="C3185" s="4">
        <v>9078.1910000000007</v>
      </c>
      <c r="D3185" s="4">
        <v>40016.061000000002</v>
      </c>
      <c r="E3185" s="79">
        <v>0</v>
      </c>
      <c r="F3185" s="79">
        <f>SUM(BASE_DATOS[[#This Row],[Capital($)]:[Interés
Resarcitorio($)]])</f>
        <v>49094.252</v>
      </c>
      <c r="G3185" s="8">
        <v>47742</v>
      </c>
      <c r="H3185" s="80" t="s">
        <v>59</v>
      </c>
      <c r="I3185" s="79" t="s">
        <v>6</v>
      </c>
      <c r="J3185" s="81">
        <v>120</v>
      </c>
      <c r="K3185" t="s">
        <v>47</v>
      </c>
    </row>
    <row r="3186" spans="2:11" x14ac:dyDescent="0.25">
      <c r="B3186" s="2">
        <f>+B3185</f>
        <v>118</v>
      </c>
      <c r="C3186" s="4">
        <v>9078.1910000000007</v>
      </c>
      <c r="D3186" s="4">
        <v>40016.061000000002</v>
      </c>
      <c r="E3186" s="79">
        <v>6545.9</v>
      </c>
      <c r="F3186" s="79">
        <f>SUM(BASE_DATOS[[#This Row],[Capital($)]:[Interés
Resarcitorio($)]])</f>
        <v>55640.152000000002</v>
      </c>
      <c r="G3186" s="8">
        <v>47752</v>
      </c>
      <c r="H3186" s="80" t="s">
        <v>59</v>
      </c>
      <c r="I3186" s="79" t="s">
        <v>7</v>
      </c>
      <c r="J3186" s="81">
        <v>120</v>
      </c>
      <c r="K3186" t="s">
        <v>47</v>
      </c>
    </row>
    <row r="3187" spans="2:11" x14ac:dyDescent="0.25">
      <c r="B3187" s="2">
        <v>119</v>
      </c>
      <c r="C3187" s="4">
        <v>9078.1910000000007</v>
      </c>
      <c r="D3187" s="4">
        <v>40289.313999999998</v>
      </c>
      <c r="E3187" s="79">
        <v>0</v>
      </c>
      <c r="F3187" s="79">
        <f>SUM(BASE_DATOS[[#This Row],[Capital($)]:[Interés
Resarcitorio($)]])</f>
        <v>49367.504999999997</v>
      </c>
      <c r="G3187" s="8">
        <v>47772</v>
      </c>
      <c r="H3187" s="80" t="s">
        <v>59</v>
      </c>
      <c r="I3187" s="79" t="s">
        <v>6</v>
      </c>
      <c r="J3187" s="81">
        <v>120</v>
      </c>
      <c r="K3187" t="s">
        <v>47</v>
      </c>
    </row>
    <row r="3188" spans="2:11" x14ac:dyDescent="0.25">
      <c r="B3188" s="2">
        <f>+B3187</f>
        <v>119</v>
      </c>
      <c r="C3188" s="4">
        <v>9078.1910000000007</v>
      </c>
      <c r="D3188" s="4">
        <v>40289.313999999998</v>
      </c>
      <c r="E3188" s="79">
        <v>6582.33</v>
      </c>
      <c r="F3188" s="79">
        <f>SUM(BASE_DATOS[[#This Row],[Capital($)]:[Interés
Resarcitorio($)]])</f>
        <v>55949.834999999999</v>
      </c>
      <c r="G3188" s="8">
        <v>47782</v>
      </c>
      <c r="H3188" s="80" t="s">
        <v>59</v>
      </c>
      <c r="I3188" s="79" t="s">
        <v>7</v>
      </c>
      <c r="J3188" s="81">
        <v>120</v>
      </c>
      <c r="K3188" t="s">
        <v>47</v>
      </c>
    </row>
    <row r="3189" spans="2:11" x14ac:dyDescent="0.25">
      <c r="B3189" s="2">
        <v>120</v>
      </c>
      <c r="C3189" s="4">
        <v>9078.1939999999995</v>
      </c>
      <c r="D3189" s="4">
        <v>40562.580999999998</v>
      </c>
      <c r="E3189" s="79">
        <v>0</v>
      </c>
      <c r="F3189" s="79">
        <f>SUM(BASE_DATOS[[#This Row],[Capital($)]:[Interés
Resarcitorio($)]])</f>
        <v>49640.774999999994</v>
      </c>
      <c r="G3189" s="8">
        <v>47803</v>
      </c>
      <c r="H3189" s="80" t="s">
        <v>59</v>
      </c>
      <c r="I3189" s="79" t="s">
        <v>6</v>
      </c>
      <c r="J3189" s="81">
        <v>120</v>
      </c>
      <c r="K3189" t="s">
        <v>47</v>
      </c>
    </row>
    <row r="3190" spans="2:11" x14ac:dyDescent="0.25">
      <c r="B3190" s="2">
        <v>120</v>
      </c>
      <c r="C3190" s="4">
        <v>9078.1939999999995</v>
      </c>
      <c r="D3190" s="4">
        <v>40562.580999999998</v>
      </c>
      <c r="E3190" s="79">
        <v>6618.77</v>
      </c>
      <c r="F3190" s="79">
        <f>SUM(BASE_DATOS[[#This Row],[Capital($)]:[Interés
Resarcitorio($)]])</f>
        <v>56259.544999999998</v>
      </c>
      <c r="G3190" s="8">
        <v>47813</v>
      </c>
      <c r="H3190" s="80" t="s">
        <v>59</v>
      </c>
      <c r="I3190" s="79" t="s">
        <v>7</v>
      </c>
      <c r="J3190" s="81">
        <v>120</v>
      </c>
      <c r="K3190" t="s">
        <v>47</v>
      </c>
    </row>
    <row r="3191" spans="2:11" x14ac:dyDescent="0.25">
      <c r="C3191" s="33">
        <f>SUBTOTAL(109,BASE_DATOS[Capital($)])</f>
        <v>237822696.09200504</v>
      </c>
      <c r="D3191" s="33">
        <f>SUBTOTAL(109,BASE_DATOS[Interés
Financiero($)])</f>
        <v>97435878.142000303</v>
      </c>
      <c r="E3191" s="33">
        <f>SUBTOTAL(109,BASE_DATOS[Interés
Resarcitorio($)])</f>
        <v>26397599.549999859</v>
      </c>
      <c r="F3191" s="33">
        <f>SUBTOTAL(109,BASE_DATOS[Total($)])</f>
        <v>361656173.78399396</v>
      </c>
      <c r="H3191"/>
      <c r="K3191"/>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A4E8-582C-4840-8729-D5902550921F}">
  <sheetPr>
    <tabColor theme="4"/>
  </sheetPr>
  <dimension ref="B1:AS64"/>
  <sheetViews>
    <sheetView showGridLines="0" tabSelected="1" zoomScale="98" zoomScaleNormal="98" workbookViewId="0">
      <selection activeCell="Q15" sqref="Q15"/>
    </sheetView>
  </sheetViews>
  <sheetFormatPr baseColWidth="10" defaultRowHeight="15" outlineLevelCol="1" x14ac:dyDescent="0.25"/>
  <cols>
    <col min="1" max="1" width="6.5703125" customWidth="1"/>
    <col min="2" max="2" width="14.85546875" customWidth="1"/>
    <col min="3" max="3" width="12.7109375" style="4" bestFit="1" customWidth="1"/>
    <col min="4" max="4" width="12.140625" style="4" customWidth="1"/>
    <col min="5" max="5" width="2.7109375" style="4" customWidth="1"/>
    <col min="6" max="6" width="2.7109375" style="4" customWidth="1" outlineLevel="1"/>
    <col min="7" max="7" width="15.28515625" style="4" customWidth="1" outlineLevel="1"/>
    <col min="8" max="8" width="10.7109375" style="4" customWidth="1" outlineLevel="1"/>
    <col min="9" max="9" width="5" style="4" customWidth="1" outlineLevel="1"/>
    <col min="10" max="10" width="1.7109375" style="4" customWidth="1"/>
    <col min="11" max="11" width="3" style="4" customWidth="1" outlineLevel="1"/>
    <col min="12" max="13" width="15.42578125" style="4" customWidth="1" outlineLevel="1"/>
    <col min="14" max="14" width="8.5703125" style="4" customWidth="1" outlineLevel="1"/>
    <col min="15" max="15" width="1.7109375" style="4" customWidth="1"/>
    <col min="16" max="16" width="2.42578125" style="4" customWidth="1"/>
    <col min="17" max="17" width="9.28515625" style="4" customWidth="1" outlineLevel="1"/>
    <col min="18" max="19" width="15.5703125" style="4" customWidth="1" outlineLevel="1"/>
    <col min="20" max="20" width="15" style="4" customWidth="1" outlineLevel="1"/>
    <col min="21" max="21" width="15.85546875" style="4" customWidth="1" outlineLevel="1"/>
    <col min="22" max="22" width="3.42578125" style="4" customWidth="1" outlineLevel="1"/>
    <col min="23" max="24" width="1.7109375" style="4" customWidth="1"/>
    <col min="25" max="25" width="4.85546875" customWidth="1" outlineLevel="1"/>
    <col min="26" max="26" width="10.7109375" customWidth="1" outlineLevel="1"/>
    <col min="27" max="27" width="21.28515625" style="4" customWidth="1" outlineLevel="1"/>
    <col min="28" max="29" width="3.28515625" customWidth="1" outlineLevel="1"/>
    <col min="30" max="30" width="3.42578125" customWidth="1"/>
    <col min="31" max="31" width="15.5703125" customWidth="1" outlineLevel="1"/>
    <col min="32" max="32" width="19" customWidth="1" outlineLevel="1"/>
    <col min="33" max="33" width="17.85546875" customWidth="1" outlineLevel="1"/>
    <col min="34" max="34" width="8.42578125" customWidth="1"/>
    <col min="35" max="36" width="2" customWidth="1"/>
    <col min="37" max="37" width="17.28515625" customWidth="1"/>
    <col min="38" max="38" width="3.5703125" customWidth="1"/>
    <col min="40" max="40" width="8.28515625" customWidth="1"/>
    <col min="43" max="44" width="13" style="4" bestFit="1" customWidth="1"/>
  </cols>
  <sheetData>
    <row r="1" spans="2:45" x14ac:dyDescent="0.25">
      <c r="AA1"/>
      <c r="AK1" s="19"/>
      <c r="AL1" s="19"/>
      <c r="AM1" s="19"/>
      <c r="AN1" s="19"/>
    </row>
    <row r="2" spans="2:45" x14ac:dyDescent="0.25">
      <c r="D2" s="83" t="s">
        <v>40</v>
      </c>
      <c r="G2" s="83" t="s">
        <v>40</v>
      </c>
      <c r="J2" s="16"/>
      <c r="M2" s="83" t="s">
        <v>40</v>
      </c>
      <c r="O2" s="16"/>
      <c r="U2" s="83" t="s">
        <v>40</v>
      </c>
      <c r="W2" s="16"/>
      <c r="X2" s="14"/>
      <c r="AA2" s="83" t="s">
        <v>40</v>
      </c>
      <c r="AK2" s="83" t="s">
        <v>35</v>
      </c>
      <c r="AL2" s="20"/>
      <c r="AM2" s="83" t="s">
        <v>36</v>
      </c>
      <c r="AN2" s="83"/>
    </row>
    <row r="3" spans="2:45" x14ac:dyDescent="0.25">
      <c r="D3" s="57" t="s">
        <v>29</v>
      </c>
      <c r="G3" s="57" t="s">
        <v>31</v>
      </c>
      <c r="J3" s="16"/>
      <c r="M3" s="57" t="s">
        <v>33</v>
      </c>
      <c r="O3" s="16"/>
      <c r="U3" s="57" t="s">
        <v>34</v>
      </c>
      <c r="W3" s="16"/>
      <c r="X3" s="14"/>
      <c r="Y3" s="4"/>
      <c r="Z3" s="4"/>
      <c r="AA3" s="57" t="s">
        <v>42</v>
      </c>
      <c r="AB3" s="4"/>
      <c r="AC3" s="4"/>
      <c r="AD3" s="4"/>
      <c r="AE3" s="4"/>
      <c r="AF3" s="4"/>
      <c r="AG3" s="4"/>
      <c r="AH3" s="4"/>
      <c r="AI3" s="4"/>
      <c r="AJ3" s="4"/>
      <c r="AK3" s="19"/>
      <c r="AL3" s="19"/>
      <c r="AM3" s="19"/>
      <c r="AN3" s="19"/>
    </row>
    <row r="4" spans="2:45" x14ac:dyDescent="0.25">
      <c r="B4" s="18"/>
      <c r="D4" s="57" t="s">
        <v>30</v>
      </c>
      <c r="G4" s="57" t="s">
        <v>32</v>
      </c>
      <c r="J4" s="16"/>
      <c r="L4"/>
      <c r="O4" s="16"/>
      <c r="W4" s="16"/>
      <c r="X4" s="14"/>
      <c r="Y4" s="4"/>
      <c r="Z4" s="4"/>
      <c r="AA4" s="57" t="s">
        <v>43</v>
      </c>
      <c r="AB4" s="4"/>
      <c r="AC4" s="4"/>
      <c r="AD4" s="4"/>
      <c r="AE4" s="4"/>
      <c r="AF4" s="4"/>
      <c r="AG4" s="4"/>
      <c r="AH4" s="4"/>
      <c r="AI4" s="4"/>
      <c r="AJ4" s="4"/>
      <c r="AK4" s="83" t="s">
        <v>37</v>
      </c>
      <c r="AL4" s="83"/>
      <c r="AM4" s="83" t="s">
        <v>38</v>
      </c>
      <c r="AN4" s="83"/>
    </row>
    <row r="5" spans="2:45" x14ac:dyDescent="0.25">
      <c r="D5" s="57" t="s">
        <v>92</v>
      </c>
      <c r="G5" s="57" t="s">
        <v>29</v>
      </c>
      <c r="J5" s="16"/>
      <c r="O5" s="16"/>
      <c r="W5" s="16"/>
      <c r="X5" s="14"/>
      <c r="Y5" s="4"/>
      <c r="Z5" s="4"/>
      <c r="AA5" s="57" t="s">
        <v>60</v>
      </c>
      <c r="AB5" s="4"/>
      <c r="AC5" s="4"/>
      <c r="AD5" s="4"/>
      <c r="AE5" s="4"/>
      <c r="AF5" s="4"/>
      <c r="AG5" s="4"/>
      <c r="AH5" s="4"/>
      <c r="AI5" s="4"/>
      <c r="AJ5" s="4"/>
      <c r="AK5" s="21" t="str" cm="1">
        <f t="array" ref="AK5:AK7">_xlfn._xlws.SORT(_xlfn.UNIQUE(BASE_DATOS[Empresa]))</f>
        <v>123 Asociados</v>
      </c>
      <c r="AL5" s="21"/>
      <c r="AM5" s="21" t="str" cm="1">
        <f t="array" ref="AM5:AM7">_xlfn._xlws.SORT(_xlfn.UNIQUE(BASE_DATOS[Status]))</f>
        <v>2DO VTO</v>
      </c>
      <c r="AN5" s="19"/>
    </row>
    <row r="6" spans="2:45" x14ac:dyDescent="0.25">
      <c r="D6" s="12"/>
      <c r="G6" s="57" t="s">
        <v>92</v>
      </c>
      <c r="J6" s="16"/>
      <c r="O6" s="16"/>
      <c r="W6" s="16"/>
      <c r="X6" s="14"/>
      <c r="Y6" s="4"/>
      <c r="Z6" s="4"/>
      <c r="AA6"/>
      <c r="AB6" s="4"/>
      <c r="AC6" s="4"/>
      <c r="AD6" s="4"/>
      <c r="AE6" s="4"/>
      <c r="AF6" s="4"/>
      <c r="AG6" s="4"/>
      <c r="AH6" s="4"/>
      <c r="AI6" s="4"/>
      <c r="AJ6" s="4"/>
      <c r="AK6" s="21" t="str">
        <v>Carpe Diem</v>
      </c>
      <c r="AL6" s="21"/>
      <c r="AM6" s="21" t="str">
        <v>PAGADO</v>
      </c>
      <c r="AN6" s="19"/>
    </row>
    <row r="7" spans="2:45" x14ac:dyDescent="0.25">
      <c r="B7" s="84" t="s">
        <v>28</v>
      </c>
      <c r="C7" s="22" t="s">
        <v>38</v>
      </c>
      <c r="D7" s="92" t="s">
        <v>6</v>
      </c>
      <c r="J7" s="16"/>
      <c r="O7" s="16"/>
      <c r="W7" s="16"/>
      <c r="X7" s="14"/>
      <c r="Y7" s="4"/>
      <c r="Z7" s="4"/>
      <c r="AA7"/>
      <c r="AB7" s="4"/>
      <c r="AC7" s="4"/>
      <c r="AD7" s="4"/>
      <c r="AE7" s="4"/>
      <c r="AF7" s="4"/>
      <c r="AG7" s="4"/>
      <c r="AH7" s="4"/>
      <c r="AI7" s="4"/>
      <c r="AJ7" s="4"/>
      <c r="AK7" s="21" t="str">
        <v>Nelly´s Data</v>
      </c>
      <c r="AL7" s="21"/>
      <c r="AM7" s="21" t="str">
        <v>PENDIENTE</v>
      </c>
      <c r="AN7" s="19"/>
    </row>
    <row r="8" spans="2:45" x14ac:dyDescent="0.25">
      <c r="B8" s="91">
        <f ca="1">TODAY()</f>
        <v>46202</v>
      </c>
      <c r="C8" s="22" t="s">
        <v>45</v>
      </c>
      <c r="D8" s="90">
        <f ca="1">IF(D7="PENDIENTE",DATE(YEAR(B8),MONTH(B8),16),IF(D7="2DO VTO",DATE(YEAR(B8),MONTH(B8),26),""))</f>
        <v>46189</v>
      </c>
      <c r="J8" s="16"/>
      <c r="O8" s="16"/>
      <c r="W8" s="16"/>
      <c r="X8" s="14"/>
      <c r="AA8"/>
      <c r="AK8" s="21"/>
      <c r="AL8" s="21"/>
      <c r="AM8" s="21"/>
      <c r="AN8" s="19"/>
    </row>
    <row r="9" spans="2:45" x14ac:dyDescent="0.25">
      <c r="B9" s="13"/>
      <c r="D9" s="12"/>
      <c r="J9" s="16"/>
      <c r="O9" s="16"/>
      <c r="W9" s="16"/>
      <c r="X9" s="14"/>
      <c r="AA9"/>
      <c r="AK9" s="21"/>
      <c r="AL9" s="21"/>
      <c r="AM9" s="21"/>
      <c r="AN9" s="19"/>
    </row>
    <row r="10" spans="2:45" x14ac:dyDescent="0.25">
      <c r="B10" s="3" t="s">
        <v>44</v>
      </c>
      <c r="D10" s="12"/>
      <c r="G10" s="3" t="s">
        <v>91</v>
      </c>
      <c r="J10" s="16"/>
      <c r="L10" s="3" t="s">
        <v>229</v>
      </c>
      <c r="O10" s="16"/>
      <c r="Q10" s="3" t="s">
        <v>232</v>
      </c>
      <c r="W10" s="16"/>
      <c r="X10" s="14"/>
      <c r="Y10" s="3" t="s">
        <v>201</v>
      </c>
      <c r="AA10"/>
      <c r="AK10" s="85" t="s">
        <v>205</v>
      </c>
      <c r="AL10" s="19"/>
      <c r="AM10" s="19"/>
      <c r="AN10" s="19"/>
    </row>
    <row r="11" spans="2:45" x14ac:dyDescent="0.25">
      <c r="B11" s="3" t="s">
        <v>213</v>
      </c>
      <c r="G11" s="3" t="s">
        <v>214</v>
      </c>
      <c r="J11" s="16"/>
      <c r="O11" s="16"/>
      <c r="W11" s="16"/>
      <c r="X11" s="14"/>
      <c r="Y11" s="108" t="s">
        <v>49</v>
      </c>
      <c r="AA11"/>
      <c r="AK11" s="19"/>
      <c r="AL11" s="19"/>
      <c r="AM11" s="19"/>
      <c r="AN11" s="19"/>
    </row>
    <row r="12" spans="2:45" x14ac:dyDescent="0.25">
      <c r="C12"/>
      <c r="D12"/>
      <c r="E12"/>
      <c r="F12"/>
      <c r="J12" s="16"/>
      <c r="L12" s="3" t="s">
        <v>215</v>
      </c>
      <c r="O12" s="16"/>
      <c r="W12" s="16"/>
      <c r="X12" s="14"/>
      <c r="AC12" s="101"/>
      <c r="AE12" s="99" t="s">
        <v>242</v>
      </c>
      <c r="AK12" s="19"/>
      <c r="AL12" s="19"/>
      <c r="AM12" s="19"/>
      <c r="AN12" s="19"/>
    </row>
    <row r="13" spans="2:45" x14ac:dyDescent="0.25">
      <c r="B13" s="54" t="s">
        <v>47</v>
      </c>
      <c r="D13"/>
      <c r="J13" s="16"/>
      <c r="L13" s="93" t="s">
        <v>231</v>
      </c>
      <c r="O13" s="16"/>
      <c r="V13" s="17"/>
      <c r="W13" s="16"/>
      <c r="X13" s="14"/>
      <c r="AA13"/>
      <c r="AC13" s="101"/>
      <c r="AK13" s="19"/>
      <c r="AL13" s="19"/>
      <c r="AM13" s="19"/>
      <c r="AN13" s="19"/>
    </row>
    <row r="14" spans="2:45" x14ac:dyDescent="0.25">
      <c r="B14" s="11"/>
      <c r="D14"/>
      <c r="J14" s="16"/>
      <c r="O14" s="16"/>
      <c r="W14" s="16"/>
      <c r="X14" s="14"/>
      <c r="AC14" s="101"/>
      <c r="AK14" s="19"/>
      <c r="AL14" s="19"/>
      <c r="AM14" s="19"/>
      <c r="AN14" s="19"/>
    </row>
    <row r="15" spans="2:45" x14ac:dyDescent="0.25">
      <c r="B15" s="88" t="s">
        <v>27</v>
      </c>
      <c r="C15" s="89">
        <f ca="1">SUBTOTAL(9,C17:C60)</f>
        <v>215796.10199999998</v>
      </c>
      <c r="D15"/>
      <c r="G15" s="54" t="s">
        <v>47</v>
      </c>
      <c r="H15" s="54" t="s">
        <v>27</v>
      </c>
      <c r="J15" s="16"/>
      <c r="L15" s="55" t="s">
        <v>13</v>
      </c>
      <c r="M15" s="55" t="s">
        <v>27</v>
      </c>
      <c r="O15" s="16"/>
      <c r="Q15" s="56" t="str" cm="1">
        <f t="array" ref="Q15:U49">_xlfn.PIVOTBY(BASE_DATOS[Plan],BASE_DATOS[Empresa],BASE_DATOS[Total($)],_xleta.SUM,,,,,,BASE_DATOS[Status]="PENDIENTE")</f>
        <v/>
      </c>
      <c r="R15" s="56" t="str">
        <v>123 Asociados</v>
      </c>
      <c r="S15" s="56" t="str">
        <v>Carpe Diem</v>
      </c>
      <c r="T15" s="56" t="str">
        <v>Nelly´s Data</v>
      </c>
      <c r="U15" s="56" t="str">
        <v>Total</v>
      </c>
      <c r="W15" s="16"/>
      <c r="X15" s="14"/>
      <c r="Y15" s="100"/>
      <c r="Z15" s="54" t="s">
        <v>41</v>
      </c>
      <c r="AA15" s="107">
        <v>6</v>
      </c>
      <c r="AC15" s="101"/>
      <c r="AE15" s="55" t="s">
        <v>13</v>
      </c>
      <c r="AF15" s="55" t="s">
        <v>240</v>
      </c>
      <c r="AG15" s="55" t="s">
        <v>241</v>
      </c>
      <c r="AK15" s="19"/>
      <c r="AL15" s="19"/>
      <c r="AM15" s="19"/>
      <c r="AN15" s="19"/>
      <c r="AS15" s="102"/>
    </row>
    <row r="16" spans="2:45" x14ac:dyDescent="0.25">
      <c r="B16" s="86" t="s">
        <v>26</v>
      </c>
      <c r="C16" s="87" t="s">
        <v>27</v>
      </c>
      <c r="D16"/>
      <c r="G16" s="58" t="s">
        <v>26</v>
      </c>
      <c r="H16" s="59">
        <f>SUBTOTAL(3,_xlfn.ANCHORARRAY(G17))</f>
        <v>15</v>
      </c>
      <c r="J16" s="16"/>
      <c r="L16" s="4" t="str" cm="1">
        <f t="array" ref="L16:M19">_xlfn.GROUPBY(BASE_DATOS[Empresa],BASE_DATOS[Interés
Financiero($)],_xleta.SUM,,,,BASE_DATOS[Status]="PENDIENTE")</f>
        <v>123 Asociados</v>
      </c>
      <c r="M16" s="4">
        <v>3239334.6610000003</v>
      </c>
      <c r="O16" s="16"/>
      <c r="Q16" s="4" t="str">
        <v>A87123</v>
      </c>
      <c r="R16" s="4">
        <v>588789.48600000003</v>
      </c>
      <c r="S16" s="4" t="str">
        <v/>
      </c>
      <c r="T16" s="4" t="str">
        <v/>
      </c>
      <c r="U16" s="4">
        <v>588789.48600000003</v>
      </c>
      <c r="W16" s="16"/>
      <c r="X16" s="14"/>
      <c r="AC16" s="101"/>
      <c r="AE16" t="str" cm="1">
        <f t="array" ref="AE16:AE18">_xlfn.UNIQUE(BASE_DATOS[Empresa])</f>
        <v>Nelly´s Data</v>
      </c>
      <c r="AF16" s="4" cm="1">
        <f t="array" aca="1" ref="AF16:AF18" ca="1">SUMIFS(BASE_DATOS[Total($)], BASE_DATOS[Status], "PENDIENTE",BASE_DATOS[Empresa],_xlfn.ANCHORARRAY( $AE$16), BASE_DATOS[Fecha
Vto.], "&gt;="&amp;TODAY(), BASE_DATOS[Fecha
Vto.], "&lt;="&amp;TODAY()+30)</f>
        <v>216614.451</v>
      </c>
      <c r="AG16" s="4" cm="1">
        <f t="array" aca="1" ref="AG16:AG18" ca="1">SUMIFS(BASE_DATOS[Total($)], BASE_DATOS[Status], "PENDIENTE", BASE_DATOS[Empresa],_xlfn.ANCHORARRAY($AE$16),BASE_DATOS[Fecha
Vto.], "&gt;"&amp;TODAY()+30, BASE_DATOS[Fecha
Vto.], "&lt;="&amp;TODAY()+60)</f>
        <v>217432.80000000002</v>
      </c>
      <c r="AK16" s="19"/>
      <c r="AL16" s="19"/>
      <c r="AM16" s="19"/>
      <c r="AN16" s="19"/>
    </row>
    <row r="17" spans="2:40" x14ac:dyDescent="0.25">
      <c r="B17" t="str" cm="1">
        <f t="array" aca="1" ref="B17:C24" ca="1">_xlfn._xlws.FILTER(_xlfn.HSTACK(BASE_DATOS[Plan],BASE_DATOS[Total($)]),(BASE_DATOS[Empresa]=$B$13) * BASE_DATOS[Fecha
Vto.]=$D$8)</f>
        <v>K12345</v>
      </c>
      <c r="C17" s="4">
        <f ca="1"/>
        <v>16935.833999999999</v>
      </c>
      <c r="D17"/>
      <c r="G17" s="4" t="str" cm="1">
        <f t="array" ref="G17:G31">_xlfn.UNIQUE(_xlfn._xlws.FILTER(BASE_DATOS[Plan],(BASE_DATOS[Status]="pendiente")* (BASE_DATOS[Empresa]=G15)))</f>
        <v>T88888</v>
      </c>
      <c r="J17" s="16"/>
      <c r="L17" s="4" t="str">
        <v>Carpe Diem</v>
      </c>
      <c r="M17" s="4">
        <v>5605096.6210000003</v>
      </c>
      <c r="O17" s="16"/>
      <c r="Q17" s="4" t="str">
        <v>B12345</v>
      </c>
      <c r="R17" s="4" t="str">
        <v/>
      </c>
      <c r="S17" s="4" t="str">
        <v/>
      </c>
      <c r="T17" s="4">
        <v>733581.01500000013</v>
      </c>
      <c r="U17" s="4">
        <v>733581.01500000013</v>
      </c>
      <c r="W17" s="16"/>
      <c r="X17" s="14"/>
      <c r="Z17" s="55" t="s">
        <v>26</v>
      </c>
      <c r="AA17" s="55" t="s">
        <v>233</v>
      </c>
      <c r="AC17" s="101"/>
      <c r="AE17" s="4" t="str">
        <v>123 Asociados</v>
      </c>
      <c r="AF17" s="4">
        <f ca="1"/>
        <v>75140.44200000001</v>
      </c>
      <c r="AG17" s="4">
        <f ca="1"/>
        <v>75140.44200000001</v>
      </c>
      <c r="AK17" s="19"/>
      <c r="AL17" s="19"/>
      <c r="AM17" s="19"/>
      <c r="AN17" s="19"/>
    </row>
    <row r="18" spans="2:40" x14ac:dyDescent="0.25">
      <c r="B18" t="str">
        <f ca="1"/>
        <v>L12345</v>
      </c>
      <c r="C18" s="4">
        <f ca="1"/>
        <v>49154.913999999997</v>
      </c>
      <c r="D18"/>
      <c r="G18" s="4" t="str">
        <v>T77777</v>
      </c>
      <c r="J18" s="16"/>
      <c r="L18" s="4" t="str">
        <v>Nelly´s Data</v>
      </c>
      <c r="M18" s="4">
        <v>15773629.507999998</v>
      </c>
      <c r="O18" s="16"/>
      <c r="Q18" s="4" t="str">
        <v>B78901</v>
      </c>
      <c r="R18" s="4" t="str">
        <v/>
      </c>
      <c r="S18" s="4">
        <v>1847792.9469999995</v>
      </c>
      <c r="T18" s="4" t="str">
        <v/>
      </c>
      <c r="U18" s="4">
        <v>1847792.9469999995</v>
      </c>
      <c r="W18" s="16"/>
      <c r="X18" s="14"/>
      <c r="Y18" s="2" cm="1">
        <f t="array" ref="Y18:Y23">_xlfn.SEQUENCE(AA15)</f>
        <v>1</v>
      </c>
      <c r="Z18" s="2" t="str" cm="1">
        <f t="array" ref="Z18:Z23">_xlfn.XLOOKUP(_xlfn.ANCHORARRAY(AA18),U16:U48,Q16:Q48)</f>
        <v>T66666</v>
      </c>
      <c r="AA18" s="4" cm="1">
        <f t="array" ref="AA18:AA23">LARGE(U16:U48,_xlfn.ANCHORARRAY(Y18))</f>
        <v>9770579.7400000002</v>
      </c>
      <c r="AC18" s="101"/>
      <c r="AE18" s="4" t="str">
        <v>Carpe Diem</v>
      </c>
      <c r="AF18" s="4">
        <f ca="1"/>
        <v>141808.58900000001</v>
      </c>
      <c r="AG18" s="4">
        <f ca="1"/>
        <v>141010.66100000002</v>
      </c>
      <c r="AK18" s="19"/>
      <c r="AL18" s="19"/>
      <c r="AM18" s="19"/>
      <c r="AN18" s="19"/>
    </row>
    <row r="19" spans="2:40" x14ac:dyDescent="0.25">
      <c r="B19" t="str">
        <f ca="1"/>
        <v>M12345</v>
      </c>
      <c r="C19" s="4">
        <f ca="1"/>
        <v>5285.527</v>
      </c>
      <c r="D19"/>
      <c r="G19" s="4" t="str">
        <v>T66666</v>
      </c>
      <c r="J19" s="16"/>
      <c r="L19" s="11" t="str">
        <v>Total</v>
      </c>
      <c r="M19" s="11">
        <v>24618060.789999995</v>
      </c>
      <c r="O19" s="16"/>
      <c r="Q19" s="4" t="str">
        <v>B87870</v>
      </c>
      <c r="R19" s="4" t="str">
        <v/>
      </c>
      <c r="S19" s="4">
        <v>4290609.5760000004</v>
      </c>
      <c r="T19" s="4" t="str">
        <v/>
      </c>
      <c r="U19" s="4">
        <v>4290609.5760000004</v>
      </c>
      <c r="W19" s="16"/>
      <c r="X19" s="14"/>
      <c r="Y19" s="2">
        <v>2</v>
      </c>
      <c r="Z19" s="2" t="str">
        <v>U00001</v>
      </c>
      <c r="AA19" s="4">
        <v>9559090.7760000005</v>
      </c>
      <c r="AC19" s="101"/>
      <c r="AE19" s="4"/>
      <c r="AF19" s="4"/>
      <c r="AK19" s="19"/>
      <c r="AL19" s="19"/>
      <c r="AM19" s="19"/>
      <c r="AN19" s="19"/>
    </row>
    <row r="20" spans="2:40" x14ac:dyDescent="0.25">
      <c r="B20" t="str">
        <f ca="1"/>
        <v>B12345</v>
      </c>
      <c r="C20" s="4">
        <f ca="1"/>
        <v>10891.916999999999</v>
      </c>
      <c r="D20"/>
      <c r="G20" s="4" t="str">
        <v>U77766</v>
      </c>
      <c r="J20" s="16"/>
      <c r="O20" s="16"/>
      <c r="Q20" s="4" t="str">
        <v>C12345</v>
      </c>
      <c r="R20" s="4" t="str">
        <v/>
      </c>
      <c r="S20" s="4" t="str">
        <v/>
      </c>
      <c r="T20" s="4">
        <v>379081.00200000004</v>
      </c>
      <c r="U20" s="4">
        <v>379081.00200000004</v>
      </c>
      <c r="W20" s="16"/>
      <c r="X20" s="14"/>
      <c r="Y20" s="2">
        <v>3</v>
      </c>
      <c r="Z20" s="2" t="str">
        <v>U77766</v>
      </c>
      <c r="AA20" s="4">
        <v>8299365.102</v>
      </c>
      <c r="AC20" s="101"/>
      <c r="AE20" s="11" t="s">
        <v>243</v>
      </c>
      <c r="AK20" s="19"/>
      <c r="AL20" s="19"/>
      <c r="AM20" s="19"/>
      <c r="AN20" s="19"/>
    </row>
    <row r="21" spans="2:40" x14ac:dyDescent="0.25">
      <c r="B21" t="str">
        <f ca="1"/>
        <v>C12345</v>
      </c>
      <c r="C21" s="4">
        <f ca="1"/>
        <v>5628.4409999999998</v>
      </c>
      <c r="D21"/>
      <c r="G21" s="4" t="str">
        <v>U11123</v>
      </c>
      <c r="J21" s="16"/>
      <c r="L21" s="3" t="s">
        <v>228</v>
      </c>
      <c r="O21" s="16"/>
      <c r="Q21" s="4" t="str">
        <v>D12345</v>
      </c>
      <c r="R21" s="4" t="str">
        <v/>
      </c>
      <c r="S21" s="4" t="str">
        <v/>
      </c>
      <c r="T21" s="4">
        <v>374391.37</v>
      </c>
      <c r="U21" s="4">
        <v>374391.37</v>
      </c>
      <c r="W21" s="16"/>
      <c r="X21" s="14"/>
      <c r="Y21" s="2">
        <v>4</v>
      </c>
      <c r="Z21" s="2" t="str">
        <v>T88888</v>
      </c>
      <c r="AA21" s="4">
        <v>7934914.8879999993</v>
      </c>
      <c r="AC21" s="101"/>
      <c r="AK21" s="19"/>
      <c r="AL21" s="19"/>
      <c r="AM21" s="19"/>
      <c r="AN21" s="19"/>
    </row>
    <row r="22" spans="2:40" x14ac:dyDescent="0.25">
      <c r="B22" t="str">
        <f ca="1"/>
        <v>D12345</v>
      </c>
      <c r="C22" s="4">
        <f ca="1"/>
        <v>5558.8130000000001</v>
      </c>
      <c r="G22" s="4" t="str">
        <v>U00001</v>
      </c>
      <c r="J22" s="16"/>
      <c r="L22" s="93" t="s">
        <v>230</v>
      </c>
      <c r="O22" s="16"/>
      <c r="Q22" s="4" t="str">
        <v>G12345</v>
      </c>
      <c r="R22" s="4" t="str">
        <v/>
      </c>
      <c r="S22" s="4">
        <v>22043.936000000002</v>
      </c>
      <c r="T22" s="4" t="str">
        <v/>
      </c>
      <c r="U22" s="4">
        <v>22043.936000000002</v>
      </c>
      <c r="W22" s="16"/>
      <c r="X22" s="14"/>
      <c r="Y22" s="2">
        <v>5</v>
      </c>
      <c r="Z22" s="2" t="str">
        <v>H12345</v>
      </c>
      <c r="AA22" s="4">
        <v>6585436.0930000013</v>
      </c>
      <c r="AC22" s="101"/>
      <c r="AE22" s="55" t="s">
        <v>13</v>
      </c>
      <c r="AF22" s="55" t="s">
        <v>237</v>
      </c>
      <c r="AG22" s="55" t="s">
        <v>238</v>
      </c>
      <c r="AK22" s="19"/>
      <c r="AL22" s="19"/>
      <c r="AM22" s="19"/>
      <c r="AN22" s="19"/>
    </row>
    <row r="23" spans="2:40" x14ac:dyDescent="0.25">
      <c r="B23" t="str">
        <f ca="1"/>
        <v>H12345</v>
      </c>
      <c r="C23" s="4">
        <f ca="1"/>
        <v>87182.334999999992</v>
      </c>
      <c r="G23" s="4" t="str">
        <v>S76901</v>
      </c>
      <c r="J23" s="16"/>
      <c r="L23" s="55" t="s">
        <v>13</v>
      </c>
      <c r="M23" s="55" t="s">
        <v>27</v>
      </c>
      <c r="O23" s="16"/>
      <c r="Q23" s="4" t="str">
        <v>H12345</v>
      </c>
      <c r="R23" s="4" t="str">
        <v/>
      </c>
      <c r="S23" s="4" t="str">
        <v/>
      </c>
      <c r="T23" s="4">
        <v>6585436.0930000013</v>
      </c>
      <c r="U23" s="4">
        <v>6585436.0930000013</v>
      </c>
      <c r="W23" s="16"/>
      <c r="X23" s="14"/>
      <c r="Y23" s="2">
        <v>6</v>
      </c>
      <c r="Z23" s="2" t="str">
        <v>T88111</v>
      </c>
      <c r="AA23" s="4">
        <v>4891200.7909999983</v>
      </c>
      <c r="AC23" s="101"/>
      <c r="AE23" t="str" cm="1">
        <f t="array" ref="AE23:AG26">_xlfn.PIVOTBY(BASE_DATOS[Empresa],,_xlfn.HSTACK(BASE_DATOS[Interés
Financiero($)],BASE_DATOS[Total($)]),_xleta.SUM,,,,,,BASE_DATOS[Status]="PENDIENTE")</f>
        <v>123 Asociados</v>
      </c>
      <c r="AF23" s="4">
        <v>3239334.6610000003</v>
      </c>
      <c r="AG23" s="4">
        <v>7310420.1539999889</v>
      </c>
      <c r="AK23" s="19"/>
      <c r="AL23" s="19"/>
      <c r="AM23" s="19"/>
      <c r="AN23" s="19"/>
    </row>
    <row r="24" spans="2:40" x14ac:dyDescent="0.25">
      <c r="B24" t="str">
        <f ca="1"/>
        <v>J12345</v>
      </c>
      <c r="C24" s="4">
        <f ca="1"/>
        <v>35158.320999999996</v>
      </c>
      <c r="G24" s="4" t="str">
        <v>K12345</v>
      </c>
      <c r="J24" s="16"/>
      <c r="L24" s="4" t="str" cm="1">
        <f t="array" ref="L24:M27">_xlfn.GROUPBY(BASE_DATOS[Empresa],BASE_DATOS[Interés
Resarcitorio($)],_xleta.SUM)</f>
        <v>123 Asociados</v>
      </c>
      <c r="M24" s="4">
        <v>1692212.9099999988</v>
      </c>
      <c r="O24" s="16"/>
      <c r="Q24" s="4" t="str">
        <v>I12345</v>
      </c>
      <c r="R24" s="4">
        <v>34277.729999999996</v>
      </c>
      <c r="S24" s="4" t="str">
        <v/>
      </c>
      <c r="T24" s="4" t="str">
        <v/>
      </c>
      <c r="U24" s="4">
        <v>34277.729999999996</v>
      </c>
      <c r="W24" s="16"/>
      <c r="X24" s="14"/>
      <c r="AC24" s="101"/>
      <c r="AE24" t="str">
        <v>Carpe Diem</v>
      </c>
      <c r="AF24" s="4">
        <v>5605096.6210000003</v>
      </c>
      <c r="AG24" s="4">
        <v>22280306.952000022</v>
      </c>
      <c r="AK24" s="19"/>
      <c r="AL24" s="19"/>
      <c r="AM24" s="19"/>
      <c r="AN24" s="19"/>
    </row>
    <row r="25" spans="2:40" x14ac:dyDescent="0.25">
      <c r="G25" s="4" t="str">
        <v>L12345</v>
      </c>
      <c r="J25" s="16"/>
      <c r="L25" s="4" t="str">
        <v>Carpe Diem</v>
      </c>
      <c r="M25" s="4">
        <v>6203700.1800000062</v>
      </c>
      <c r="O25" s="16"/>
      <c r="Q25" s="4" t="str">
        <v>J12345</v>
      </c>
      <c r="R25" s="4" t="str">
        <v/>
      </c>
      <c r="S25" s="4" t="str">
        <v/>
      </c>
      <c r="T25" s="4">
        <v>2658281.9569999999</v>
      </c>
      <c r="U25" s="4">
        <v>2658281.9569999999</v>
      </c>
      <c r="W25" s="16"/>
      <c r="X25" s="14"/>
      <c r="AC25" s="101"/>
      <c r="AE25" t="str">
        <v>Nelly´s Data</v>
      </c>
      <c r="AF25" s="4">
        <v>15773629.507999998</v>
      </c>
      <c r="AG25" s="4">
        <v>59291244.96999985</v>
      </c>
      <c r="AK25" s="19"/>
      <c r="AL25" s="19"/>
      <c r="AM25" s="19"/>
      <c r="AN25" s="19"/>
    </row>
    <row r="26" spans="2:40" x14ac:dyDescent="0.25">
      <c r="D26"/>
      <c r="G26" s="4" t="str">
        <v>M12345</v>
      </c>
      <c r="J26" s="16"/>
      <c r="L26" s="4" t="str">
        <v>Nelly´s Data</v>
      </c>
      <c r="M26" s="4">
        <v>18501686.459999967</v>
      </c>
      <c r="O26" s="16"/>
      <c r="Q26" s="4" t="str">
        <v>K12345</v>
      </c>
      <c r="R26" s="4" t="str">
        <v/>
      </c>
      <c r="S26" s="4" t="str">
        <v/>
      </c>
      <c r="T26" s="4">
        <v>362856.2840000001</v>
      </c>
      <c r="U26" s="4">
        <v>362856.2840000001</v>
      </c>
      <c r="W26" s="16"/>
      <c r="X26" s="14"/>
      <c r="Y26" s="2"/>
      <c r="Z26" s="2"/>
      <c r="AC26" s="101"/>
      <c r="AE26" s="3" t="str">
        <v>Total</v>
      </c>
      <c r="AF26" s="11">
        <v>24618060.789999995</v>
      </c>
      <c r="AG26" s="11">
        <v>88881972.075999931</v>
      </c>
      <c r="AK26" s="19"/>
      <c r="AL26" s="19"/>
      <c r="AM26" s="19"/>
      <c r="AN26" s="19"/>
    </row>
    <row r="27" spans="2:40" x14ac:dyDescent="0.25">
      <c r="G27" s="4" t="str">
        <v>B12345</v>
      </c>
      <c r="J27" s="16"/>
      <c r="L27" s="11" t="str">
        <v>Total</v>
      </c>
      <c r="M27" s="11">
        <v>26397599.549999859</v>
      </c>
      <c r="O27" s="16"/>
      <c r="Q27" s="4" t="str">
        <v>L12345</v>
      </c>
      <c r="R27" s="4" t="str">
        <v/>
      </c>
      <c r="S27" s="4" t="str">
        <v/>
      </c>
      <c r="T27" s="4">
        <v>2900139.926</v>
      </c>
      <c r="U27" s="4">
        <v>2900139.926</v>
      </c>
      <c r="W27" s="16"/>
      <c r="X27" s="14"/>
      <c r="Y27" s="2"/>
      <c r="Z27" s="2"/>
      <c r="AC27" s="101"/>
      <c r="AK27" s="19"/>
      <c r="AL27" s="19"/>
      <c r="AM27" s="19"/>
      <c r="AN27" s="19"/>
    </row>
    <row r="28" spans="2:40" x14ac:dyDescent="0.25">
      <c r="G28" s="4" t="str">
        <v>C12345</v>
      </c>
      <c r="J28" s="16"/>
      <c r="O28" s="16"/>
      <c r="Q28" s="4" t="str">
        <v>M12345</v>
      </c>
      <c r="R28" s="4" t="str">
        <v/>
      </c>
      <c r="S28" s="4" t="str">
        <v/>
      </c>
      <c r="T28" s="4">
        <v>355985.03199999989</v>
      </c>
      <c r="U28" s="4">
        <v>355985.03199999989</v>
      </c>
      <c r="W28" s="16"/>
      <c r="X28" s="14"/>
      <c r="Y28" s="2"/>
      <c r="Z28" s="2"/>
      <c r="AC28" s="101"/>
      <c r="AK28" s="19"/>
      <c r="AL28" s="19"/>
      <c r="AM28" s="19"/>
      <c r="AN28" s="19"/>
    </row>
    <row r="29" spans="2:40" x14ac:dyDescent="0.25">
      <c r="G29" s="4" t="str">
        <v>D12345</v>
      </c>
      <c r="J29" s="16"/>
      <c r="O29" s="16"/>
      <c r="Q29" s="4" t="str">
        <v>N12345</v>
      </c>
      <c r="R29" s="4">
        <v>4508426.5199999949</v>
      </c>
      <c r="S29" s="4" t="str">
        <v/>
      </c>
      <c r="T29" s="4" t="str">
        <v/>
      </c>
      <c r="U29" s="4">
        <v>4508426.5199999949</v>
      </c>
      <c r="W29" s="16"/>
      <c r="X29" s="14"/>
      <c r="Y29" s="2"/>
      <c r="Z29" s="2"/>
      <c r="AC29" s="101"/>
      <c r="AK29" s="19"/>
      <c r="AL29" s="19"/>
      <c r="AM29" s="19"/>
      <c r="AN29" s="19"/>
    </row>
    <row r="30" spans="2:40" x14ac:dyDescent="0.25">
      <c r="G30" s="4" t="str">
        <v>H12345</v>
      </c>
      <c r="J30" s="16"/>
      <c r="O30" s="16"/>
      <c r="Q30" s="4" t="str">
        <v>P12345</v>
      </c>
      <c r="R30" s="4" t="str">
        <v/>
      </c>
      <c r="S30" s="4">
        <v>503821.12199999997</v>
      </c>
      <c r="T30" s="4" t="str">
        <v/>
      </c>
      <c r="U30" s="4">
        <v>503821.12199999997</v>
      </c>
      <c r="W30" s="16"/>
      <c r="X30" s="14"/>
      <c r="Y30" s="2"/>
      <c r="Z30" s="2"/>
      <c r="AC30" s="101"/>
      <c r="AK30" s="19"/>
      <c r="AL30" s="19"/>
      <c r="AM30" s="19"/>
      <c r="AN30" s="19"/>
    </row>
    <row r="31" spans="2:40" x14ac:dyDescent="0.25">
      <c r="G31" s="4" t="str">
        <v>J12345</v>
      </c>
      <c r="J31" s="16"/>
      <c r="O31" s="16"/>
      <c r="Q31" s="4" t="str">
        <v>S12345</v>
      </c>
      <c r="R31" s="4" t="str">
        <v/>
      </c>
      <c r="S31" s="4">
        <v>545905.37399999995</v>
      </c>
      <c r="T31" s="4" t="str">
        <v/>
      </c>
      <c r="U31" s="4">
        <v>545905.37399999995</v>
      </c>
      <c r="W31" s="16"/>
      <c r="X31" s="14"/>
      <c r="Y31" s="2"/>
      <c r="Z31" s="2"/>
      <c r="AC31" s="101"/>
      <c r="AK31" s="19"/>
      <c r="AL31" s="19"/>
      <c r="AM31" s="19"/>
      <c r="AN31" s="19"/>
    </row>
    <row r="32" spans="2:40" x14ac:dyDescent="0.25">
      <c r="J32" s="16"/>
      <c r="O32" s="16"/>
      <c r="Q32" s="4" t="str">
        <v>S76901</v>
      </c>
      <c r="R32" s="4" t="str">
        <v/>
      </c>
      <c r="S32" s="4" t="str">
        <v/>
      </c>
      <c r="T32" s="4">
        <v>3814921.0549999992</v>
      </c>
      <c r="U32" s="4">
        <v>3814921.0549999992</v>
      </c>
      <c r="W32" s="16"/>
      <c r="X32" s="14"/>
      <c r="Y32" s="2"/>
      <c r="Z32" s="2"/>
      <c r="AC32" s="101"/>
      <c r="AK32" s="19"/>
      <c r="AL32" s="19"/>
      <c r="AM32" s="19"/>
      <c r="AN32" s="19"/>
    </row>
    <row r="33" spans="10:40" x14ac:dyDescent="0.25">
      <c r="J33" s="16"/>
      <c r="O33" s="16"/>
      <c r="Q33" s="4" t="str">
        <v>T09876</v>
      </c>
      <c r="R33" s="4" t="str">
        <v/>
      </c>
      <c r="S33" s="4">
        <v>900252.05499999993</v>
      </c>
      <c r="T33" s="4" t="str">
        <v/>
      </c>
      <c r="U33" s="4">
        <v>900252.05499999993</v>
      </c>
      <c r="W33" s="16"/>
      <c r="X33" s="14"/>
      <c r="Y33" s="2"/>
      <c r="Z33" s="2"/>
      <c r="AC33" s="101"/>
      <c r="AK33" s="19"/>
      <c r="AL33" s="19"/>
      <c r="AM33" s="19"/>
      <c r="AN33" s="19"/>
    </row>
    <row r="34" spans="10:40" x14ac:dyDescent="0.25">
      <c r="J34" s="16"/>
      <c r="O34" s="16"/>
      <c r="Q34" s="4" t="str">
        <v>T12345</v>
      </c>
      <c r="R34" s="4">
        <v>129240.056</v>
      </c>
      <c r="S34" s="4" t="str">
        <v/>
      </c>
      <c r="T34" s="4" t="str">
        <v/>
      </c>
      <c r="U34" s="4">
        <v>129240.056</v>
      </c>
      <c r="W34" s="16"/>
      <c r="X34" s="14"/>
      <c r="Y34" s="2"/>
      <c r="Z34" s="2"/>
      <c r="AC34" s="101"/>
      <c r="AK34" s="19"/>
      <c r="AL34" s="19"/>
      <c r="AM34" s="19"/>
      <c r="AN34" s="19"/>
    </row>
    <row r="35" spans="10:40" x14ac:dyDescent="0.25">
      <c r="J35" s="16"/>
      <c r="O35" s="16"/>
      <c r="Q35" s="4" t="str">
        <v>T66666</v>
      </c>
      <c r="R35" s="4" t="str">
        <v/>
      </c>
      <c r="S35" s="4" t="str">
        <v/>
      </c>
      <c r="T35" s="4">
        <v>9770579.7400000002</v>
      </c>
      <c r="U35" s="4">
        <v>9770579.7400000002</v>
      </c>
      <c r="W35" s="16"/>
      <c r="X35" s="14"/>
      <c r="Y35" s="2"/>
      <c r="Z35" s="2"/>
      <c r="AC35" s="101"/>
      <c r="AK35" s="19"/>
      <c r="AL35" s="19"/>
      <c r="AM35" s="19"/>
      <c r="AN35" s="19"/>
    </row>
    <row r="36" spans="10:40" x14ac:dyDescent="0.25">
      <c r="J36" s="16"/>
      <c r="O36" s="16"/>
      <c r="Q36" s="4" t="str">
        <v>T77777</v>
      </c>
      <c r="R36" s="4" t="str">
        <v/>
      </c>
      <c r="S36" s="4" t="str">
        <v/>
      </c>
      <c r="T36" s="4">
        <v>863845.11</v>
      </c>
      <c r="U36" s="4">
        <v>863845.11</v>
      </c>
      <c r="W36" s="16"/>
      <c r="X36" s="14"/>
      <c r="Y36" s="2"/>
      <c r="Z36" s="2"/>
      <c r="AC36" s="101"/>
      <c r="AK36" s="19"/>
      <c r="AL36" s="19"/>
      <c r="AM36" s="19"/>
      <c r="AN36" s="19"/>
    </row>
    <row r="37" spans="10:40" x14ac:dyDescent="0.25">
      <c r="J37" s="16"/>
      <c r="O37" s="16"/>
      <c r="Q37" s="4" t="str">
        <v>T88111</v>
      </c>
      <c r="R37" s="4" t="str">
        <v/>
      </c>
      <c r="S37" s="4">
        <v>4891200.7909999983</v>
      </c>
      <c r="T37" s="4" t="str">
        <v/>
      </c>
      <c r="U37" s="4">
        <v>4891200.7909999983</v>
      </c>
      <c r="W37" s="16"/>
      <c r="X37" s="14"/>
      <c r="Y37" s="2"/>
      <c r="Z37" s="2"/>
      <c r="AC37" s="101"/>
      <c r="AK37" s="19"/>
      <c r="AL37" s="19"/>
      <c r="AM37" s="19"/>
      <c r="AN37" s="19"/>
    </row>
    <row r="38" spans="10:40" x14ac:dyDescent="0.25">
      <c r="J38" s="16"/>
      <c r="O38" s="16"/>
      <c r="Q38" s="4" t="str">
        <v>T88888</v>
      </c>
      <c r="R38" s="4" t="str">
        <v/>
      </c>
      <c r="S38" s="4" t="str">
        <v/>
      </c>
      <c r="T38" s="4">
        <v>7934914.8879999993</v>
      </c>
      <c r="U38" s="4">
        <v>7934914.8879999993</v>
      </c>
      <c r="W38" s="16"/>
      <c r="X38" s="14"/>
      <c r="Y38" s="2"/>
      <c r="Z38" s="2"/>
      <c r="AC38" s="101"/>
      <c r="AK38" s="19"/>
      <c r="AL38" s="19"/>
      <c r="AM38" s="19"/>
      <c r="AN38" s="19"/>
    </row>
    <row r="39" spans="10:40" x14ac:dyDescent="0.25">
      <c r="J39" s="16"/>
      <c r="O39" s="16"/>
      <c r="Q39" s="4" t="str">
        <v>U00001</v>
      </c>
      <c r="R39" s="4" t="str">
        <v/>
      </c>
      <c r="S39" s="4" t="str">
        <v/>
      </c>
      <c r="T39" s="4">
        <v>9559090.7760000005</v>
      </c>
      <c r="U39" s="4">
        <v>9559090.7760000005</v>
      </c>
      <c r="W39" s="16"/>
      <c r="X39" s="14"/>
      <c r="Y39" s="2"/>
      <c r="Z39" s="2"/>
      <c r="AC39" s="101"/>
      <c r="AK39" s="19"/>
      <c r="AL39" s="19"/>
      <c r="AM39" s="19"/>
      <c r="AN39" s="19"/>
    </row>
    <row r="40" spans="10:40" x14ac:dyDescent="0.25">
      <c r="J40" s="16"/>
      <c r="O40" s="16"/>
      <c r="Q40" s="4" t="str">
        <v>U00008</v>
      </c>
      <c r="R40" s="4">
        <v>442243.23299999995</v>
      </c>
      <c r="S40" s="4" t="str">
        <v/>
      </c>
      <c r="T40" s="4" t="str">
        <v/>
      </c>
      <c r="U40" s="4">
        <v>442243.23299999995</v>
      </c>
      <c r="W40" s="16"/>
      <c r="X40" s="14"/>
      <c r="Y40" s="2"/>
      <c r="Z40" s="2"/>
      <c r="AC40" s="101"/>
      <c r="AK40" s="19"/>
      <c r="AL40" s="19"/>
      <c r="AM40" s="19"/>
      <c r="AN40" s="19"/>
    </row>
    <row r="41" spans="10:40" x14ac:dyDescent="0.25">
      <c r="J41" s="16"/>
      <c r="O41" s="16"/>
      <c r="Q41" s="4" t="str">
        <v>U00009</v>
      </c>
      <c r="R41" s="4" t="str">
        <v/>
      </c>
      <c r="S41" s="4">
        <v>2714877.895</v>
      </c>
      <c r="T41" s="4" t="str">
        <v/>
      </c>
      <c r="U41" s="4">
        <v>2714877.895</v>
      </c>
      <c r="W41" s="16"/>
      <c r="X41" s="14"/>
      <c r="Y41" s="2"/>
      <c r="Z41" s="2"/>
      <c r="AC41" s="101"/>
      <c r="AK41" s="19"/>
      <c r="AL41" s="19"/>
      <c r="AM41" s="19"/>
      <c r="AN41" s="19"/>
    </row>
    <row r="42" spans="10:40" x14ac:dyDescent="0.25">
      <c r="J42" s="16"/>
      <c r="O42" s="16"/>
      <c r="Q42" s="4" t="str">
        <v>U03254</v>
      </c>
      <c r="R42" s="4">
        <v>365426.92799999996</v>
      </c>
      <c r="S42" s="4" t="str">
        <v/>
      </c>
      <c r="T42" s="4" t="str">
        <v/>
      </c>
      <c r="U42" s="4">
        <v>365426.92799999996</v>
      </c>
      <c r="W42" s="16"/>
      <c r="X42" s="14"/>
      <c r="Y42" s="2"/>
      <c r="Z42" s="2"/>
      <c r="AC42" s="101"/>
      <c r="AK42" s="19"/>
      <c r="AL42" s="19"/>
      <c r="AM42" s="19"/>
      <c r="AN42" s="19"/>
    </row>
    <row r="43" spans="10:40" x14ac:dyDescent="0.25">
      <c r="J43" s="16"/>
      <c r="O43" s="16"/>
      <c r="Q43" s="4" t="str">
        <v>U11123</v>
      </c>
      <c r="R43" s="4" t="str">
        <v/>
      </c>
      <c r="S43" s="4" t="str">
        <v/>
      </c>
      <c r="T43" s="4">
        <v>4698775.62</v>
      </c>
      <c r="U43" s="4">
        <v>4698775.62</v>
      </c>
      <c r="W43" s="16"/>
      <c r="X43" s="14"/>
      <c r="Y43" s="2"/>
      <c r="Z43" s="2"/>
      <c r="AC43" s="101"/>
      <c r="AK43" s="19"/>
      <c r="AL43" s="19"/>
      <c r="AM43" s="19"/>
      <c r="AN43" s="19"/>
    </row>
    <row r="44" spans="10:40" x14ac:dyDescent="0.25">
      <c r="J44" s="16"/>
      <c r="O44" s="16"/>
      <c r="Q44" s="4" t="str">
        <v>U12121</v>
      </c>
      <c r="R44" s="4" t="str">
        <v/>
      </c>
      <c r="S44" s="4">
        <v>2703612.0499999993</v>
      </c>
      <c r="T44" s="4" t="str">
        <v/>
      </c>
      <c r="U44" s="4">
        <v>2703612.0499999993</v>
      </c>
      <c r="W44" s="16"/>
      <c r="X44" s="14"/>
      <c r="AC44" s="101"/>
      <c r="AK44" s="19"/>
      <c r="AL44" s="19"/>
      <c r="AM44" s="19"/>
      <c r="AN44" s="19"/>
    </row>
    <row r="45" spans="10:40" x14ac:dyDescent="0.25">
      <c r="J45" s="16"/>
      <c r="O45" s="16"/>
      <c r="Q45" s="4" t="str">
        <v>U45321</v>
      </c>
      <c r="R45" s="4">
        <v>662745.20899999992</v>
      </c>
      <c r="S45" s="4" t="str">
        <v/>
      </c>
      <c r="T45" s="4" t="str">
        <v/>
      </c>
      <c r="U45" s="4">
        <v>662745.20899999992</v>
      </c>
      <c r="W45" s="16"/>
      <c r="X45" s="14"/>
      <c r="AC45" s="101"/>
      <c r="AK45" s="19"/>
      <c r="AL45" s="19"/>
      <c r="AM45" s="19"/>
      <c r="AN45" s="19"/>
    </row>
    <row r="46" spans="10:40" x14ac:dyDescent="0.25">
      <c r="J46" s="16"/>
      <c r="O46" s="16"/>
      <c r="Q46" s="94" t="str">
        <v>U77766</v>
      </c>
      <c r="R46" s="94" t="str">
        <v/>
      </c>
      <c r="S46" s="94" t="str">
        <v/>
      </c>
      <c r="T46" s="94">
        <v>8299365.102</v>
      </c>
      <c r="U46" s="94">
        <v>8299365.102</v>
      </c>
      <c r="W46" s="16"/>
      <c r="X46" s="14"/>
      <c r="AC46" s="101"/>
      <c r="AK46" s="19"/>
      <c r="AL46" s="19"/>
      <c r="AM46" s="19"/>
      <c r="AN46" s="19"/>
    </row>
    <row r="47" spans="10:40" x14ac:dyDescent="0.25">
      <c r="J47" s="16"/>
      <c r="O47" s="16"/>
      <c r="Q47" s="4" t="str">
        <v>U87870</v>
      </c>
      <c r="R47" s="4">
        <v>579270.99200000009</v>
      </c>
      <c r="S47" s="4" t="str">
        <v/>
      </c>
      <c r="T47" s="4" t="str">
        <v/>
      </c>
      <c r="U47" s="4">
        <v>579270.99200000009</v>
      </c>
      <c r="W47" s="16"/>
      <c r="X47" s="14"/>
      <c r="AC47" s="101"/>
      <c r="AK47" s="19"/>
      <c r="AL47" s="19"/>
      <c r="AM47" s="19"/>
      <c r="AN47" s="19"/>
    </row>
    <row r="48" spans="10:40" x14ac:dyDescent="0.25">
      <c r="J48" s="16"/>
      <c r="O48" s="16"/>
      <c r="Q48" s="4" t="str">
        <v>U87878</v>
      </c>
      <c r="R48" s="4" t="str">
        <v/>
      </c>
      <c r="S48" s="4">
        <v>3860191.2059999998</v>
      </c>
      <c r="T48" s="4" t="str">
        <v/>
      </c>
      <c r="U48" s="4">
        <v>3860191.2059999998</v>
      </c>
      <c r="W48" s="16"/>
      <c r="X48" s="14"/>
      <c r="AC48" s="101"/>
      <c r="AK48" s="19"/>
      <c r="AL48" s="19"/>
      <c r="AM48" s="19"/>
      <c r="AN48" s="19"/>
    </row>
    <row r="49" spans="10:40" x14ac:dyDescent="0.25">
      <c r="J49" s="16"/>
      <c r="O49" s="16"/>
      <c r="Q49" s="11" t="str">
        <v>Total</v>
      </c>
      <c r="R49" s="11">
        <v>7310420.1539999889</v>
      </c>
      <c r="S49" s="11">
        <v>22280306.952000022</v>
      </c>
      <c r="T49" s="11">
        <v>59291244.96999985</v>
      </c>
      <c r="U49" s="11">
        <v>88881972.075999931</v>
      </c>
      <c r="W49" s="16"/>
      <c r="X49" s="14"/>
      <c r="AC49" s="101"/>
      <c r="AK49" s="19"/>
      <c r="AL49" s="19"/>
      <c r="AM49" s="19"/>
      <c r="AN49" s="19"/>
    </row>
    <row r="50" spans="10:40" x14ac:dyDescent="0.25">
      <c r="J50" s="16"/>
      <c r="O50" s="16"/>
      <c r="W50" s="16"/>
      <c r="X50" s="14"/>
      <c r="AC50" s="101"/>
      <c r="AK50" s="19"/>
      <c r="AL50" s="19"/>
      <c r="AM50" s="19"/>
      <c r="AN50" s="19"/>
    </row>
    <row r="51" spans="10:40" x14ac:dyDescent="0.25">
      <c r="J51" s="16"/>
      <c r="O51" s="16"/>
      <c r="W51" s="16"/>
      <c r="X51" s="14"/>
      <c r="AC51" s="101"/>
      <c r="AK51" s="19"/>
      <c r="AL51" s="19"/>
      <c r="AM51" s="19"/>
      <c r="AN51" s="19"/>
    </row>
    <row r="52" spans="10:40" x14ac:dyDescent="0.25">
      <c r="J52" s="16"/>
      <c r="O52" s="16"/>
      <c r="W52" s="16"/>
      <c r="X52" s="14"/>
      <c r="AC52" s="101"/>
      <c r="AK52" s="19"/>
      <c r="AL52" s="19"/>
      <c r="AM52" s="19"/>
      <c r="AN52" s="19"/>
    </row>
    <row r="53" spans="10:40" x14ac:dyDescent="0.25">
      <c r="J53" s="16"/>
      <c r="O53" s="16"/>
      <c r="Q53" s="11"/>
      <c r="R53" s="11"/>
      <c r="S53" s="11"/>
      <c r="T53" s="11"/>
      <c r="U53" s="11"/>
      <c r="W53" s="16"/>
      <c r="X53" s="14"/>
      <c r="AC53" s="101"/>
      <c r="AK53" s="19"/>
      <c r="AL53" s="19"/>
      <c r="AM53" s="19"/>
      <c r="AN53" s="19"/>
    </row>
    <row r="54" spans="10:40" x14ac:dyDescent="0.25">
      <c r="J54" s="16"/>
      <c r="O54" s="16"/>
      <c r="Q54" s="11"/>
      <c r="R54" s="11"/>
      <c r="S54" s="11"/>
      <c r="T54" s="11"/>
      <c r="U54" s="11"/>
      <c r="W54" s="16"/>
      <c r="X54" s="14"/>
      <c r="AC54" s="101"/>
      <c r="AK54" s="19"/>
      <c r="AL54" s="19"/>
      <c r="AM54" s="19"/>
      <c r="AN54" s="19"/>
    </row>
    <row r="55" spans="10:40" x14ac:dyDescent="0.25">
      <c r="J55" s="16"/>
      <c r="O55" s="16"/>
      <c r="V55" s="11"/>
      <c r="W55" s="16"/>
      <c r="X55" s="14"/>
      <c r="AC55" s="101"/>
      <c r="AK55" s="19"/>
      <c r="AL55" s="19"/>
      <c r="AM55" s="19"/>
      <c r="AN55" s="19"/>
    </row>
    <row r="56" spans="10:40" x14ac:dyDescent="0.25">
      <c r="Q56" s="11"/>
      <c r="R56" s="11"/>
      <c r="S56" s="11"/>
      <c r="T56" s="11"/>
      <c r="U56" s="11"/>
      <c r="AC56" s="101"/>
    </row>
    <row r="57" spans="10:40" x14ac:dyDescent="0.25">
      <c r="AC57" s="101"/>
    </row>
    <row r="58" spans="10:40" x14ac:dyDescent="0.25">
      <c r="AC58" s="101"/>
    </row>
    <row r="59" spans="10:40" x14ac:dyDescent="0.25">
      <c r="AC59" s="101"/>
    </row>
    <row r="60" spans="10:40" x14ac:dyDescent="0.25">
      <c r="AC60" s="101"/>
    </row>
    <row r="61" spans="10:40" x14ac:dyDescent="0.25">
      <c r="AC61" s="101"/>
    </row>
    <row r="62" spans="10:40" x14ac:dyDescent="0.25">
      <c r="AC62" s="101"/>
    </row>
    <row r="63" spans="10:40" x14ac:dyDescent="0.25">
      <c r="AC63" s="101"/>
    </row>
    <row r="64" spans="10:40" x14ac:dyDescent="0.25">
      <c r="AC64" s="101"/>
    </row>
  </sheetData>
  <phoneticPr fontId="29" type="noConversion"/>
  <dataValidations disablePrompts="1" count="3">
    <dataValidation type="list" allowBlank="1" showInputMessage="1" showErrorMessage="1" sqref="D7" xr:uid="{45F38608-EBCE-4556-A851-38C172211339}">
      <formula1>_xlfn.ANCHORARRAY($AM5)</formula1>
    </dataValidation>
    <dataValidation type="list" allowBlank="1" showInputMessage="1" showErrorMessage="1" sqref="B13" xr:uid="{558DE24C-5E24-4D46-9F82-4697A4BF8B32}">
      <formula1>_xlfn.ANCHORARRAY($AK5)</formula1>
    </dataValidation>
    <dataValidation type="list" allowBlank="1" showInputMessage="1" showErrorMessage="1" sqref="G15" xr:uid="{E1A4406A-E644-4D46-9499-B9F49932CE19}">
      <formula1>_xlfn.ANCHORARRAY($AK5)</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06368-A301-4E81-BBC5-5ADC606567BE}">
  <sheetPr>
    <tabColor theme="8" tint="0.59999389629810485"/>
  </sheetPr>
  <dimension ref="A4:L58"/>
  <sheetViews>
    <sheetView showGridLines="0" zoomScale="98" zoomScaleNormal="98" workbookViewId="0">
      <selection activeCell="L7" sqref="L7"/>
    </sheetView>
  </sheetViews>
  <sheetFormatPr baseColWidth="10" defaultRowHeight="15" x14ac:dyDescent="0.25"/>
  <cols>
    <col min="1" max="1" width="6.5703125" style="4" customWidth="1"/>
    <col min="2" max="2" width="15.28515625" style="4" customWidth="1"/>
    <col min="3" max="3" width="11.7109375" style="4" customWidth="1"/>
    <col min="4" max="4" width="5.7109375" style="4" customWidth="1"/>
    <col min="5" max="5" width="15.42578125" style="4" customWidth="1"/>
    <col min="6" max="6" width="10.28515625" style="4" customWidth="1"/>
    <col min="7" max="7" width="5.7109375" style="4" customWidth="1"/>
    <col min="8" max="8" width="15.28515625" style="4" customWidth="1"/>
    <col min="9" max="9" width="10.28515625" style="4" customWidth="1"/>
    <col min="10" max="10" width="5" style="4" customWidth="1"/>
    <col min="11" max="11" width="1.7109375" style="4" customWidth="1"/>
    <col min="12" max="12" width="2" customWidth="1"/>
  </cols>
  <sheetData>
    <row r="4" spans="1:12" x14ac:dyDescent="0.25">
      <c r="A4" s="14"/>
      <c r="B4" s="83" t="s">
        <v>40</v>
      </c>
      <c r="K4" s="16"/>
    </row>
    <row r="5" spans="1:12" x14ac:dyDescent="0.25">
      <c r="A5" s="14"/>
      <c r="B5" s="57" t="s">
        <v>31</v>
      </c>
      <c r="K5" s="16"/>
      <c r="L5" s="4"/>
    </row>
    <row r="6" spans="1:12" x14ac:dyDescent="0.25">
      <c r="A6" s="14"/>
      <c r="B6" s="57" t="s">
        <v>32</v>
      </c>
      <c r="K6" s="16"/>
      <c r="L6" s="4"/>
    </row>
    <row r="7" spans="1:12" x14ac:dyDescent="0.25">
      <c r="A7" s="14"/>
      <c r="B7" s="57" t="s">
        <v>29</v>
      </c>
      <c r="K7" s="16"/>
      <c r="L7" s="4"/>
    </row>
    <row r="8" spans="1:12" x14ac:dyDescent="0.25">
      <c r="A8" s="14"/>
      <c r="K8" s="16"/>
      <c r="L8" s="4"/>
    </row>
    <row r="9" spans="1:12" x14ac:dyDescent="0.25">
      <c r="A9" s="14"/>
      <c r="B9" s="3" t="s">
        <v>91</v>
      </c>
      <c r="K9" s="16"/>
    </row>
    <row r="10" spans="1:12" x14ac:dyDescent="0.25">
      <c r="A10" s="14"/>
      <c r="B10" s="3" t="s">
        <v>239</v>
      </c>
      <c r="K10" s="16"/>
    </row>
    <row r="11" spans="1:12" x14ac:dyDescent="0.25">
      <c r="A11" s="14"/>
      <c r="K11" s="16"/>
    </row>
    <row r="12" spans="1:12" x14ac:dyDescent="0.25">
      <c r="A12" s="14"/>
      <c r="B12" s="106" t="s">
        <v>47</v>
      </c>
      <c r="C12" s="106" t="s">
        <v>27</v>
      </c>
      <c r="D12" s="103"/>
      <c r="E12" s="106" t="s">
        <v>46</v>
      </c>
      <c r="F12" s="106" t="s">
        <v>27</v>
      </c>
      <c r="G12" s="103"/>
      <c r="H12" s="106" t="s">
        <v>48</v>
      </c>
      <c r="I12" s="106" t="s">
        <v>27</v>
      </c>
      <c r="K12" s="16"/>
    </row>
    <row r="13" spans="1:12" x14ac:dyDescent="0.25">
      <c r="A13" s="14"/>
      <c r="B13" s="104" t="s">
        <v>26</v>
      </c>
      <c r="C13" s="105">
        <f>SUBTOTAL(3,_xlfn.ANCHORARRAY(B14))</f>
        <v>15</v>
      </c>
      <c r="D13" s="30"/>
      <c r="E13" s="104" t="s">
        <v>26</v>
      </c>
      <c r="F13" s="105">
        <f>SUBTOTAL(3,_xlfn.ANCHORARRAY(E14))</f>
        <v>10</v>
      </c>
      <c r="H13" s="104" t="s">
        <v>26</v>
      </c>
      <c r="I13" s="105">
        <f>SUBTOTAL(3,_xlfn.ANCHORARRAY(H14))</f>
        <v>8</v>
      </c>
      <c r="K13" s="16"/>
    </row>
    <row r="14" spans="1:12" x14ac:dyDescent="0.25">
      <c r="A14" s="14"/>
      <c r="B14" s="4" t="str" cm="1">
        <f t="array" ref="B14:B28">_xlfn.UNIQUE(_xlfn._xlws.FILTER(BASE_DATOS[Plan],(BASE_DATOS[Empresa]="Nelly´s Data")*(BASE_DATOS[Status]="Pendiente")))</f>
        <v>T88888</v>
      </c>
      <c r="E14" s="4" t="str" cm="1">
        <f t="array" ref="E14:E23">_xlfn.UNIQUE(_xlfn._xlws.FILTER(BASE_DATOS[Plan],(BASE_DATOS[Empresa]="Carpe Diem")*(BASE_DATOS[Status]="Pendiente")))</f>
        <v>U00009</v>
      </c>
      <c r="G14" s="29"/>
      <c r="H14" s="4" t="str" cm="1">
        <f t="array" ref="H14:H21">_xlfn.UNIQUE(_xlfn._xlws.FILTER(BASE_DATOS[Plan],(BASE_DATOS[Empresa]="123 Asociados")*(BASE_DATOS[Status]="Pendiente")))</f>
        <v>A87123</v>
      </c>
      <c r="K14" s="16"/>
    </row>
    <row r="15" spans="1:12" x14ac:dyDescent="0.25">
      <c r="A15" s="14"/>
      <c r="B15" s="4" t="str">
        <v>T77777</v>
      </c>
      <c r="E15" s="4" t="str">
        <v>U87878</v>
      </c>
      <c r="G15" s="30"/>
      <c r="H15" s="4" t="str">
        <v>U87870</v>
      </c>
      <c r="K15" s="16"/>
    </row>
    <row r="16" spans="1:12" x14ac:dyDescent="0.25">
      <c r="A16" s="14"/>
      <c r="B16" s="4" t="str">
        <v>T66666</v>
      </c>
      <c r="E16" s="4" t="str">
        <v>U12121</v>
      </c>
      <c r="H16" s="4" t="str">
        <v>T12345</v>
      </c>
      <c r="K16" s="16"/>
    </row>
    <row r="17" spans="1:11" x14ac:dyDescent="0.25">
      <c r="A17" s="14"/>
      <c r="B17" s="4" t="str">
        <v>U77766</v>
      </c>
      <c r="E17" s="4" t="str">
        <v>P12345</v>
      </c>
      <c r="H17" s="4" t="str">
        <v>U03254</v>
      </c>
      <c r="K17" s="16"/>
    </row>
    <row r="18" spans="1:11" x14ac:dyDescent="0.25">
      <c r="A18" s="14"/>
      <c r="B18" s="4" t="str">
        <v>U11123</v>
      </c>
      <c r="E18" s="4" t="str">
        <v>S12345</v>
      </c>
      <c r="H18" s="4" t="str">
        <v>U00008</v>
      </c>
      <c r="K18" s="16"/>
    </row>
    <row r="19" spans="1:11" x14ac:dyDescent="0.25">
      <c r="A19" s="14"/>
      <c r="B19" s="4" t="str">
        <v>U00001</v>
      </c>
      <c r="E19" s="4" t="str">
        <v>T09876</v>
      </c>
      <c r="H19" s="4" t="str">
        <v>I12345</v>
      </c>
      <c r="K19" s="16"/>
    </row>
    <row r="20" spans="1:11" x14ac:dyDescent="0.25">
      <c r="A20" s="14"/>
      <c r="B20" s="4" t="str">
        <v>S76901</v>
      </c>
      <c r="E20" s="4" t="str">
        <v>B78901</v>
      </c>
      <c r="H20" s="4" t="str">
        <v>N12345</v>
      </c>
      <c r="K20" s="16"/>
    </row>
    <row r="21" spans="1:11" x14ac:dyDescent="0.25">
      <c r="A21" s="14"/>
      <c r="B21" s="4" t="str">
        <v>K12345</v>
      </c>
      <c r="E21" s="4" t="str">
        <v>B87870</v>
      </c>
      <c r="H21" s="4" t="str">
        <v>U45321</v>
      </c>
      <c r="K21" s="16"/>
    </row>
    <row r="22" spans="1:11" x14ac:dyDescent="0.25">
      <c r="A22" s="14"/>
      <c r="B22" s="4" t="str">
        <v>L12345</v>
      </c>
      <c r="E22" s="4" t="str">
        <v>G12345</v>
      </c>
      <c r="K22" s="16"/>
    </row>
    <row r="23" spans="1:11" x14ac:dyDescent="0.25">
      <c r="A23" s="14"/>
      <c r="B23" s="4" t="str">
        <v>M12345</v>
      </c>
      <c r="E23" s="4" t="str">
        <v>T88111</v>
      </c>
      <c r="K23" s="16"/>
    </row>
    <row r="24" spans="1:11" x14ac:dyDescent="0.25">
      <c r="A24" s="14"/>
      <c r="B24" s="4" t="str">
        <v>B12345</v>
      </c>
      <c r="K24" s="16"/>
    </row>
    <row r="25" spans="1:11" x14ac:dyDescent="0.25">
      <c r="A25" s="14"/>
      <c r="B25" s="4" t="str">
        <v>C12345</v>
      </c>
      <c r="K25" s="16"/>
    </row>
    <row r="26" spans="1:11" x14ac:dyDescent="0.25">
      <c r="A26" s="14"/>
      <c r="B26" s="4" t="str">
        <v>D12345</v>
      </c>
      <c r="K26" s="16"/>
    </row>
    <row r="27" spans="1:11" x14ac:dyDescent="0.25">
      <c r="A27" s="14"/>
      <c r="B27" s="4" t="str">
        <v>H12345</v>
      </c>
      <c r="K27" s="16"/>
    </row>
    <row r="28" spans="1:11" x14ac:dyDescent="0.25">
      <c r="A28" s="14"/>
      <c r="B28" s="4" t="str">
        <v>J12345</v>
      </c>
      <c r="K28" s="16"/>
    </row>
    <row r="29" spans="1:11" x14ac:dyDescent="0.25">
      <c r="A29" s="14"/>
      <c r="K29" s="16"/>
    </row>
    <row r="30" spans="1:11" x14ac:dyDescent="0.25">
      <c r="A30" s="14"/>
      <c r="K30" s="16"/>
    </row>
    <row r="31" spans="1:11" x14ac:dyDescent="0.25">
      <c r="A31" s="14"/>
      <c r="K31" s="16"/>
    </row>
    <row r="32" spans="1:11" x14ac:dyDescent="0.25">
      <c r="A32" s="14"/>
      <c r="K32" s="16"/>
    </row>
    <row r="33" spans="1:11" x14ac:dyDescent="0.25">
      <c r="A33" s="14"/>
      <c r="K33" s="16"/>
    </row>
    <row r="34" spans="1:11" x14ac:dyDescent="0.25">
      <c r="A34" s="14"/>
      <c r="K34" s="16"/>
    </row>
    <row r="35" spans="1:11" x14ac:dyDescent="0.25">
      <c r="A35" s="14"/>
      <c r="K35" s="16"/>
    </row>
    <row r="36" spans="1:11" x14ac:dyDescent="0.25">
      <c r="A36" s="14"/>
      <c r="K36" s="16"/>
    </row>
    <row r="37" spans="1:11" x14ac:dyDescent="0.25">
      <c r="A37" s="14"/>
      <c r="K37" s="16"/>
    </row>
    <row r="38" spans="1:11" x14ac:dyDescent="0.25">
      <c r="A38" s="14"/>
      <c r="K38" s="16"/>
    </row>
    <row r="39" spans="1:11" x14ac:dyDescent="0.25">
      <c r="A39" s="14"/>
      <c r="K39" s="16"/>
    </row>
    <row r="40" spans="1:11" x14ac:dyDescent="0.25">
      <c r="A40" s="14"/>
      <c r="K40" s="16"/>
    </row>
    <row r="41" spans="1:11" x14ac:dyDescent="0.25">
      <c r="A41" s="14"/>
      <c r="K41" s="16"/>
    </row>
    <row r="42" spans="1:11" x14ac:dyDescent="0.25">
      <c r="A42" s="14"/>
      <c r="K42" s="16"/>
    </row>
    <row r="43" spans="1:11" x14ac:dyDescent="0.25">
      <c r="A43" s="14"/>
      <c r="K43" s="16"/>
    </row>
    <row r="44" spans="1:11" x14ac:dyDescent="0.25">
      <c r="A44" s="14"/>
      <c r="K44" s="16"/>
    </row>
    <row r="45" spans="1:11" x14ac:dyDescent="0.25">
      <c r="A45" s="14"/>
      <c r="K45" s="16"/>
    </row>
    <row r="46" spans="1:11" x14ac:dyDescent="0.25">
      <c r="A46" s="14"/>
      <c r="K46" s="16"/>
    </row>
    <row r="47" spans="1:11" x14ac:dyDescent="0.25">
      <c r="A47" s="14"/>
      <c r="K47" s="16"/>
    </row>
    <row r="48" spans="1:11" x14ac:dyDescent="0.25">
      <c r="A48" s="14"/>
      <c r="K48" s="16"/>
    </row>
    <row r="49" spans="1:11" x14ac:dyDescent="0.25">
      <c r="A49" s="14"/>
      <c r="K49" s="16"/>
    </row>
    <row r="50" spans="1:11" x14ac:dyDescent="0.25">
      <c r="A50" s="14"/>
      <c r="K50" s="16"/>
    </row>
    <row r="51" spans="1:11" x14ac:dyDescent="0.25">
      <c r="A51" s="14"/>
      <c r="K51" s="16"/>
    </row>
    <row r="52" spans="1:11" x14ac:dyDescent="0.25">
      <c r="A52" s="14"/>
      <c r="K52" s="16"/>
    </row>
    <row r="53" spans="1:11" x14ac:dyDescent="0.25">
      <c r="A53" s="14"/>
      <c r="K53" s="16"/>
    </row>
    <row r="54" spans="1:11" x14ac:dyDescent="0.25">
      <c r="A54" s="14"/>
      <c r="K54" s="16"/>
    </row>
    <row r="55" spans="1:11" x14ac:dyDescent="0.25">
      <c r="A55" s="14"/>
      <c r="K55" s="16"/>
    </row>
    <row r="56" spans="1:11" x14ac:dyDescent="0.25">
      <c r="A56" s="14"/>
      <c r="K56" s="16"/>
    </row>
    <row r="57" spans="1:11" x14ac:dyDescent="0.25">
      <c r="A57" s="14"/>
      <c r="K57" s="16"/>
    </row>
    <row r="58" spans="1:11" x14ac:dyDescent="0.25">
      <c r="A58" s="14"/>
    </row>
  </sheetData>
  <dataValidations count="1">
    <dataValidation type="list" allowBlank="1" showInputMessage="1" showErrorMessage="1" sqref="B12 E12 H12" xr:uid="{603338C0-74B1-408C-9CBB-E70D2F4D102E}">
      <formula1>_xlfn.ANCHORARRAY(#REF!)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24256-6DF0-403C-80FA-65AE91F2842B}">
  <sheetPr>
    <tabColor theme="6"/>
  </sheetPr>
  <dimension ref="A1:O33"/>
  <sheetViews>
    <sheetView showGridLines="0" workbookViewId="0">
      <selection activeCell="I17" sqref="I17"/>
    </sheetView>
  </sheetViews>
  <sheetFormatPr baseColWidth="10" defaultRowHeight="15" x14ac:dyDescent="0.25"/>
  <cols>
    <col min="1" max="1" width="17.7109375" customWidth="1"/>
    <col min="2" max="2" width="7.85546875" customWidth="1"/>
    <col min="3" max="3" width="11.42578125" customWidth="1"/>
    <col min="15" max="15" width="25.5703125" customWidth="1"/>
  </cols>
  <sheetData>
    <row r="1" spans="1:15" x14ac:dyDescent="0.25">
      <c r="A1" s="27"/>
      <c r="B1" s="27"/>
      <c r="C1" s="26"/>
      <c r="D1" s="26"/>
      <c r="E1" s="26"/>
      <c r="F1" s="26"/>
      <c r="G1" s="26"/>
      <c r="H1" s="26"/>
      <c r="I1" s="26"/>
      <c r="J1" s="26"/>
      <c r="K1" s="26"/>
      <c r="L1" s="26"/>
      <c r="M1" s="26"/>
      <c r="N1" s="26"/>
      <c r="O1" s="26"/>
    </row>
    <row r="2" spans="1:15" x14ac:dyDescent="0.25">
      <c r="A2" s="27"/>
      <c r="B2" s="27"/>
      <c r="C2" s="26"/>
      <c r="D2" s="26"/>
      <c r="E2" s="26"/>
      <c r="F2" s="26"/>
      <c r="G2" s="26"/>
      <c r="H2" s="26"/>
      <c r="I2" s="26"/>
      <c r="J2" s="26"/>
      <c r="K2" s="26"/>
      <c r="L2" s="26"/>
      <c r="M2" s="26"/>
      <c r="N2" s="26"/>
      <c r="O2" s="26"/>
    </row>
    <row r="3" spans="1:15" x14ac:dyDescent="0.25">
      <c r="A3" s="27"/>
      <c r="B3" s="27"/>
      <c r="C3" s="26"/>
      <c r="D3" s="26"/>
      <c r="E3" s="26"/>
      <c r="F3" s="26"/>
      <c r="G3" s="26"/>
      <c r="H3" s="26"/>
      <c r="I3" s="26"/>
      <c r="J3" s="26"/>
      <c r="K3" s="26"/>
      <c r="L3" s="26"/>
      <c r="M3" s="26"/>
      <c r="N3" s="26"/>
      <c r="O3" s="26"/>
    </row>
    <row r="4" spans="1:15" x14ac:dyDescent="0.25">
      <c r="A4" s="27"/>
      <c r="B4" s="27"/>
      <c r="C4" s="26"/>
      <c r="D4" s="26"/>
      <c r="E4" s="26"/>
      <c r="F4" s="26"/>
      <c r="G4" s="26"/>
      <c r="H4" s="26"/>
      <c r="I4" s="26"/>
      <c r="J4" s="26"/>
      <c r="K4" s="26"/>
      <c r="L4" s="26"/>
      <c r="M4" s="26"/>
      <c r="N4" s="26"/>
      <c r="O4" s="26"/>
    </row>
    <row r="5" spans="1:15" x14ac:dyDescent="0.25">
      <c r="A5" s="27"/>
      <c r="B5" s="27"/>
      <c r="C5" s="26"/>
      <c r="D5" s="26"/>
      <c r="E5" s="26"/>
      <c r="F5" s="26"/>
      <c r="G5" s="26"/>
      <c r="H5" s="26"/>
      <c r="I5" s="26"/>
      <c r="J5" s="26"/>
      <c r="K5" s="26"/>
      <c r="L5" s="26"/>
      <c r="M5" s="26"/>
      <c r="N5" s="26"/>
      <c r="O5" s="26"/>
    </row>
    <row r="6" spans="1:15" x14ac:dyDescent="0.25">
      <c r="A6" s="27"/>
      <c r="B6" s="27"/>
      <c r="C6" s="26"/>
      <c r="D6" s="26"/>
      <c r="E6" s="26"/>
      <c r="F6" s="26"/>
      <c r="G6" s="26"/>
      <c r="H6" s="26"/>
      <c r="I6" s="26"/>
      <c r="J6" s="26"/>
      <c r="K6" s="26"/>
      <c r="L6" s="26"/>
      <c r="M6" s="26"/>
      <c r="N6" s="26"/>
      <c r="O6" s="26"/>
    </row>
    <row r="7" spans="1:15" x14ac:dyDescent="0.25">
      <c r="A7" s="27"/>
      <c r="B7" s="27"/>
      <c r="C7" s="26"/>
      <c r="D7" s="26"/>
      <c r="E7" s="26"/>
      <c r="F7" s="26"/>
      <c r="G7" s="26"/>
      <c r="H7" s="26"/>
      <c r="I7" s="26"/>
      <c r="J7" s="26"/>
      <c r="K7" s="26"/>
      <c r="L7" s="26"/>
      <c r="M7" s="26"/>
      <c r="N7" s="26"/>
      <c r="O7" s="26"/>
    </row>
    <row r="8" spans="1:15" x14ac:dyDescent="0.25">
      <c r="A8" s="27"/>
      <c r="B8" s="27"/>
      <c r="C8" s="26"/>
      <c r="D8" s="26"/>
      <c r="E8" s="26"/>
      <c r="F8" s="26"/>
      <c r="G8" s="26"/>
      <c r="H8" s="26"/>
      <c r="I8" s="26"/>
      <c r="J8" s="26"/>
      <c r="K8" s="26"/>
      <c r="L8" s="26"/>
      <c r="M8" s="26"/>
      <c r="N8" s="26"/>
      <c r="O8" s="26"/>
    </row>
    <row r="9" spans="1:15" x14ac:dyDescent="0.25">
      <c r="A9" s="27"/>
      <c r="B9" s="27"/>
      <c r="C9" s="26"/>
      <c r="D9" s="26"/>
      <c r="E9" s="26"/>
      <c r="F9" s="26"/>
      <c r="G9" s="26"/>
      <c r="H9" s="26"/>
      <c r="I9" s="26"/>
      <c r="J9" s="26"/>
      <c r="K9" s="26"/>
      <c r="L9" s="26"/>
      <c r="M9" s="26"/>
      <c r="N9" s="26"/>
      <c r="O9" s="26"/>
    </row>
    <row r="10" spans="1:15" ht="16.5" x14ac:dyDescent="0.3">
      <c r="A10" s="32" t="s">
        <v>13</v>
      </c>
      <c r="B10" s="31" t="s">
        <v>27</v>
      </c>
      <c r="C10" s="26"/>
      <c r="D10" s="26"/>
      <c r="E10" s="26"/>
      <c r="F10" s="26"/>
      <c r="G10" s="26"/>
      <c r="H10" s="26"/>
      <c r="I10" s="26"/>
      <c r="J10" s="26"/>
      <c r="K10" s="26"/>
      <c r="L10" s="26"/>
      <c r="M10" s="26"/>
      <c r="N10" s="26"/>
      <c r="O10" s="26"/>
    </row>
    <row r="11" spans="1:15" ht="16.5" x14ac:dyDescent="0.3">
      <c r="A11" s="109" t="s">
        <v>48</v>
      </c>
      <c r="B11" s="110">
        <f>+AUX!I13</f>
        <v>8</v>
      </c>
      <c r="C11" s="26"/>
      <c r="D11" s="26"/>
      <c r="E11" s="26"/>
      <c r="F11" s="26"/>
      <c r="G11" s="26"/>
      <c r="H11" s="26"/>
      <c r="I11" s="26"/>
      <c r="J11" s="26"/>
      <c r="K11" s="26"/>
      <c r="L11" s="26"/>
      <c r="M11" s="26"/>
      <c r="N11" s="26"/>
      <c r="O11" s="26"/>
    </row>
    <row r="12" spans="1:15" ht="16.5" x14ac:dyDescent="0.3">
      <c r="A12" s="109" t="s">
        <v>46</v>
      </c>
      <c r="B12" s="110">
        <f>+AUX!F13</f>
        <v>10</v>
      </c>
      <c r="C12" s="26"/>
      <c r="D12" s="26"/>
      <c r="E12" s="26"/>
      <c r="F12" s="26"/>
      <c r="G12" s="26"/>
      <c r="H12" s="26"/>
      <c r="I12" s="26"/>
      <c r="J12" s="26"/>
      <c r="K12" s="26"/>
      <c r="L12" s="26"/>
      <c r="M12" s="26"/>
      <c r="N12" s="26"/>
      <c r="O12" s="26"/>
    </row>
    <row r="13" spans="1:15" ht="16.5" x14ac:dyDescent="0.3">
      <c r="A13" s="109" t="s">
        <v>47</v>
      </c>
      <c r="B13" s="110">
        <f>+AUX!C13</f>
        <v>15</v>
      </c>
      <c r="C13" s="26"/>
      <c r="D13" s="26"/>
      <c r="E13" s="26"/>
      <c r="F13" s="26"/>
      <c r="G13" s="26"/>
      <c r="H13" s="26"/>
      <c r="I13" s="26"/>
      <c r="J13" s="26"/>
      <c r="K13" s="26"/>
      <c r="L13" s="26"/>
      <c r="M13" s="26"/>
      <c r="N13" s="26"/>
      <c r="O13" s="26"/>
    </row>
    <row r="14" spans="1:15" ht="18.75" x14ac:dyDescent="0.3">
      <c r="A14" s="28"/>
      <c r="B14" s="27"/>
      <c r="C14" s="26"/>
      <c r="D14" s="26"/>
      <c r="E14" s="26"/>
      <c r="F14" s="26"/>
      <c r="G14" s="26"/>
      <c r="H14" s="26"/>
      <c r="I14" s="26"/>
      <c r="J14" s="26"/>
      <c r="K14" s="26"/>
      <c r="L14" s="26"/>
      <c r="M14" s="26"/>
      <c r="N14" s="26"/>
      <c r="O14" s="26"/>
    </row>
    <row r="15" spans="1:15" x14ac:dyDescent="0.25">
      <c r="A15" s="27"/>
      <c r="B15" s="27"/>
      <c r="C15" s="26"/>
      <c r="D15" s="26"/>
      <c r="E15" s="26"/>
      <c r="F15" s="26"/>
      <c r="G15" s="26"/>
      <c r="H15" s="26"/>
      <c r="I15" s="26"/>
      <c r="J15" s="26"/>
      <c r="K15" s="26"/>
      <c r="L15" s="26"/>
      <c r="M15" s="26"/>
      <c r="N15" s="26"/>
      <c r="O15" s="26"/>
    </row>
    <row r="16" spans="1:15" x14ac:dyDescent="0.25">
      <c r="A16" s="27"/>
      <c r="B16" s="27"/>
      <c r="C16" s="26"/>
      <c r="D16" s="26"/>
      <c r="E16" s="26"/>
      <c r="F16" s="26"/>
      <c r="G16" s="26"/>
      <c r="H16" s="26"/>
      <c r="I16" s="26"/>
      <c r="J16" s="26"/>
      <c r="K16" s="26"/>
      <c r="L16" s="26"/>
      <c r="M16" s="26"/>
      <c r="N16" s="26"/>
      <c r="O16" s="26"/>
    </row>
    <row r="17" spans="1:15" x14ac:dyDescent="0.25">
      <c r="A17" s="27"/>
      <c r="B17" s="27"/>
      <c r="C17" s="26"/>
      <c r="D17" s="26"/>
      <c r="E17" s="26"/>
      <c r="F17" s="26"/>
      <c r="G17" s="26"/>
      <c r="H17" s="26"/>
      <c r="I17" s="26"/>
      <c r="J17" s="26"/>
      <c r="K17" s="26"/>
      <c r="L17" s="26"/>
      <c r="M17" s="26"/>
      <c r="N17" s="26"/>
      <c r="O17" s="26"/>
    </row>
    <row r="18" spans="1:15" x14ac:dyDescent="0.25">
      <c r="A18" s="27"/>
      <c r="B18" s="27"/>
      <c r="C18" s="26"/>
      <c r="D18" s="26"/>
      <c r="E18" s="26"/>
      <c r="F18" s="26"/>
      <c r="G18" s="26"/>
      <c r="H18" s="26"/>
      <c r="I18" s="26"/>
      <c r="J18" s="26"/>
      <c r="K18" s="26"/>
      <c r="L18" s="26"/>
      <c r="M18" s="26"/>
      <c r="N18" s="26"/>
      <c r="O18" s="26"/>
    </row>
    <row r="19" spans="1:15" x14ac:dyDescent="0.25">
      <c r="A19" s="27"/>
      <c r="B19" s="27"/>
      <c r="C19" s="26"/>
      <c r="D19" s="26"/>
      <c r="E19" s="26"/>
      <c r="F19" s="26"/>
      <c r="G19" s="26"/>
      <c r="H19" s="26"/>
      <c r="I19" s="26"/>
      <c r="J19" s="26"/>
      <c r="K19" s="26"/>
      <c r="L19" s="26"/>
      <c r="M19" s="26"/>
      <c r="N19" s="26"/>
      <c r="O19" s="26"/>
    </row>
    <row r="20" spans="1:15" x14ac:dyDescent="0.25">
      <c r="A20" s="27"/>
      <c r="B20" s="27"/>
      <c r="C20" s="26"/>
      <c r="D20" s="26"/>
      <c r="E20" s="26"/>
      <c r="F20" s="26"/>
      <c r="G20" s="26"/>
      <c r="H20" s="26"/>
      <c r="I20" s="26"/>
      <c r="J20" s="26"/>
      <c r="K20" s="26"/>
      <c r="L20" s="26"/>
      <c r="M20" s="26"/>
      <c r="N20" s="26"/>
      <c r="O20" s="26"/>
    </row>
    <row r="21" spans="1:15" x14ac:dyDescent="0.25">
      <c r="A21" s="27"/>
      <c r="B21" s="27"/>
      <c r="C21" s="26"/>
      <c r="D21" s="26"/>
      <c r="E21" s="26"/>
      <c r="F21" s="26"/>
      <c r="G21" s="26"/>
      <c r="H21" s="26"/>
      <c r="I21" s="26"/>
      <c r="J21" s="26"/>
      <c r="K21" s="26"/>
      <c r="L21" s="26"/>
      <c r="M21" s="26"/>
      <c r="N21" s="26"/>
      <c r="O21" s="26"/>
    </row>
    <row r="22" spans="1:15" x14ac:dyDescent="0.25">
      <c r="A22" s="27"/>
      <c r="B22" s="27"/>
      <c r="C22" s="26"/>
      <c r="D22" s="26"/>
      <c r="E22" s="26"/>
      <c r="F22" s="26"/>
      <c r="G22" s="26"/>
      <c r="H22" s="26"/>
      <c r="I22" s="26"/>
      <c r="J22" s="26"/>
      <c r="K22" s="26"/>
      <c r="L22" s="26"/>
      <c r="M22" s="26"/>
      <c r="N22" s="26"/>
      <c r="O22" s="26"/>
    </row>
    <row r="23" spans="1:15" x14ac:dyDescent="0.25">
      <c r="A23" s="27"/>
      <c r="B23" s="27"/>
      <c r="C23" s="26"/>
      <c r="D23" s="26"/>
      <c r="E23" s="26"/>
      <c r="F23" s="26"/>
      <c r="G23" s="26"/>
      <c r="H23" s="26"/>
      <c r="I23" s="26"/>
      <c r="J23" s="26"/>
      <c r="K23" s="26"/>
      <c r="L23" s="26"/>
      <c r="M23" s="26"/>
      <c r="N23" s="26"/>
      <c r="O23" s="26"/>
    </row>
    <row r="24" spans="1:15" x14ac:dyDescent="0.25">
      <c r="A24" s="27"/>
      <c r="B24" s="27"/>
      <c r="C24" s="26"/>
      <c r="D24" s="26"/>
      <c r="E24" s="26"/>
      <c r="F24" s="26"/>
      <c r="G24" s="26"/>
      <c r="H24" s="26"/>
      <c r="I24" s="26"/>
      <c r="J24" s="26"/>
      <c r="K24" s="26"/>
      <c r="L24" s="26"/>
      <c r="M24" s="26"/>
      <c r="N24" s="26"/>
      <c r="O24" s="26"/>
    </row>
    <row r="25" spans="1:15" x14ac:dyDescent="0.25">
      <c r="A25" s="27"/>
      <c r="B25" s="27"/>
      <c r="C25" s="26"/>
      <c r="D25" s="26"/>
      <c r="E25" s="26"/>
      <c r="F25" s="26"/>
      <c r="G25" s="26"/>
      <c r="H25" s="26"/>
      <c r="I25" s="26"/>
      <c r="J25" s="26"/>
      <c r="K25" s="26"/>
      <c r="L25" s="26"/>
      <c r="M25" s="26"/>
      <c r="N25" s="26"/>
      <c r="O25" s="26"/>
    </row>
    <row r="26" spans="1:15" x14ac:dyDescent="0.25">
      <c r="A26" s="27"/>
      <c r="B26" s="27"/>
      <c r="C26" s="26"/>
      <c r="D26" s="26"/>
      <c r="E26" s="26"/>
      <c r="F26" s="26"/>
      <c r="G26" s="26"/>
      <c r="H26" s="26"/>
      <c r="I26" s="26"/>
      <c r="J26" s="26"/>
      <c r="K26" s="26"/>
      <c r="L26" s="26"/>
      <c r="M26" s="26"/>
      <c r="N26" s="26"/>
      <c r="O26" s="26"/>
    </row>
    <row r="27" spans="1:15" x14ac:dyDescent="0.25">
      <c r="A27" s="27"/>
      <c r="B27" s="27"/>
      <c r="C27" s="26"/>
      <c r="D27" s="26"/>
      <c r="E27" s="26"/>
      <c r="F27" s="26"/>
      <c r="G27" s="26"/>
      <c r="H27" s="26"/>
      <c r="I27" s="26"/>
      <c r="J27" s="26"/>
      <c r="K27" s="26"/>
      <c r="L27" s="26"/>
      <c r="M27" s="26"/>
      <c r="N27" s="26"/>
      <c r="O27" s="26"/>
    </row>
    <row r="28" spans="1:15" x14ac:dyDescent="0.25">
      <c r="A28" s="27"/>
      <c r="B28" s="27"/>
      <c r="C28" s="26"/>
      <c r="D28" s="26"/>
      <c r="E28" s="26"/>
      <c r="F28" s="26"/>
      <c r="G28" s="26"/>
      <c r="H28" s="26"/>
      <c r="I28" s="26"/>
      <c r="J28" s="26"/>
      <c r="K28" s="26"/>
      <c r="L28" s="26"/>
      <c r="M28" s="26"/>
      <c r="N28" s="26"/>
      <c r="O28" s="26"/>
    </row>
    <row r="29" spans="1:15" x14ac:dyDescent="0.25">
      <c r="A29" s="27"/>
      <c r="B29" s="27"/>
      <c r="C29" s="26"/>
      <c r="D29" s="26"/>
      <c r="E29" s="26"/>
      <c r="F29" s="26"/>
      <c r="G29" s="26"/>
      <c r="H29" s="26"/>
      <c r="I29" s="26"/>
      <c r="J29" s="26"/>
      <c r="K29" s="26"/>
      <c r="L29" s="26"/>
      <c r="M29" s="26"/>
      <c r="N29" s="26"/>
      <c r="O29" s="26"/>
    </row>
    <row r="30" spans="1:15" x14ac:dyDescent="0.25">
      <c r="A30" s="27"/>
      <c r="B30" s="27"/>
      <c r="C30" s="26"/>
      <c r="D30" s="26"/>
      <c r="E30" s="26"/>
      <c r="F30" s="26"/>
      <c r="G30" s="26"/>
      <c r="H30" s="26"/>
      <c r="I30" s="26"/>
      <c r="J30" s="26"/>
      <c r="K30" s="26"/>
      <c r="L30" s="26"/>
      <c r="M30" s="26"/>
      <c r="N30" s="26"/>
      <c r="O30" s="26"/>
    </row>
    <row r="31" spans="1:15" x14ac:dyDescent="0.25">
      <c r="A31" s="27"/>
      <c r="B31" s="27"/>
      <c r="C31" s="26"/>
      <c r="D31" s="26"/>
      <c r="E31" s="26"/>
      <c r="F31" s="26"/>
      <c r="G31" s="26"/>
      <c r="H31" s="26"/>
      <c r="I31" s="26"/>
      <c r="J31" s="26"/>
      <c r="K31" s="26"/>
      <c r="L31" s="26"/>
      <c r="M31" s="26"/>
      <c r="N31" s="26"/>
      <c r="O31" s="26"/>
    </row>
    <row r="32" spans="1:15" x14ac:dyDescent="0.25">
      <c r="A32" s="27"/>
      <c r="B32" s="27"/>
      <c r="C32" s="26"/>
      <c r="D32" s="26"/>
      <c r="E32" s="26"/>
      <c r="F32" s="26"/>
      <c r="G32" s="26"/>
      <c r="H32" s="26"/>
      <c r="I32" s="26"/>
      <c r="J32" s="26"/>
      <c r="K32" s="26"/>
      <c r="L32" s="26"/>
      <c r="M32" s="26"/>
      <c r="N32" s="26"/>
      <c r="O32" s="26"/>
    </row>
    <row r="33" spans="1:15" x14ac:dyDescent="0.25">
      <c r="A33" s="25"/>
      <c r="B33" s="25"/>
      <c r="C33" s="25"/>
      <c r="D33" s="25"/>
      <c r="E33" s="25"/>
      <c r="F33" s="25"/>
      <c r="G33" s="25"/>
      <c r="H33" s="25"/>
      <c r="I33" s="25"/>
      <c r="J33" s="25"/>
      <c r="K33" s="25"/>
      <c r="L33" s="25"/>
      <c r="M33" s="25"/>
      <c r="N33" s="25"/>
      <c r="O33" s="2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1600-85EB-42E9-A033-28E64F5127E9}">
  <sheetPr>
    <tabColor theme="9" tint="-0.749992370372631"/>
  </sheetPr>
  <dimension ref="B2:R21"/>
  <sheetViews>
    <sheetView showGridLines="0" workbookViewId="0">
      <selection activeCell="B5" sqref="B5:G9"/>
    </sheetView>
  </sheetViews>
  <sheetFormatPr baseColWidth="10" defaultRowHeight="15" x14ac:dyDescent="0.25"/>
  <cols>
    <col min="1" max="1" width="5.5703125" customWidth="1"/>
    <col min="2" max="2" width="39.85546875" customWidth="1"/>
    <col min="3" max="3" width="16" customWidth="1"/>
    <col min="4" max="4" width="14.28515625" customWidth="1"/>
    <col min="5" max="5" width="16" customWidth="1"/>
    <col min="6" max="6" width="11.7109375" bestFit="1" customWidth="1"/>
    <col min="8" max="8" width="6.140625" customWidth="1"/>
    <col min="9" max="9" width="7.7109375" customWidth="1"/>
    <col min="10" max="10" width="12.85546875" customWidth="1"/>
    <col min="12" max="12" width="12.42578125" customWidth="1"/>
    <col min="13" max="13" width="13.42578125" customWidth="1"/>
    <col min="15" max="15" width="9.140625" customWidth="1"/>
    <col min="16" max="16" width="10" customWidth="1"/>
    <col min="17" max="17" width="7.140625" customWidth="1"/>
    <col min="18" max="18" width="12" customWidth="1"/>
  </cols>
  <sheetData>
    <row r="2" spans="2:18" x14ac:dyDescent="0.25">
      <c r="B2" s="34"/>
      <c r="C2" s="34"/>
      <c r="D2" s="34"/>
      <c r="E2" s="34"/>
    </row>
    <row r="3" spans="2:18" x14ac:dyDescent="0.25">
      <c r="B3" s="3" t="s">
        <v>95</v>
      </c>
      <c r="C3" s="35" t="str">
        <f ca="1">_xlfn.FORMULATEXT(B15)</f>
        <v>=GPT_TABLE(B5)</v>
      </c>
    </row>
    <row r="4" spans="2:18" ht="27" x14ac:dyDescent="0.25">
      <c r="B4" s="112" t="s">
        <v>93</v>
      </c>
      <c r="C4" s="112"/>
      <c r="D4" s="112"/>
      <c r="E4" s="112"/>
      <c r="F4" s="112"/>
      <c r="G4" s="112"/>
      <c r="I4" s="69" t="s">
        <v>0</v>
      </c>
      <c r="J4" s="69" t="s">
        <v>1</v>
      </c>
      <c r="K4" s="70" t="s">
        <v>2</v>
      </c>
      <c r="L4" s="70" t="s">
        <v>3</v>
      </c>
      <c r="M4" s="69" t="s">
        <v>4</v>
      </c>
      <c r="N4" s="70" t="s">
        <v>39</v>
      </c>
      <c r="O4" s="69" t="s">
        <v>5</v>
      </c>
      <c r="P4" s="69" t="s">
        <v>8</v>
      </c>
      <c r="Q4" s="70" t="s">
        <v>10</v>
      </c>
      <c r="R4" s="69" t="s">
        <v>12</v>
      </c>
    </row>
    <row r="5" spans="2:18" x14ac:dyDescent="0.25">
      <c r="B5" s="113" t="s">
        <v>193</v>
      </c>
      <c r="C5" s="113"/>
      <c r="D5" s="113"/>
      <c r="E5" s="113"/>
      <c r="F5" s="113"/>
      <c r="G5" s="113"/>
      <c r="I5" s="43">
        <v>1</v>
      </c>
      <c r="J5" s="44">
        <v>261715.85499999998</v>
      </c>
      <c r="K5" s="44">
        <v>32678.887999999999</v>
      </c>
      <c r="L5" s="45">
        <v>0</v>
      </c>
      <c r="M5" s="45">
        <v>294394.74299999996</v>
      </c>
      <c r="N5" s="46">
        <v>45824</v>
      </c>
      <c r="O5" s="47" t="s">
        <v>88</v>
      </c>
      <c r="P5" s="74" t="s">
        <v>9</v>
      </c>
      <c r="Q5" s="48">
        <v>3</v>
      </c>
      <c r="R5" s="49" t="s">
        <v>48</v>
      </c>
    </row>
    <row r="6" spans="2:18" x14ac:dyDescent="0.25">
      <c r="B6" s="114"/>
      <c r="C6" s="114"/>
      <c r="D6" s="114"/>
      <c r="E6" s="114"/>
      <c r="F6" s="114"/>
      <c r="G6" s="114"/>
      <c r="I6" s="2">
        <v>1</v>
      </c>
      <c r="J6" s="4">
        <v>261715.85499999998</v>
      </c>
      <c r="K6" s="4">
        <v>32678.887999999999</v>
      </c>
      <c r="L6" s="1">
        <v>39252.629999999997</v>
      </c>
      <c r="M6" s="1">
        <v>333647.37299999996</v>
      </c>
      <c r="N6" s="8">
        <v>45834</v>
      </c>
      <c r="O6" s="50" t="s">
        <v>88</v>
      </c>
      <c r="P6" s="75" t="s">
        <v>7</v>
      </c>
      <c r="Q6" s="51">
        <v>3</v>
      </c>
      <c r="R6" s="9" t="s">
        <v>48</v>
      </c>
    </row>
    <row r="7" spans="2:18" x14ac:dyDescent="0.25">
      <c r="B7" s="114"/>
      <c r="C7" s="114"/>
      <c r="D7" s="114"/>
      <c r="E7" s="114"/>
      <c r="F7" s="114"/>
      <c r="G7" s="114"/>
      <c r="I7" s="43">
        <v>2</v>
      </c>
      <c r="J7" s="44">
        <v>272184.489</v>
      </c>
      <c r="K7" s="44">
        <v>22210.254000000001</v>
      </c>
      <c r="L7" s="45">
        <v>0</v>
      </c>
      <c r="M7" s="45">
        <v>294394.74300000002</v>
      </c>
      <c r="N7" s="46">
        <v>45854</v>
      </c>
      <c r="O7" s="47" t="s">
        <v>88</v>
      </c>
      <c r="P7" s="74" t="s">
        <v>6</v>
      </c>
      <c r="Q7" s="48">
        <v>3</v>
      </c>
      <c r="R7" s="49" t="s">
        <v>48</v>
      </c>
    </row>
    <row r="8" spans="2:18" x14ac:dyDescent="0.25">
      <c r="B8" s="114"/>
      <c r="C8" s="114"/>
      <c r="D8" s="114"/>
      <c r="E8" s="114"/>
      <c r="F8" s="114"/>
      <c r="G8" s="114"/>
      <c r="I8" s="2">
        <v>2</v>
      </c>
      <c r="J8" s="4">
        <v>272184.489</v>
      </c>
      <c r="K8" s="4">
        <v>22210.254000000001</v>
      </c>
      <c r="L8" s="1">
        <v>39252.629999999997</v>
      </c>
      <c r="M8" s="1">
        <v>333647.37300000002</v>
      </c>
      <c r="N8" s="8">
        <v>45864</v>
      </c>
      <c r="O8" s="50" t="s">
        <v>88</v>
      </c>
      <c r="P8" s="75" t="s">
        <v>7</v>
      </c>
      <c r="Q8" s="51">
        <v>3</v>
      </c>
      <c r="R8" s="9" t="s">
        <v>48</v>
      </c>
    </row>
    <row r="9" spans="2:18" x14ac:dyDescent="0.25">
      <c r="B9" s="114"/>
      <c r="C9" s="114"/>
      <c r="D9" s="114"/>
      <c r="E9" s="114"/>
      <c r="F9" s="114"/>
      <c r="G9" s="114"/>
      <c r="I9" s="60">
        <v>3</v>
      </c>
      <c r="J9" s="61">
        <v>283071.86800000002</v>
      </c>
      <c r="K9" s="61">
        <v>11322.875</v>
      </c>
      <c r="L9" s="62">
        <v>0</v>
      </c>
      <c r="M9" s="62">
        <v>294394.74300000002</v>
      </c>
      <c r="N9" s="63">
        <v>45885</v>
      </c>
      <c r="O9" s="64" t="s">
        <v>88</v>
      </c>
      <c r="P9" s="74" t="s">
        <v>6</v>
      </c>
      <c r="Q9" s="48">
        <v>3</v>
      </c>
      <c r="R9" s="49" t="s">
        <v>48</v>
      </c>
    </row>
    <row r="10" spans="2:18" x14ac:dyDescent="0.25">
      <c r="I10" s="2">
        <v>3</v>
      </c>
      <c r="J10" s="4">
        <v>283071.86800000002</v>
      </c>
      <c r="K10" s="4">
        <v>11322.875</v>
      </c>
      <c r="L10" s="1">
        <v>39252.629999999997</v>
      </c>
      <c r="M10" s="1">
        <v>333647.37300000002</v>
      </c>
      <c r="N10" s="8">
        <v>45895</v>
      </c>
      <c r="O10" s="50" t="s">
        <v>88</v>
      </c>
      <c r="P10" s="75" t="s">
        <v>7</v>
      </c>
      <c r="Q10" s="51">
        <v>3</v>
      </c>
      <c r="R10" s="9" t="s">
        <v>48</v>
      </c>
    </row>
    <row r="11" spans="2:18" x14ac:dyDescent="0.25">
      <c r="J11" s="72">
        <v>1633944.4240000001</v>
      </c>
      <c r="K11" s="73">
        <v>132424.03399999999</v>
      </c>
      <c r="L11" s="73">
        <v>117757.88999999998</v>
      </c>
      <c r="M11" s="73">
        <v>1884126.3479999998</v>
      </c>
      <c r="N11" s="71"/>
      <c r="O11" s="71"/>
      <c r="P11" s="71"/>
      <c r="Q11" s="71"/>
      <c r="R11" s="71"/>
    </row>
    <row r="13" spans="2:18" x14ac:dyDescent="0.25">
      <c r="B13" s="65"/>
      <c r="C13" s="65"/>
      <c r="D13" s="65"/>
      <c r="I13" s="71"/>
    </row>
    <row r="14" spans="2:18" x14ac:dyDescent="0.25">
      <c r="B14" s="65"/>
      <c r="C14" s="65"/>
      <c r="D14" s="65"/>
    </row>
    <row r="15" spans="2:18" x14ac:dyDescent="0.25">
      <c r="B15" s="88" t="str" cm="1">
        <f t="array" ref="B15:D21">_xldudf_GPT_TABLE(B5)</f>
        <v>Cuenta</v>
      </c>
      <c r="C15" s="88" t="str">
        <v>Debe</v>
      </c>
      <c r="D15" s="88" t="str">
        <v>Haber</v>
      </c>
    </row>
    <row r="16" spans="2:18" ht="15.75" customHeight="1" x14ac:dyDescent="0.25">
      <c r="B16" t="str">
        <v>Impuestos a Pagar</v>
      </c>
      <c r="C16" t="str">
        <v>1.633.944,42</v>
      </c>
      <c r="D16" t="str">
        <v/>
      </c>
    </row>
    <row r="17" spans="2:4" ht="18" customHeight="1" x14ac:dyDescent="0.25">
      <c r="B17" t="str">
        <v>Deuda por Plan de Facilidades de Pago</v>
      </c>
      <c r="C17" t="str">
        <v/>
      </c>
      <c r="D17" t="str">
        <v>1.633.944,42</v>
      </c>
    </row>
    <row r="18" spans="2:4" x14ac:dyDescent="0.25">
      <c r="B18" s="88" t="str">
        <v>Cuenta</v>
      </c>
      <c r="C18" s="88" t="str">
        <v>Debe</v>
      </c>
      <c r="D18" s="88" t="str">
        <v>Haber</v>
      </c>
    </row>
    <row r="19" spans="2:4" x14ac:dyDescent="0.25">
      <c r="B19" t="str">
        <v>Deuda por Plan de Facilidades de Pago</v>
      </c>
      <c r="C19" t="str">
        <v>283.071,87</v>
      </c>
      <c r="D19" t="str">
        <v/>
      </c>
    </row>
    <row r="20" spans="2:4" x14ac:dyDescent="0.25">
      <c r="B20" t="str">
        <v>Intereses por Plan de Facilidades de Pago</v>
      </c>
      <c r="C20" t="str">
        <v>11.322,88</v>
      </c>
      <c r="D20" t="str">
        <v/>
      </c>
    </row>
    <row r="21" spans="2:4" x14ac:dyDescent="0.25">
      <c r="B21" t="str">
        <v>Banco</v>
      </c>
      <c r="C21" t="str">
        <v/>
      </c>
      <c r="D21" t="str">
        <v>294.394,75</v>
      </c>
    </row>
  </sheetData>
  <mergeCells count="2">
    <mergeCell ref="B4:G4"/>
    <mergeCell ref="B5:G9"/>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E80D-7597-47ED-944A-751622A75573}">
  <sheetPr>
    <tabColor theme="9" tint="-0.249977111117893"/>
  </sheetPr>
  <dimension ref="B2:K15"/>
  <sheetViews>
    <sheetView showGridLines="0" topLeftCell="B4" workbookViewId="0">
      <selection activeCell="G4" sqref="G4"/>
    </sheetView>
  </sheetViews>
  <sheetFormatPr baseColWidth="10" defaultRowHeight="15" x14ac:dyDescent="0.25"/>
  <cols>
    <col min="3" max="3" width="14.85546875" customWidth="1"/>
    <col min="4" max="4" width="26.85546875" customWidth="1"/>
    <col min="6" max="6" width="12.5703125" bestFit="1" customWidth="1"/>
    <col min="7" max="7" width="29.140625" customWidth="1"/>
    <col min="8" max="8" width="9.42578125" customWidth="1"/>
    <col min="9" max="9" width="15" customWidth="1"/>
  </cols>
  <sheetData>
    <row r="2" spans="2:11" x14ac:dyDescent="0.25">
      <c r="B2" s="115" t="str">
        <f ca="1">_xlfn.FORMULATEXT(I5)</f>
        <v>=GPT_CLASSIFY(H5;$C$10:$D$12)</v>
      </c>
      <c r="C2" s="115"/>
      <c r="D2" s="115"/>
      <c r="E2" s="115"/>
      <c r="F2" s="115"/>
      <c r="G2" s="115"/>
      <c r="H2" s="36"/>
    </row>
    <row r="3" spans="2:11" x14ac:dyDescent="0.25">
      <c r="C3" s="42"/>
      <c r="D3" s="42"/>
      <c r="E3" s="42"/>
      <c r="F3" s="42"/>
      <c r="G3" s="42"/>
      <c r="H3" s="36"/>
    </row>
    <row r="4" spans="2:11" ht="30" x14ac:dyDescent="0.25">
      <c r="B4" s="66" t="s">
        <v>5</v>
      </c>
      <c r="C4" s="66" t="s">
        <v>106</v>
      </c>
      <c r="D4" s="66" t="s">
        <v>107</v>
      </c>
      <c r="E4" s="66" t="s">
        <v>133</v>
      </c>
      <c r="F4" s="66" t="s">
        <v>108</v>
      </c>
      <c r="G4" s="66" t="s">
        <v>99</v>
      </c>
      <c r="H4" s="66" t="s">
        <v>112</v>
      </c>
      <c r="I4" s="66" t="s">
        <v>109</v>
      </c>
      <c r="K4" s="10"/>
    </row>
    <row r="5" spans="2:11" ht="45" customHeight="1" x14ac:dyDescent="0.25">
      <c r="B5" s="37" t="s">
        <v>161</v>
      </c>
      <c r="C5" s="38" t="s">
        <v>164</v>
      </c>
      <c r="D5" s="38" t="s">
        <v>100</v>
      </c>
      <c r="E5" s="39">
        <v>46053</v>
      </c>
      <c r="F5" s="40">
        <v>1200000</v>
      </c>
      <c r="G5" s="38" t="s">
        <v>101</v>
      </c>
      <c r="H5" s="76">
        <f ca="1">E5-TODAY()</f>
        <v>-149</v>
      </c>
      <c r="I5" s="77" t="e" cm="1">
        <f t="array" aca="1" ref="I5" ca="1">_xldudf_GPT_CLASSIFY(H5,$C$10:$D$12)</f>
        <v>#VALUE!</v>
      </c>
    </row>
    <row r="6" spans="2:11" ht="50.25" customHeight="1" x14ac:dyDescent="0.25">
      <c r="B6" s="37" t="s">
        <v>162</v>
      </c>
      <c r="C6" s="38" t="s">
        <v>165</v>
      </c>
      <c r="D6" s="38" t="s">
        <v>102</v>
      </c>
      <c r="E6" s="39">
        <v>46201</v>
      </c>
      <c r="F6" s="40">
        <v>3500000</v>
      </c>
      <c r="G6" s="38" t="s">
        <v>103</v>
      </c>
      <c r="H6" s="76">
        <f t="shared" ref="H6:H7" ca="1" si="0">E6-TODAY()</f>
        <v>-1</v>
      </c>
      <c r="I6" s="77" t="e" cm="1">
        <f t="array" aca="1" ref="I6" ca="1">_xldudf_GPT_CLASSIFY(H6,$C$10:$D$12)</f>
        <v>#VALUE!</v>
      </c>
    </row>
    <row r="7" spans="2:11" ht="45" customHeight="1" x14ac:dyDescent="0.25">
      <c r="B7" s="37" t="s">
        <v>163</v>
      </c>
      <c r="C7" s="38" t="s">
        <v>166</v>
      </c>
      <c r="D7" s="38" t="s">
        <v>104</v>
      </c>
      <c r="E7" s="39">
        <v>46157</v>
      </c>
      <c r="F7" s="40">
        <v>350</v>
      </c>
      <c r="G7" s="38" t="s">
        <v>105</v>
      </c>
      <c r="H7" s="76">
        <f t="shared" ca="1" si="0"/>
        <v>-45</v>
      </c>
      <c r="I7" s="77" t="e" cm="1">
        <f t="array" aca="1" ref="I7" ca="1">_xldudf_GPT_CLASSIFY(H7,$C$10:$D$12)</f>
        <v>#VALUE!</v>
      </c>
    </row>
    <row r="9" spans="2:11" x14ac:dyDescent="0.25">
      <c r="C9" s="67" t="s">
        <v>110</v>
      </c>
      <c r="D9" s="68"/>
    </row>
    <row r="10" spans="2:11" ht="18" customHeight="1" x14ac:dyDescent="0.25">
      <c r="C10" t="s">
        <v>113</v>
      </c>
      <c r="D10" t="s">
        <v>116</v>
      </c>
      <c r="H10" s="41"/>
    </row>
    <row r="11" spans="2:11" ht="18" customHeight="1" x14ac:dyDescent="0.25">
      <c r="C11" t="s">
        <v>114</v>
      </c>
      <c r="D11" t="s">
        <v>128</v>
      </c>
      <c r="H11" s="41"/>
    </row>
    <row r="12" spans="2:11" ht="18" customHeight="1" x14ac:dyDescent="0.25">
      <c r="C12" t="s">
        <v>115</v>
      </c>
      <c r="D12" t="s">
        <v>117</v>
      </c>
      <c r="H12" s="41"/>
      <c r="K12" s="41"/>
    </row>
    <row r="13" spans="2:11" x14ac:dyDescent="0.25">
      <c r="H13" s="41"/>
      <c r="K13" s="41"/>
    </row>
    <row r="14" spans="2:11" x14ac:dyDescent="0.25">
      <c r="K14" s="41"/>
    </row>
    <row r="15" spans="2:11" x14ac:dyDescent="0.25">
      <c r="C15" t="s">
        <v>111</v>
      </c>
      <c r="K15" s="41"/>
    </row>
  </sheetData>
  <autoFilter ref="B4:I4" xr:uid="{960AE80D-7597-47ED-944A-751622A75573}"/>
  <mergeCells count="1">
    <mergeCell ref="B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3DF6-CC26-4890-9772-D05F15707C4E}">
  <dimension ref="B1:B6"/>
  <sheetViews>
    <sheetView showGridLines="0" topLeftCell="A2" workbookViewId="0">
      <selection activeCell="D7" sqref="D7"/>
    </sheetView>
  </sheetViews>
  <sheetFormatPr baseColWidth="10" defaultRowHeight="15" x14ac:dyDescent="0.25"/>
  <cols>
    <col min="2" max="2" width="107.7109375" customWidth="1"/>
  </cols>
  <sheetData>
    <row r="1" spans="2:2" ht="30" customHeight="1" x14ac:dyDescent="0.25">
      <c r="B1" t="s">
        <v>250</v>
      </c>
    </row>
    <row r="2" spans="2:2" ht="138.75" customHeight="1" x14ac:dyDescent="0.25">
      <c r="B2" s="78" t="s">
        <v>249</v>
      </c>
    </row>
    <row r="5" spans="2:2" x14ac:dyDescent="0.25">
      <c r="B5" t="s">
        <v>252</v>
      </c>
    </row>
    <row r="6" spans="2:2" ht="75" x14ac:dyDescent="0.25">
      <c r="B6" s="78" t="s">
        <v>251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F7464-B0EA-43B2-8E4E-28DFEE63BB27}">
  <dimension ref="AV4199:XAP1048049"/>
  <sheetViews>
    <sheetView workbookViewId="0"/>
  </sheetViews>
  <sheetFormatPr baseColWidth="10" defaultRowHeight="15" x14ac:dyDescent="0.25"/>
  <sheetData>
    <row r="4199" spans="10156:10156" x14ac:dyDescent="0.25">
      <c r="NZP4199" t="s">
        <v>217</v>
      </c>
    </row>
    <row r="10511" spans="15280:15280" x14ac:dyDescent="0.25">
      <c r="VOR10511" t="s">
        <v>219</v>
      </c>
    </row>
    <row r="10818" spans="11389:11389" x14ac:dyDescent="0.25">
      <c r="PVA10818" t="s">
        <v>200</v>
      </c>
    </row>
    <row r="12075" spans="14223:14223" x14ac:dyDescent="0.25">
      <c r="UAA12075" t="s">
        <v>147</v>
      </c>
    </row>
    <row r="49031" spans="886:886" x14ac:dyDescent="0.25">
      <c r="AHB49031" t="s">
        <v>211</v>
      </c>
    </row>
    <row r="50926" spans="163:163" x14ac:dyDescent="0.25">
      <c r="FG50926" t="s">
        <v>174</v>
      </c>
    </row>
    <row r="51383" spans="10836:10836" x14ac:dyDescent="0.25">
      <c r="OZT51383" t="s">
        <v>247</v>
      </c>
    </row>
    <row r="68639" spans="1351:1351" x14ac:dyDescent="0.25">
      <c r="AYY68639" t="s">
        <v>136</v>
      </c>
    </row>
    <row r="73339" spans="9168:9168" x14ac:dyDescent="0.25">
      <c r="MNP73339" t="s">
        <v>119</v>
      </c>
    </row>
    <row r="84184" spans="9463:9463" x14ac:dyDescent="0.25">
      <c r="MYY84184" t="s">
        <v>131</v>
      </c>
    </row>
    <row r="101529" spans="2654:2654" x14ac:dyDescent="0.25">
      <c r="CXB101529" t="s">
        <v>153</v>
      </c>
    </row>
    <row r="111634" spans="16019:16019" x14ac:dyDescent="0.25">
      <c r="WRC111634" t="s">
        <v>140</v>
      </c>
    </row>
    <row r="129503" spans="16078:16078" x14ac:dyDescent="0.25">
      <c r="WTJ129503" t="s">
        <v>209</v>
      </c>
    </row>
    <row r="137494" spans="14205:14205" x14ac:dyDescent="0.25">
      <c r="TZI137494" t="s">
        <v>246</v>
      </c>
    </row>
    <row r="173009" spans="13784:13784" x14ac:dyDescent="0.25">
      <c r="TJD173009" t="s">
        <v>148</v>
      </c>
    </row>
    <row r="182276" spans="1040:1040" x14ac:dyDescent="0.25">
      <c r="AMZ182276" t="s">
        <v>135</v>
      </c>
    </row>
    <row r="191442" spans="11047:11047" x14ac:dyDescent="0.25">
      <c r="PHW191442" t="s">
        <v>234</v>
      </c>
    </row>
    <row r="197961" spans="14231:14231" x14ac:dyDescent="0.25">
      <c r="UAI197961" t="s">
        <v>151</v>
      </c>
    </row>
    <row r="232828" spans="9476:9476" x14ac:dyDescent="0.25">
      <c r="MZL232828" t="s">
        <v>210</v>
      </c>
    </row>
    <row r="247210" spans="8754:8754" x14ac:dyDescent="0.25">
      <c r="LXR247210" t="s">
        <v>221</v>
      </c>
    </row>
    <row r="255357" spans="14707:14707" x14ac:dyDescent="0.25">
      <c r="USQ255357" t="s">
        <v>173</v>
      </c>
    </row>
    <row r="255507" spans="7142:7142" x14ac:dyDescent="0.25">
      <c r="JNR255507" t="s">
        <v>139</v>
      </c>
    </row>
    <row r="269054" spans="5611:5611" x14ac:dyDescent="0.25">
      <c r="HGU269054" t="s">
        <v>199</v>
      </c>
    </row>
    <row r="269295" spans="16208:16208" x14ac:dyDescent="0.25">
      <c r="WYJ269295" t="s">
        <v>170</v>
      </c>
    </row>
    <row r="291870" spans="15597:15597" x14ac:dyDescent="0.25">
      <c r="WAW291870" t="s">
        <v>171</v>
      </c>
    </row>
    <row r="303399" spans="14685:14685" x14ac:dyDescent="0.25">
      <c r="URU303399" t="s">
        <v>206</v>
      </c>
    </row>
    <row r="314746" spans="4831:4831" x14ac:dyDescent="0.25">
      <c r="GCU314746" t="s">
        <v>98</v>
      </c>
    </row>
    <row r="345936" spans="48:48" x14ac:dyDescent="0.25">
      <c r="AV345936" t="s">
        <v>118</v>
      </c>
    </row>
    <row r="358726" spans="10011:10011" x14ac:dyDescent="0.25">
      <c r="NUA358726" t="s">
        <v>121</v>
      </c>
    </row>
    <row r="386336" spans="7347:7347" x14ac:dyDescent="0.25">
      <c r="JVO386336" t="s">
        <v>129</v>
      </c>
    </row>
    <row r="395516" spans="1222:1222" x14ac:dyDescent="0.25">
      <c r="ATZ395516" t="s">
        <v>143</v>
      </c>
    </row>
    <row r="412299" spans="5971:5971" x14ac:dyDescent="0.25">
      <c r="HUQ412299" t="s">
        <v>218</v>
      </c>
    </row>
    <row r="425042" spans="10532:10532" x14ac:dyDescent="0.25">
      <c r="OOB425042" t="s">
        <v>203</v>
      </c>
    </row>
    <row r="427800" spans="15721:15721" x14ac:dyDescent="0.25">
      <c r="WFQ427800" t="s">
        <v>176</v>
      </c>
    </row>
    <row r="452203" spans="3081:3081" x14ac:dyDescent="0.25">
      <c r="DNM452203" t="s">
        <v>96</v>
      </c>
    </row>
    <row r="454436" spans="15883:15883" x14ac:dyDescent="0.25">
      <c r="WLW454436" t="s">
        <v>150</v>
      </c>
    </row>
    <row r="458146" spans="8242:8242" x14ac:dyDescent="0.25">
      <c r="LDZ458146" t="s">
        <v>122</v>
      </c>
    </row>
    <row r="461571" spans="15244:15244" x14ac:dyDescent="0.25">
      <c r="VNH461571" t="s">
        <v>94</v>
      </c>
    </row>
    <row r="477926" spans="11949:11949" x14ac:dyDescent="0.25">
      <c r="QQO477926" t="s">
        <v>144</v>
      </c>
    </row>
    <row r="479132" spans="1255:1255" x14ac:dyDescent="0.25">
      <c r="AVG479132" t="s">
        <v>208</v>
      </c>
    </row>
    <row r="498270" spans="11209:11209" x14ac:dyDescent="0.25">
      <c r="POC498270" t="s">
        <v>195</v>
      </c>
    </row>
    <row r="511437" spans="6657:6657" x14ac:dyDescent="0.25">
      <c r="IVA511437" t="s">
        <v>177</v>
      </c>
    </row>
    <row r="511856" spans="14619:14619" x14ac:dyDescent="0.25">
      <c r="UPG511856" t="s">
        <v>225</v>
      </c>
    </row>
    <row r="514998" spans="11193:11193" x14ac:dyDescent="0.25">
      <c r="PNM514998" t="s">
        <v>123</v>
      </c>
    </row>
    <row r="531007" spans="4398:4398" x14ac:dyDescent="0.25">
      <c r="FMD531007" t="s">
        <v>248</v>
      </c>
    </row>
    <row r="553752" spans="14647:14647" x14ac:dyDescent="0.25">
      <c r="UQI553752" t="s">
        <v>198</v>
      </c>
    </row>
    <row r="562732" spans="4750:4750" x14ac:dyDescent="0.25">
      <c r="FZR562732" t="s">
        <v>167</v>
      </c>
    </row>
    <row r="577788" spans="8789:8789" x14ac:dyDescent="0.25">
      <c r="LZA577788" t="s">
        <v>126</v>
      </c>
    </row>
    <row r="584673" spans="150:150" x14ac:dyDescent="0.25">
      <c r="ET584673" t="s">
        <v>156</v>
      </c>
    </row>
    <row r="587617" spans="14867:14867" x14ac:dyDescent="0.25">
      <c r="UYU587617" t="s">
        <v>223</v>
      </c>
    </row>
    <row r="588721" spans="6691:6691" x14ac:dyDescent="0.25">
      <c r="IWI588721" t="s">
        <v>168</v>
      </c>
    </row>
    <row r="589331" spans="16266:16266" x14ac:dyDescent="0.25">
      <c r="XAP589331" t="s">
        <v>220</v>
      </c>
    </row>
    <row r="599405" spans="13369:13369" x14ac:dyDescent="0.25">
      <c r="STE599405" t="s">
        <v>127</v>
      </c>
    </row>
    <row r="600149" spans="6705:6705" x14ac:dyDescent="0.25">
      <c r="IWW600149" t="s">
        <v>97</v>
      </c>
    </row>
    <row r="604735" spans="2038:2038" x14ac:dyDescent="0.25">
      <c r="BZJ604735" t="s">
        <v>226</v>
      </c>
    </row>
    <row r="624069" spans="7693:7693" x14ac:dyDescent="0.25">
      <c r="KIW624069" t="s">
        <v>169</v>
      </c>
    </row>
    <row r="638656" spans="12340:12340" x14ac:dyDescent="0.25">
      <c r="RFP638656" t="s">
        <v>130</v>
      </c>
    </row>
    <row r="675611" spans="8375:8375" x14ac:dyDescent="0.25">
      <c r="LJC675611" t="s">
        <v>244</v>
      </c>
    </row>
    <row r="677448" spans="8230:8230" x14ac:dyDescent="0.25">
      <c r="LDN677448" t="s">
        <v>207</v>
      </c>
    </row>
    <row r="685707" spans="6451:6451" x14ac:dyDescent="0.25">
      <c r="INC685707" t="s">
        <v>152</v>
      </c>
    </row>
    <row r="687314" spans="6515:6515" x14ac:dyDescent="0.25">
      <c r="IPO687314" t="s">
        <v>137</v>
      </c>
    </row>
    <row r="691514" spans="8729:8729" x14ac:dyDescent="0.25">
      <c r="LWS691514" t="s">
        <v>132</v>
      </c>
    </row>
    <row r="695224" spans="7021:7021" x14ac:dyDescent="0.25">
      <c r="JJA695224" t="s">
        <v>236</v>
      </c>
    </row>
    <row r="713569" spans="10761:10761" x14ac:dyDescent="0.25">
      <c r="OWW713569" t="s">
        <v>159</v>
      </c>
    </row>
    <row r="724789" spans="9816:9816" x14ac:dyDescent="0.25">
      <c r="NMN724789" t="s">
        <v>245</v>
      </c>
    </row>
    <row r="730138" spans="7149:7149" x14ac:dyDescent="0.25">
      <c r="JNY730138" t="s">
        <v>216</v>
      </c>
    </row>
    <row r="735802" spans="9325:9325" x14ac:dyDescent="0.25">
      <c r="MTQ735802" t="s">
        <v>149</v>
      </c>
    </row>
    <row r="748360" spans="10689:10689" x14ac:dyDescent="0.25">
      <c r="OUC748360" t="s">
        <v>138</v>
      </c>
    </row>
    <row r="760704" spans="11570:11570" x14ac:dyDescent="0.25">
      <c r="QBZ760704" t="s">
        <v>224</v>
      </c>
    </row>
    <row r="763118" spans="2238:2238" x14ac:dyDescent="0.25">
      <c r="CHB763118" t="s">
        <v>146</v>
      </c>
    </row>
    <row r="800510" spans="8889:8889" x14ac:dyDescent="0.25">
      <c r="MCW800510" t="s">
        <v>196</v>
      </c>
    </row>
    <row r="808335" spans="14508:14508" x14ac:dyDescent="0.25">
      <c r="UKZ808335" t="s">
        <v>145</v>
      </c>
    </row>
    <row r="827373" spans="425:425" x14ac:dyDescent="0.25">
      <c r="PI827373" t="s">
        <v>158</v>
      </c>
    </row>
    <row r="837708" spans="6344:6344" x14ac:dyDescent="0.25">
      <c r="IIZ837708" t="s">
        <v>172</v>
      </c>
    </row>
    <row r="839938" spans="8258:8258" x14ac:dyDescent="0.25">
      <c r="LEP839938" t="s">
        <v>197</v>
      </c>
    </row>
    <row r="849691" spans="4910:4910" x14ac:dyDescent="0.25">
      <c r="GFV849691" t="s">
        <v>160</v>
      </c>
    </row>
    <row r="860096" spans="7924:7924" x14ac:dyDescent="0.25">
      <c r="KRT860096" t="s">
        <v>125</v>
      </c>
    </row>
    <row r="863595" spans="8058:8058" x14ac:dyDescent="0.25">
      <c r="KWX863595" t="s">
        <v>141</v>
      </c>
    </row>
    <row r="885906" spans="14128:14128" x14ac:dyDescent="0.25">
      <c r="TWJ885906" t="s">
        <v>235</v>
      </c>
    </row>
    <row r="895735" spans="12706:12706" x14ac:dyDescent="0.25">
      <c r="RTR895735" t="s">
        <v>194</v>
      </c>
    </row>
    <row r="900321" spans="7587:7587" x14ac:dyDescent="0.25">
      <c r="KEU900321" t="s">
        <v>124</v>
      </c>
    </row>
    <row r="940414" spans="15165:15165" x14ac:dyDescent="0.25">
      <c r="VKG940414" t="s">
        <v>157</v>
      </c>
    </row>
    <row r="945901" spans="5297:5297" x14ac:dyDescent="0.25">
      <c r="GUS945901" t="s">
        <v>134</v>
      </c>
    </row>
    <row r="949524" spans="9208:9208" x14ac:dyDescent="0.25">
      <c r="MPD949524" t="s">
        <v>202</v>
      </c>
    </row>
    <row r="954989" spans="6880:6880" x14ac:dyDescent="0.25">
      <c r="JDP954989" t="s">
        <v>120</v>
      </c>
    </row>
    <row r="974097" spans="5906:5906" x14ac:dyDescent="0.25">
      <c r="HSD974097" t="s">
        <v>222</v>
      </c>
    </row>
    <row r="984207" spans="3310:3310" x14ac:dyDescent="0.25">
      <c r="DWH984207" t="s">
        <v>175</v>
      </c>
    </row>
    <row r="1002473" spans="11130:11130" x14ac:dyDescent="0.25">
      <c r="PLB1002473" t="s">
        <v>142</v>
      </c>
    </row>
    <row r="1008338" spans="13487:13487" x14ac:dyDescent="0.25">
      <c r="SXS1008338" t="s">
        <v>227</v>
      </c>
    </row>
    <row r="1013843" spans="11296:11296" x14ac:dyDescent="0.25">
      <c r="PRL1013843" t="s">
        <v>212</v>
      </c>
    </row>
    <row r="1026028" spans="14780:14780" x14ac:dyDescent="0.25">
      <c r="UVL1026028" t="s">
        <v>154</v>
      </c>
    </row>
    <row r="1033792" spans="3761:3761" x14ac:dyDescent="0.25">
      <c r="ENQ1033792" t="s">
        <v>204</v>
      </c>
    </row>
    <row r="1048049" spans="942:942" x14ac:dyDescent="0.25">
      <c r="AJF1048049" t="s">
        <v>155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7C26-5C4F-426D-A30D-2BF1D8CFE895}">
  <dimension ref="B12:B53"/>
  <sheetViews>
    <sheetView showGridLines="0" topLeftCell="A7" workbookViewId="0">
      <selection activeCell="I12" sqref="I12"/>
    </sheetView>
  </sheetViews>
  <sheetFormatPr baseColWidth="10" defaultRowHeight="15" x14ac:dyDescent="0.25"/>
  <sheetData>
    <row r="12" spans="2:2" x14ac:dyDescent="0.25">
      <c r="B12" s="15" t="s">
        <v>178</v>
      </c>
    </row>
    <row r="13" spans="2:2" x14ac:dyDescent="0.25">
      <c r="B13" t="s">
        <v>192</v>
      </c>
    </row>
    <row r="33" spans="2:2" x14ac:dyDescent="0.25">
      <c r="B33" t="s">
        <v>179</v>
      </c>
    </row>
    <row r="34" spans="2:2" x14ac:dyDescent="0.25">
      <c r="B34" s="52"/>
    </row>
    <row r="35" spans="2:2" x14ac:dyDescent="0.25">
      <c r="B35" s="53" t="s">
        <v>180</v>
      </c>
    </row>
    <row r="36" spans="2:2" x14ac:dyDescent="0.25">
      <c r="B36" s="52" t="s">
        <v>181</v>
      </c>
    </row>
    <row r="37" spans="2:2" x14ac:dyDescent="0.25">
      <c r="B37" s="52"/>
    </row>
    <row r="38" spans="2:2" x14ac:dyDescent="0.25">
      <c r="B38" s="53" t="s">
        <v>182</v>
      </c>
    </row>
    <row r="39" spans="2:2" x14ac:dyDescent="0.25">
      <c r="B39" s="52" t="s">
        <v>183</v>
      </c>
    </row>
    <row r="40" spans="2:2" x14ac:dyDescent="0.25">
      <c r="B40" s="52"/>
    </row>
    <row r="41" spans="2:2" x14ac:dyDescent="0.25">
      <c r="B41" s="53" t="s">
        <v>184</v>
      </c>
    </row>
    <row r="42" spans="2:2" x14ac:dyDescent="0.25">
      <c r="B42" s="52" t="s">
        <v>185</v>
      </c>
    </row>
    <row r="43" spans="2:2" x14ac:dyDescent="0.25">
      <c r="B43" s="52"/>
    </row>
    <row r="44" spans="2:2" x14ac:dyDescent="0.25">
      <c r="B44" s="53" t="s">
        <v>186</v>
      </c>
    </row>
    <row r="45" spans="2:2" x14ac:dyDescent="0.25">
      <c r="B45" s="52" t="s">
        <v>187</v>
      </c>
    </row>
    <row r="47" spans="2:2" x14ac:dyDescent="0.25">
      <c r="B47" t="s">
        <v>188</v>
      </c>
    </row>
    <row r="48" spans="2:2" x14ac:dyDescent="0.25">
      <c r="B48" s="52"/>
    </row>
    <row r="49" spans="2:2" x14ac:dyDescent="0.25">
      <c r="B49" s="52" t="s">
        <v>189</v>
      </c>
    </row>
    <row r="50" spans="2:2" x14ac:dyDescent="0.25">
      <c r="B50" s="52"/>
    </row>
    <row r="51" spans="2:2" x14ac:dyDescent="0.25">
      <c r="B51" s="52" t="s">
        <v>190</v>
      </c>
    </row>
    <row r="52" spans="2:2" x14ac:dyDescent="0.25">
      <c r="B52" s="52"/>
    </row>
    <row r="53" spans="2:2" x14ac:dyDescent="0.25">
      <c r="B53" s="52" t="s">
        <v>191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FC630E-F5FB-46A7-A84A-7D966FDCE4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BD</vt:lpstr>
      <vt:lpstr>FUNCIONES DINAMICAS</vt:lpstr>
      <vt:lpstr>AUX</vt:lpstr>
      <vt:lpstr>DASHBOARD</vt:lpstr>
      <vt:lpstr>GPT_TABLE</vt:lpstr>
      <vt:lpstr>GPT_CLASSIFY</vt:lpstr>
      <vt:lpstr>PROMPT</vt:lpstr>
      <vt:lpst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 Victorian</dc:creator>
  <cp:lastModifiedBy>Nelly Gonzalez</cp:lastModifiedBy>
  <cp:lastPrinted>2025-07-06T15:06:53Z</cp:lastPrinted>
  <dcterms:created xsi:type="dcterms:W3CDTF">2024-12-27T13:11:34Z</dcterms:created>
  <dcterms:modified xsi:type="dcterms:W3CDTF">2026-06-29T15:25:24Z</dcterms:modified>
</cp:coreProperties>
</file>