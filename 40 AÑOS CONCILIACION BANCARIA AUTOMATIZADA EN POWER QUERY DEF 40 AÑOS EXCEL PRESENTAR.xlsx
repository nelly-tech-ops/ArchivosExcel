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40 AÑOS EXCEL\"/>
    </mc:Choice>
  </mc:AlternateContent>
  <xr:revisionPtr revIDLastSave="0" documentId="13_ncr:1_{7125BD43-FBA8-41CB-AC44-B0491A0791FF}" xr6:coauthVersionLast="47" xr6:coauthVersionMax="47" xr10:uidLastSave="{00000000-0000-0000-0000-000000000000}"/>
  <bookViews>
    <workbookView xWindow="-120" yWindow="-120" windowWidth="20730" windowHeight="11160" xr2:uid="{AF686301-DD43-41F7-812F-8656EFF96586}"/>
  </bookViews>
  <sheets>
    <sheet name="CONCILIACION" sheetId="23" r:id="rId1"/>
    <sheet name="ANTERIOR" sheetId="174" r:id="rId2"/>
    <sheet name="MAYOR" sheetId="180" r:id="rId3"/>
    <sheet name="EXTRACTO" sheetId="181" r:id="rId4"/>
    <sheet name="GASTOS BANCARIOS" sheetId="182" r:id="rId5"/>
  </sheets>
  <definedNames>
    <definedName name="_xlnm._FilterDatabase" localSheetId="3" hidden="1">EXTRACTO!$A$2:$H$140</definedName>
    <definedName name="_xlnm._FilterDatabase" localSheetId="4" hidden="1">'GASTOS BANCARIOS'!$A$2:$H$140</definedName>
    <definedName name="_xlnm._FilterDatabase" localSheetId="2" hidden="1">MAYOR!$A$3:$J$3</definedName>
    <definedName name="_xlnm.Print_Area" localSheetId="1">ANTERIOR!$A$3:$G$61</definedName>
    <definedName name="_xlnm.Print_Area" localSheetId="0">CONCILIACION!$A$1:$F$64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23" l="1"/>
  <c r="D141" i="182"/>
  <c r="E49" i="23"/>
  <c r="E38" i="23"/>
  <c r="E30" i="23"/>
  <c r="E22" i="23"/>
  <c r="E14" i="23"/>
  <c r="F30" i="174"/>
  <c r="E58" i="23" l="1"/>
  <c r="E6" i="23"/>
  <c r="D6" i="23" l="1"/>
  <c r="D58" i="23" l="1"/>
  <c r="E55" i="23"/>
  <c r="E57" i="23" l="1"/>
  <c r="E60" i="23" s="1"/>
  <c r="F45" i="174"/>
  <c r="F54" i="174" s="1"/>
  <c r="F57" i="174" s="1"/>
</calcChain>
</file>

<file path=xl/sharedStrings.xml><?xml version="1.0" encoding="utf-8"?>
<sst xmlns="http://schemas.openxmlformats.org/spreadsheetml/2006/main" count="929" uniqueCount="175">
  <si>
    <t xml:space="preserve">SALDO CONTABLE AL  </t>
  </si>
  <si>
    <t xml:space="preserve"> </t>
  </si>
  <si>
    <t xml:space="preserve"> ( + ) CHEQUES NO DEBITADOS en banco si en contabilidad</t>
  </si>
  <si>
    <t>F. Emision</t>
  </si>
  <si>
    <t>N° de Ch/</t>
  </si>
  <si>
    <t>F. de Pago</t>
  </si>
  <si>
    <t>Detalle</t>
  </si>
  <si>
    <t>Importe</t>
  </si>
  <si>
    <t>( - ) DEPOSITOS NO ACREDITADOS en bancos , si en contabilidad</t>
  </si>
  <si>
    <t>N° de Cheque</t>
  </si>
  <si>
    <t>( - ) CHEQUES PROPIOS  NO CONTABILIZADOS y si en bancos</t>
  </si>
  <si>
    <t>( - ) CHEQUES DE TERCEROS RECHAZADOS</t>
  </si>
  <si>
    <t>( + ) DEPOSITOS DE CLIENTES NO CONTABILIZADOS</t>
  </si>
  <si>
    <t>( - ) GASTOS BANCARIOS NO CONTABILIZADOS</t>
  </si>
  <si>
    <t>DIFERENCIA</t>
  </si>
  <si>
    <t>Débito</t>
  </si>
  <si>
    <t>Crédito</t>
  </si>
  <si>
    <t>Fecha</t>
  </si>
  <si>
    <t>Concepto</t>
  </si>
  <si>
    <t>Nro.Cpbte.</t>
  </si>
  <si>
    <t>Saldo</t>
  </si>
  <si>
    <t>Reg. de Recaudacion SIRCREB-Convenio</t>
  </si>
  <si>
    <t>Impuesto Ley 25.413 Ali Gral s/Debitos</t>
  </si>
  <si>
    <t>Impuesto Ley 25.413 Ali Gral s/Creditos</t>
  </si>
  <si>
    <t>Recaudacion Ingresos Brutos Tucuman</t>
  </si>
  <si>
    <t>IVA - Alicuota Inscripto</t>
  </si>
  <si>
    <t>Suscripcion al Periodico Accion</t>
  </si>
  <si>
    <t>IVA-Ali Adic RG 2408 s/Comis-Rec Gastos</t>
  </si>
  <si>
    <t>Com. mantenimiento cuenta</t>
  </si>
  <si>
    <t>Percepcion In. Brutos Condicion I CABA</t>
  </si>
  <si>
    <t>STATUS</t>
  </si>
  <si>
    <t>SALDO S/ EXTRACTO AL</t>
  </si>
  <si>
    <t>Nr. Correlativo</t>
  </si>
  <si>
    <t>Comision por Transferencia B. INTERNET COM. USO-000008258</t>
  </si>
  <si>
    <t>SALDO INICIAL</t>
  </si>
  <si>
    <t>Transf.Inmediata e/Ctas.Igual Tit.O/Bco 30661463607-VAR-SWEET VICTORIAN SA</t>
  </si>
  <si>
    <t>GASTOS BANC</t>
  </si>
  <si>
    <t>Matriz Contábil</t>
  </si>
  <si>
    <t>Conta Contábil</t>
  </si>
  <si>
    <t>Descrição Conta Contábil</t>
  </si>
  <si>
    <t>Comision por Acreditacion de Valores</t>
  </si>
  <si>
    <t>TRASPASO DE CREDICOOP A SUPERVIELLE</t>
  </si>
  <si>
    <t>31/07/2025</t>
  </si>
  <si>
    <t>Deposito por caja en efectivo Filial: 537-JUNIN</t>
  </si>
  <si>
    <t>Acreditacion Valores Camara/C.Interno</t>
  </si>
  <si>
    <t>10/07/2025</t>
  </si>
  <si>
    <t>Debito/Credito Aut-ARCA Recaud. Previs. ARCA  EX AFIP)-27160903118</t>
  </si>
  <si>
    <t>Debito/Credito Aut-ARCA Recaud. Previs. ARCA  EX AFIP)-20166775265</t>
  </si>
  <si>
    <t>07/07/2025</t>
  </si>
  <si>
    <t>29/08/2025</t>
  </si>
  <si>
    <t>28/08/2025</t>
  </si>
  <si>
    <t>27/08/2025</t>
  </si>
  <si>
    <t>26/08/2025</t>
  </si>
  <si>
    <t>Transf. Inmediata e/Ctas. Dist. Titular 27922135822-VAR-STEPANIAN, ADRIANA</t>
  </si>
  <si>
    <t>Transf. Inmediata e/Ctas. Dist. Titular 20109038963-FAC-LAUGERO GUSTAVO MAR</t>
  </si>
  <si>
    <t>25/08/2025</t>
  </si>
  <si>
    <t>22/08/2025</t>
  </si>
  <si>
    <t>21/08/2025</t>
  </si>
  <si>
    <t>20/08/2025</t>
  </si>
  <si>
    <t>19/08/2025</t>
  </si>
  <si>
    <t>18/08/2025</t>
  </si>
  <si>
    <t>Embargo por Oficio Judicial</t>
  </si>
  <si>
    <t>Transf. Inmediata e/Ctas. Dist. Titular FAC Cta:000000280000007759-BCO CIUDAD</t>
  </si>
  <si>
    <t>Transf. Inmediata e/Ctas. Dist. Titular FAC Cta: 394600871497100</t>
  </si>
  <si>
    <t>Transf.Inmediata e/Ctas.Igual Tit.O/Bco VAR Cta:000655866001100020</t>
  </si>
  <si>
    <t>Transf. Inmediata e/Ctas. Dist. Titular VAR Cta:35201118401-BCO CORDOBA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</si>
  <si>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</si>
  <si>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</si>
  <si>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</si>
  <si>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</si>
  <si>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</si>
  <si>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</si>
  <si>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</si>
  <si>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2 x 5 mm</t>
  </si>
  <si>
    <t>05/08/2025</t>
  </si>
  <si>
    <t>Comision Cheque Pagado por Clearing</t>
  </si>
  <si>
    <t>Pago de Cheque de Camara</t>
  </si>
  <si>
    <t>04/08/2025</t>
  </si>
  <si>
    <t>01/08/2025</t>
  </si>
  <si>
    <t>Deposito por caja en efectivo Filial: 217-GUALEGUAYCHU</t>
  </si>
  <si>
    <t>Servicio acreditaciones automaticas SERV ACRED AUTOMATIC-000000000003616724</t>
  </si>
  <si>
    <t>Deposito Inmediato en Cta. de Terceros 31/JUL 14:42 Red:LINK Term:08415</t>
  </si>
  <si>
    <t>Deposito Inmediato en Cta. de Terceros 31/JUL 14:40 Red:LINK Term:08415</t>
  </si>
  <si>
    <t>Deposito Inmediato en Cta. de Terceros 31/JUL 14:38 Red:LINK Term:08415</t>
  </si>
  <si>
    <t>Deposito Inmediato en Cta. de Terceros 31/JUL 14:35 Red:LINK Term:08415</t>
  </si>
  <si>
    <t>Deposito Inmediato en Cta. de Terceros 31/JUL 14:32 Red:LINK Term:08415</t>
  </si>
  <si>
    <t>01-Aug-25</t>
  </si>
  <si>
    <t>CHEQUE NR.81208606 B.000 C.1</t>
  </si>
  <si>
    <t>04-Aug-25</t>
  </si>
  <si>
    <t>TRANSPASO DE CREDICOOP A SUPERVIELLE</t>
  </si>
  <si>
    <t>SUSCRIPCION PERIODICO ACCION AGO 2025</t>
  </si>
  <si>
    <t>TRANSFERENCIA DE SUPERVIELLE A CREDICOOP</t>
  </si>
  <si>
    <t>05-Aug-25</t>
  </si>
  <si>
    <t>ENTRADA EN CUENTA CORRIENTE</t>
  </si>
  <si>
    <t>06-Aug-25</t>
  </si>
  <si>
    <t>MUJER BONITA 05/08</t>
  </si>
  <si>
    <t>07-Aug-25</t>
  </si>
  <si>
    <t>PAGO AUTONOMO  FJ 07-2025</t>
  </si>
  <si>
    <t>PAGO AUTONOMOS GK 07-2025</t>
  </si>
  <si>
    <t>08-Aug-25</t>
  </si>
  <si>
    <t>11-Aug-25</t>
  </si>
  <si>
    <t>TRANSFERENCIA DE CREDICOOP A SUPERVIELLE</t>
  </si>
  <si>
    <t>14-Aug-25</t>
  </si>
  <si>
    <t>PAGO TDC CREDICOOP VTO. 13-08-2025</t>
  </si>
  <si>
    <t>15-Aug-25</t>
  </si>
  <si>
    <t>18-Aug-25</t>
  </si>
  <si>
    <t>TRANSFERENCIA DE CREDICCOP A SUPERVIELLE</t>
  </si>
  <si>
    <t>ALE - 18/08/2025</t>
  </si>
  <si>
    <t>20-Aug-25</t>
  </si>
  <si>
    <t>ALE - 19/08/2025</t>
  </si>
  <si>
    <t>21-Aug-25</t>
  </si>
  <si>
    <t>26-Aug-25</t>
  </si>
  <si>
    <t>29-Aug-25</t>
  </si>
  <si>
    <t>CUENTA CONTABLE 115590</t>
  </si>
  <si>
    <t>Debito Automatico Directo CENTRO CONTABLE SRL</t>
  </si>
  <si>
    <t>Debito Automatico Directo CARPE DIEM SRL</t>
  </si>
  <si>
    <t>Transf. Inmediata e/Ctas. Dist. Titular 20147992700-FAC-ERICK PASCUAL</t>
  </si>
  <si>
    <t>CONCILIACION  BANCARIA BCO XX, C.A.</t>
  </si>
  <si>
    <t>PEDRO - 01/08/2025</t>
  </si>
  <si>
    <t>ERICK PASCUAL 31/07</t>
  </si>
  <si>
    <t>TOM LE 31/07</t>
  </si>
  <si>
    <t>PAOLA RUIZ 01/08</t>
  </si>
  <si>
    <t>MARIA SUAREZ 05/08</t>
  </si>
  <si>
    <t>SERGIO ORTIZ - 01/08/2025</t>
  </si>
  <si>
    <t>LILIANA - 05/08/2025</t>
  </si>
  <si>
    <t>LILIANA- 05/08/2025</t>
  </si>
  <si>
    <t>NOVELLI  06/08</t>
  </si>
  <si>
    <t>COLL 12/08</t>
  </si>
  <si>
    <t>JAZ - 15/08/2025</t>
  </si>
  <si>
    <t>CARPEDIEM - 12/08/2025</t>
  </si>
  <si>
    <t>CENTRO CONTABLE SRL</t>
  </si>
  <si>
    <t>EMBARGO JUDICIAL</t>
  </si>
  <si>
    <t>SOLIA- 20/08/2025</t>
  </si>
  <si>
    <t>PESCA 18/08</t>
  </si>
  <si>
    <t>AGUSTINA 18/08</t>
  </si>
  <si>
    <t>FLORENCIA 19/08</t>
  </si>
  <si>
    <t>PESCA RAFAELA 20/08</t>
  </si>
  <si>
    <t>LAUTARO - 19/08/2025</t>
  </si>
  <si>
    <t>MIGUEL - 25/08/2025</t>
  </si>
  <si>
    <t>MIGUEL- 24/08/2025</t>
  </si>
  <si>
    <t>ALAN - 18/08/2025</t>
  </si>
  <si>
    <t>ELIS DAVID 22/08</t>
  </si>
  <si>
    <t>SONIA 28/08</t>
  </si>
  <si>
    <t>FECHA</t>
  </si>
  <si>
    <t>ASIENTO</t>
  </si>
  <si>
    <t>SALDO</t>
  </si>
  <si>
    <t>DETALLE</t>
  </si>
  <si>
    <t>Transf. Inmediata e/Ctas. Dist. Titular 276666666-VAR-CAROLINA</t>
  </si>
  <si>
    <t>Transfer. e/Cuentas de Distinto Titular Cuit/l:279999887-SONIA</t>
  </si>
  <si>
    <t>Transf. Inmediata e/Ctas. Dist. Titular 2799988776-FAC-ROBERTO</t>
  </si>
  <si>
    <t>Transf. Inmediata e/Ctas. Dist. Titular 2722222224-VAR- ADRIANA</t>
  </si>
  <si>
    <t>Transf. Inmediata e/Ctas. Dist. Titular VAR Cta:95777888-BCO CORDOBA</t>
  </si>
  <si>
    <t>Credito Inmediato (DEBIN) dist titular 27922135822-VAR-ADRIANA VENTURA</t>
  </si>
  <si>
    <t>Transf. Inmediata e/Ctas. Dist. Titular 20147992700-FAC-ELIS DAVID</t>
  </si>
  <si>
    <t>Transf. Inmediata e/Ctas. Dist. Titular 27125527693-FAC-PESCA</t>
  </si>
  <si>
    <t>Transf.Inmediata e/Ctas.Igual Tit.O/Bco 30661463607-VAR-</t>
  </si>
  <si>
    <t>Transf. Inmediata e/Ctas. Dist. Titular 2798989898-FAC-MIMI</t>
  </si>
  <si>
    <t>Transf. Inmediata e/Ctas. Dist. Titular 27066436034-VAR-CRISS</t>
  </si>
  <si>
    <t>Transf. Inmediata e/Ctas. Dist. Titular 27066436034-VAR-PINTO</t>
  </si>
  <si>
    <t>Transf. Inmediata e/Ctas. Dist. Titular 2987765444-FAC-LAUTARO</t>
  </si>
  <si>
    <t>Transf. Inmediata e/Ctas. Dist. Titular 27125527693-FAC-PEESCA</t>
  </si>
  <si>
    <t>Transf. Inmediata e/Ctas. Dist. Titular 27998877656-FAC-NORMA</t>
  </si>
  <si>
    <t>Transf. Inmediata e/Ctas. Dist. Titular FAC Cta: 8788787878</t>
  </si>
  <si>
    <t>Transf. Inmediata e/Ctas. Dist. Titular 20109038963-FAC-LAUTARO</t>
  </si>
  <si>
    <t>Debito/Credito Automatico-Tarjeta Visa MASTER</t>
  </si>
  <si>
    <t>Transf. Inmediata e/Ctas. Dist. Titular 30711419612-FAC-MDL</t>
  </si>
  <si>
    <t>Deposito por caja en efectivo Filial: 358</t>
  </si>
  <si>
    <t>Transf. Inmediata e/Ctas. Dist. Titular 27172184761-FAC-PASCUALOTO</t>
  </si>
  <si>
    <t>Debito Automatico Directo CENTRO CONTABLE SRL-00000000056</t>
  </si>
  <si>
    <t>Debito Automatico Directo CARPE DIEM SA-15133</t>
  </si>
  <si>
    <t>Transfer. e/Cuentas de Distinto Titular Cuit/l:27057177433-ROA</t>
  </si>
  <si>
    <t>Deposito por caja en efectivo Filial: 371-PEPPE</t>
  </si>
  <si>
    <t>Transfer. e/Cuentas de Distinto Titular Cuit/l:27057177433-PABLO</t>
  </si>
  <si>
    <t>Transf.Inmediata e/Ctas.Igual Tit.O/Bco 30661463607-VAR</t>
  </si>
  <si>
    <t>Transf. Inmediata e/Ctas. Dist. Titular 20147992700-FAC-MILE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</si>
</sst>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* #,##0.00_ ;_ * \-#,##0.00_ ;_ * &quot;-&quot;??_ ;_ @_ "/>
    <numFmt numFmtId="165" formatCode="dd/mm/yyyy;@"/>
    <numFmt numFmtId="166" formatCode="_(* #,##0.00_);_(* \(#,##0.0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i/>
      <u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name val="Calibri"/>
      <family val="2"/>
      <scheme val="minor"/>
    </font>
    <font>
      <sz val="10"/>
      <name val="Arial"/>
      <family val="2"/>
    </font>
    <font>
      <sz val="9"/>
      <color indexed="8"/>
      <name val="Verdana"/>
      <family val="2"/>
    </font>
    <font>
      <b/>
      <sz val="10"/>
      <color indexed="8"/>
      <name val="Verdana"/>
      <family val="2"/>
    </font>
    <font>
      <b/>
      <sz val="9"/>
      <color indexed="8"/>
      <name val="Verdana"/>
      <family val="2"/>
    </font>
    <font>
      <sz val="8"/>
      <color indexed="8"/>
      <name val="Verdana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Verdana"/>
      <family val="2"/>
    </font>
    <font>
      <sz val="9"/>
      <name val="Verdana"/>
      <family val="2"/>
    </font>
    <font>
      <sz val="9"/>
      <color indexed="8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2">
    <xf numFmtId="0" fontId="0" fillId="0" borderId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1" fillId="0" borderId="0" applyFont="0" applyFill="0" applyBorder="0" applyAlignment="0" applyProtection="0"/>
    <xf numFmtId="0" fontId="14" fillId="0" borderId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1">
    <xf numFmtId="0" fontId="0" fillId="0" borderId="0" xfId="0"/>
    <xf numFmtId="165" fontId="4" fillId="0" borderId="0" xfId="0" applyNumberFormat="1" applyFont="1" applyAlignment="1">
      <alignment horizontal="left"/>
    </xf>
    <xf numFmtId="0" fontId="5" fillId="0" borderId="0" xfId="0" applyFont="1"/>
    <xf numFmtId="43" fontId="5" fillId="0" borderId="0" xfId="1" applyFont="1"/>
    <xf numFmtId="165" fontId="6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43" fontId="10" fillId="0" borderId="0" xfId="1" applyFont="1" applyFill="1"/>
    <xf numFmtId="165" fontId="8" fillId="0" borderId="0" xfId="0" applyNumberFormat="1" applyFont="1" applyAlignment="1">
      <alignment horizontal="right"/>
    </xf>
    <xf numFmtId="165" fontId="10" fillId="0" borderId="1" xfId="0" applyNumberFormat="1" applyFont="1" applyBorder="1" applyAlignment="1">
      <alignment horizontal="left"/>
    </xf>
    <xf numFmtId="0" fontId="10" fillId="0" borderId="2" xfId="0" applyFont="1" applyBorder="1"/>
    <xf numFmtId="165" fontId="10" fillId="0" borderId="2" xfId="0" applyNumberFormat="1" applyFont="1" applyBorder="1" applyAlignment="1">
      <alignment horizontal="left"/>
    </xf>
    <xf numFmtId="166" fontId="11" fillId="2" borderId="0" xfId="2" applyFont="1" applyFill="1" applyBorder="1" applyAlignment="1">
      <alignment horizontal="right" vertical="top" wrapText="1"/>
    </xf>
    <xf numFmtId="43" fontId="0" fillId="0" borderId="0" xfId="0" applyNumberFormat="1"/>
    <xf numFmtId="165" fontId="10" fillId="0" borderId="0" xfId="0" applyNumberFormat="1" applyFont="1" applyAlignment="1">
      <alignment horizontal="right"/>
    </xf>
    <xf numFmtId="0" fontId="10" fillId="0" borderId="0" xfId="0" applyFont="1"/>
    <xf numFmtId="43" fontId="5" fillId="0" borderId="0" xfId="1" applyFont="1" applyBorder="1" applyAlignment="1">
      <alignment horizontal="right" vertical="center" wrapText="1"/>
    </xf>
    <xf numFmtId="165" fontId="10" fillId="0" borderId="3" xfId="0" applyNumberFormat="1" applyFont="1" applyBorder="1" applyAlignment="1">
      <alignment horizontal="right"/>
    </xf>
    <xf numFmtId="0" fontId="10" fillId="0" borderId="3" xfId="0" applyFont="1" applyBorder="1" applyAlignment="1">
      <alignment horizontal="center"/>
    </xf>
    <xf numFmtId="43" fontId="10" fillId="0" borderId="3" xfId="1" applyFont="1" applyFill="1" applyBorder="1" applyAlignment="1">
      <alignment horizontal="center"/>
    </xf>
    <xf numFmtId="165" fontId="0" fillId="0" borderId="0" xfId="0" applyNumberFormat="1"/>
    <xf numFmtId="165" fontId="5" fillId="0" borderId="0" xfId="0" applyNumberFormat="1" applyFont="1" applyAlignment="1">
      <alignment horizontal="right"/>
    </xf>
    <xf numFmtId="165" fontId="11" fillId="0" borderId="1" xfId="0" applyNumberFormat="1" applyFont="1" applyBorder="1" applyAlignment="1">
      <alignment horizontal="right"/>
    </xf>
    <xf numFmtId="0" fontId="11" fillId="0" borderId="2" xfId="0" applyFont="1" applyBorder="1"/>
    <xf numFmtId="43" fontId="8" fillId="0" borderId="4" xfId="1" applyFont="1" applyBorder="1"/>
    <xf numFmtId="43" fontId="8" fillId="0" borderId="0" xfId="1" applyFont="1" applyBorder="1"/>
    <xf numFmtId="4" fontId="8" fillId="0" borderId="0" xfId="0" applyNumberFormat="1" applyFont="1" applyAlignment="1">
      <alignment horizontal="left"/>
    </xf>
    <xf numFmtId="4" fontId="10" fillId="0" borderId="0" xfId="0" applyNumberFormat="1" applyFont="1" applyAlignment="1">
      <alignment horizontal="left"/>
    </xf>
    <xf numFmtId="43" fontId="10" fillId="0" borderId="0" xfId="1" applyFont="1" applyFill="1" applyAlignment="1">
      <alignment horizontal="left"/>
    </xf>
    <xf numFmtId="43" fontId="10" fillId="0" borderId="0" xfId="1" applyFont="1"/>
    <xf numFmtId="43" fontId="11" fillId="0" borderId="4" xfId="1" applyFont="1" applyFill="1" applyBorder="1"/>
    <xf numFmtId="43" fontId="5" fillId="0" borderId="0" xfId="1" applyFont="1" applyFill="1"/>
    <xf numFmtId="165" fontId="11" fillId="0" borderId="0" xfId="0" applyNumberFormat="1" applyFont="1" applyAlignment="1">
      <alignment horizontal="left"/>
    </xf>
    <xf numFmtId="0" fontId="11" fillId="0" borderId="0" xfId="0" applyFont="1"/>
    <xf numFmtId="165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3" fontId="1" fillId="0" borderId="0" xfId="1" applyFont="1" applyFill="1" applyBorder="1" applyAlignment="1">
      <alignment horizontal="right" vertical="top" wrapText="1"/>
    </xf>
    <xf numFmtId="165" fontId="0" fillId="2" borderId="0" xfId="0" applyNumberFormat="1" applyFill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0" fontId="0" fillId="2" borderId="0" xfId="0" applyFill="1" applyAlignment="1">
      <alignment horizontal="left" vertical="top" wrapText="1"/>
    </xf>
    <xf numFmtId="43" fontId="1" fillId="2" borderId="0" xfId="1" applyFont="1" applyFill="1" applyBorder="1" applyAlignment="1">
      <alignment horizontal="right" vertical="top" wrapText="1"/>
    </xf>
    <xf numFmtId="165" fontId="8" fillId="0" borderId="1" xfId="0" applyNumberFormat="1" applyFont="1" applyBorder="1" applyAlignment="1">
      <alignment horizontal="right"/>
    </xf>
    <xf numFmtId="0" fontId="8" fillId="0" borderId="2" xfId="0" applyFont="1" applyBorder="1"/>
    <xf numFmtId="43" fontId="11" fillId="0" borderId="4" xfId="1" applyFont="1" applyBorder="1"/>
    <xf numFmtId="43" fontId="5" fillId="0" borderId="5" xfId="1" applyFont="1" applyBorder="1"/>
    <xf numFmtId="4" fontId="12" fillId="0" borderId="0" xfId="0" applyNumberFormat="1" applyFont="1"/>
    <xf numFmtId="165" fontId="5" fillId="0" borderId="0" xfId="0" applyNumberFormat="1" applyFont="1"/>
    <xf numFmtId="43" fontId="5" fillId="0" borderId="0" xfId="0" applyNumberFormat="1" applyFont="1"/>
    <xf numFmtId="4" fontId="0" fillId="0" borderId="0" xfId="0" applyNumberFormat="1"/>
    <xf numFmtId="43" fontId="8" fillId="0" borderId="4" xfId="1" applyFont="1" applyFill="1" applyBorder="1"/>
    <xf numFmtId="17" fontId="11" fillId="0" borderId="0" xfId="1" applyNumberFormat="1" applyFont="1"/>
    <xf numFmtId="0" fontId="2" fillId="0" borderId="0" xfId="0" applyFont="1"/>
    <xf numFmtId="43" fontId="8" fillId="0" borderId="0" xfId="1" applyFont="1" applyFill="1" applyBorder="1"/>
    <xf numFmtId="0" fontId="10" fillId="0" borderId="0" xfId="0" applyFont="1" applyAlignment="1">
      <alignment horizontal="center"/>
    </xf>
    <xf numFmtId="43" fontId="10" fillId="0" borderId="0" xfId="1" applyFont="1" applyFill="1" applyBorder="1" applyAlignment="1">
      <alignment horizontal="center"/>
    </xf>
    <xf numFmtId="0" fontId="2" fillId="3" borderId="0" xfId="0" applyFont="1" applyFill="1"/>
    <xf numFmtId="0" fontId="15" fillId="0" borderId="0" xfId="0" applyFont="1" applyAlignment="1">
      <alignment horizontal="left" wrapText="1"/>
    </xf>
    <xf numFmtId="4" fontId="15" fillId="0" borderId="0" xfId="0" applyNumberFormat="1" applyFont="1" applyAlignment="1">
      <alignment horizontal="right" wrapTex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left"/>
    </xf>
    <xf numFmtId="165" fontId="8" fillId="3" borderId="0" xfId="0" applyNumberFormat="1" applyFont="1" applyFill="1" applyAlignment="1">
      <alignment horizontal="left"/>
    </xf>
    <xf numFmtId="0" fontId="10" fillId="3" borderId="0" xfId="0" applyFont="1" applyFill="1"/>
    <xf numFmtId="0" fontId="5" fillId="3" borderId="0" xfId="0" applyFont="1" applyFill="1"/>
    <xf numFmtId="0" fontId="18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43" fontId="11" fillId="0" borderId="0" xfId="1" applyFont="1" applyFill="1"/>
    <xf numFmtId="164" fontId="15" fillId="0" borderId="0" xfId="8" applyFont="1" applyFill="1" applyAlignment="1">
      <alignment horizontal="right" wrapText="1"/>
    </xf>
    <xf numFmtId="2" fontId="15" fillId="0" borderId="0" xfId="0" applyNumberFormat="1" applyFont="1" applyAlignment="1">
      <alignment horizontal="left" wrapText="1"/>
    </xf>
    <xf numFmtId="164" fontId="8" fillId="0" borderId="2" xfId="8" applyFont="1" applyBorder="1"/>
    <xf numFmtId="4" fontId="8" fillId="3" borderId="0" xfId="0" applyNumberFormat="1" applyFont="1" applyFill="1" applyAlignment="1">
      <alignment horizontal="left"/>
    </xf>
    <xf numFmtId="4" fontId="10" fillId="3" borderId="0" xfId="0" applyNumberFormat="1" applyFont="1" applyFill="1" applyAlignment="1">
      <alignment horizontal="left"/>
    </xf>
    <xf numFmtId="0" fontId="12" fillId="0" borderId="0" xfId="0" applyFont="1"/>
    <xf numFmtId="0" fontId="20" fillId="0" borderId="0" xfId="0" applyFont="1" applyAlignment="1">
      <alignment horizontal="center"/>
    </xf>
    <xf numFmtId="0" fontId="19" fillId="0" borderId="0" xfId="0" applyFont="1"/>
    <xf numFmtId="4" fontId="16" fillId="0" borderId="0" xfId="0" applyNumberFormat="1" applyFont="1" applyAlignment="1">
      <alignment horizontal="right" vertical="top" wrapText="1"/>
    </xf>
    <xf numFmtId="0" fontId="16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43" fontId="5" fillId="0" borderId="0" xfId="1" applyFont="1" applyFill="1" applyBorder="1" applyAlignment="1">
      <alignment horizontal="right" vertical="top" wrapText="1"/>
    </xf>
    <xf numFmtId="1" fontId="16" fillId="0" borderId="0" xfId="0" applyNumberFormat="1" applyFont="1" applyAlignment="1">
      <alignment horizontal="left" vertical="top" wrapText="1"/>
    </xf>
    <xf numFmtId="1" fontId="0" fillId="0" borderId="0" xfId="0" applyNumberFormat="1"/>
    <xf numFmtId="2" fontId="21" fillId="0" borderId="0" xfId="0" applyNumberFormat="1" applyFont="1" applyAlignment="1">
      <alignment horizontal="left" wrapText="1"/>
    </xf>
    <xf numFmtId="4" fontId="15" fillId="0" borderId="0" xfId="0" applyNumberFormat="1" applyFont="1" applyAlignment="1">
      <alignment horizontal="right" vertical="top" wrapText="1"/>
    </xf>
    <xf numFmtId="2" fontId="18" fillId="0" borderId="0" xfId="0" applyNumberFormat="1" applyFont="1" applyAlignment="1">
      <alignment horizontal="left" wrapText="1"/>
    </xf>
    <xf numFmtId="0" fontId="23" fillId="0" borderId="0" xfId="0" applyFont="1" applyAlignment="1">
      <alignment horizontal="left" vertical="top" wrapText="1"/>
    </xf>
    <xf numFmtId="4" fontId="23" fillId="0" borderId="0" xfId="0" applyNumberFormat="1" applyFont="1" applyAlignment="1">
      <alignment horizontal="right" vertical="top" wrapText="1"/>
    </xf>
    <xf numFmtId="0" fontId="18" fillId="0" borderId="0" xfId="0" applyFont="1" applyAlignment="1">
      <alignment horizontal="left" vertical="top" wrapText="1"/>
    </xf>
    <xf numFmtId="4" fontId="15" fillId="0" borderId="0" xfId="0" applyNumberFormat="1" applyFont="1" applyAlignment="1">
      <alignment horizontal="left" wrapText="1"/>
    </xf>
    <xf numFmtId="0" fontId="15" fillId="2" borderId="0" xfId="0" applyFont="1" applyFill="1" applyAlignment="1">
      <alignment horizontal="left" wrapText="1"/>
    </xf>
    <xf numFmtId="0" fontId="15" fillId="2" borderId="0" xfId="0" applyFont="1" applyFill="1" applyAlignment="1">
      <alignment horizontal="right" wrapText="1"/>
    </xf>
    <xf numFmtId="14" fontId="10" fillId="0" borderId="0" xfId="0" applyNumberFormat="1" applyFont="1" applyAlignment="1">
      <alignment horizontal="center"/>
    </xf>
    <xf numFmtId="4" fontId="10" fillId="0" borderId="0" xfId="0" applyNumberFormat="1" applyFont="1"/>
    <xf numFmtId="165" fontId="8" fillId="0" borderId="1" xfId="0" applyNumberFormat="1" applyFont="1" applyBorder="1" applyAlignment="1">
      <alignment horizontal="left"/>
    </xf>
    <xf numFmtId="43" fontId="13" fillId="0" borderId="3" xfId="1" applyFont="1" applyFill="1" applyBorder="1" applyAlignment="1">
      <alignment horizontal="center"/>
    </xf>
    <xf numFmtId="43" fontId="10" fillId="0" borderId="0" xfId="1" applyFont="1" applyFill="1" applyBorder="1" applyAlignment="1">
      <alignment horizontal="left"/>
    </xf>
    <xf numFmtId="165" fontId="8" fillId="0" borderId="0" xfId="0" applyNumberFormat="1" applyFont="1" applyAlignment="1">
      <alignment horizontal="left"/>
    </xf>
    <xf numFmtId="165" fontId="11" fillId="0" borderId="0" xfId="0" applyNumberFormat="1" applyFont="1" applyAlignment="1">
      <alignment horizontal="right"/>
    </xf>
    <xf numFmtId="43" fontId="11" fillId="0" borderId="0" xfId="1" applyFont="1" applyFill="1" applyBorder="1"/>
    <xf numFmtId="165" fontId="8" fillId="0" borderId="3" xfId="0" applyNumberFormat="1" applyFont="1" applyBorder="1" applyAlignment="1">
      <alignment horizontal="center"/>
    </xf>
    <xf numFmtId="4" fontId="13" fillId="0" borderId="3" xfId="0" applyNumberFormat="1" applyFont="1" applyBorder="1" applyAlignment="1">
      <alignment horizontal="center"/>
    </xf>
    <xf numFmtId="165" fontId="8" fillId="0" borderId="2" xfId="0" applyNumberFormat="1" applyFont="1" applyBorder="1" applyAlignment="1">
      <alignment horizontal="left"/>
    </xf>
    <xf numFmtId="165" fontId="8" fillId="0" borderId="3" xfId="0" applyNumberFormat="1" applyFont="1" applyBorder="1" applyAlignment="1">
      <alignment horizontal="right"/>
    </xf>
    <xf numFmtId="0" fontId="8" fillId="0" borderId="3" xfId="0" applyFont="1" applyBorder="1" applyAlignment="1">
      <alignment horizontal="center"/>
    </xf>
    <xf numFmtId="43" fontId="8" fillId="0" borderId="3" xfId="1" applyFont="1" applyFill="1" applyBorder="1" applyAlignment="1">
      <alignment horizontal="center"/>
    </xf>
    <xf numFmtId="165" fontId="8" fillId="4" borderId="0" xfId="0" applyNumberFormat="1" applyFont="1" applyFill="1" applyAlignment="1">
      <alignment horizontal="left"/>
    </xf>
    <xf numFmtId="0" fontId="10" fillId="4" borderId="0" xfId="0" applyFont="1" applyFill="1"/>
    <xf numFmtId="165" fontId="8" fillId="5" borderId="0" xfId="0" applyNumberFormat="1" applyFont="1" applyFill="1" applyAlignment="1">
      <alignment horizontal="left"/>
    </xf>
    <xf numFmtId="4" fontId="8" fillId="5" borderId="0" xfId="0" applyNumberFormat="1" applyFont="1" applyFill="1" applyAlignment="1">
      <alignment horizontal="left"/>
    </xf>
    <xf numFmtId="4" fontId="10" fillId="5" borderId="0" xfId="0" applyNumberFormat="1" applyFont="1" applyFill="1" applyAlignment="1">
      <alignment horizontal="left"/>
    </xf>
    <xf numFmtId="43" fontId="10" fillId="5" borderId="0" xfId="1" applyFont="1" applyFill="1" applyAlignment="1">
      <alignment horizontal="left"/>
    </xf>
    <xf numFmtId="0" fontId="10" fillId="5" borderId="0" xfId="0" applyFont="1" applyFill="1"/>
    <xf numFmtId="43" fontId="10" fillId="5" borderId="0" xfId="1" applyFont="1" applyFill="1"/>
    <xf numFmtId="0" fontId="10" fillId="6" borderId="0" xfId="0" applyFont="1" applyFill="1"/>
    <xf numFmtId="43" fontId="5" fillId="6" borderId="0" xfId="1" applyFont="1" applyFill="1"/>
    <xf numFmtId="165" fontId="8" fillId="6" borderId="0" xfId="0" applyNumberFormat="1" applyFont="1" applyFill="1" applyAlignment="1">
      <alignment horizontal="left"/>
    </xf>
    <xf numFmtId="43" fontId="13" fillId="6" borderId="0" xfId="1" applyFont="1" applyFill="1" applyAlignment="1">
      <alignment horizontal="left"/>
    </xf>
    <xf numFmtId="0" fontId="2" fillId="5" borderId="0" xfId="0" applyFont="1" applyFill="1"/>
    <xf numFmtId="0" fontId="5" fillId="5" borderId="0" xfId="0" applyFont="1" applyFill="1"/>
    <xf numFmtId="43" fontId="5" fillId="5" borderId="0" xfId="1" applyFont="1" applyFill="1"/>
    <xf numFmtId="0" fontId="10" fillId="0" borderId="0" xfId="0" applyFont="1" applyAlignment="1">
      <alignment horizontal="left"/>
    </xf>
    <xf numFmtId="43" fontId="10" fillId="4" borderId="0" xfId="1" applyFont="1" applyFill="1"/>
    <xf numFmtId="0" fontId="0" fillId="4" borderId="0" xfId="0" applyFill="1"/>
    <xf numFmtId="43" fontId="10" fillId="3" borderId="0" xfId="1" applyFont="1" applyFill="1"/>
    <xf numFmtId="43" fontId="10" fillId="3" borderId="0" xfId="1" applyFont="1" applyFill="1" applyAlignment="1">
      <alignment horizontal="left"/>
    </xf>
    <xf numFmtId="43" fontId="5" fillId="3" borderId="0" xfId="1" applyFont="1" applyFill="1"/>
    <xf numFmtId="43" fontId="5" fillId="0" borderId="5" xfId="1" applyFont="1" applyBorder="1" applyAlignment="1">
      <alignment horizontal="right"/>
    </xf>
    <xf numFmtId="4" fontId="0" fillId="0" borderId="0" xfId="0" applyNumberFormat="1" applyAlignment="1">
      <alignment horizontal="right"/>
    </xf>
    <xf numFmtId="4" fontId="8" fillId="0" borderId="0" xfId="0" applyNumberFormat="1" applyFont="1"/>
    <xf numFmtId="4" fontId="22" fillId="0" borderId="0" xfId="8" applyNumberFormat="1" applyFont="1" applyFill="1" applyAlignment="1">
      <alignment horizontal="right" wrapText="1"/>
    </xf>
    <xf numFmtId="4" fontId="8" fillId="0" borderId="4" xfId="1" applyNumberFormat="1" applyFont="1" applyFill="1" applyBorder="1"/>
  </cellXfs>
  <cellStyles count="22">
    <cellStyle name="Millares" xfId="8" builtinId="3"/>
    <cellStyle name="Millares 2" xfId="2" xr:uid="{00000000-0005-0000-0000-000001000000}"/>
    <cellStyle name="Millares 2 2" xfId="12" xr:uid="{00000000-0005-0000-0000-000002000000}"/>
    <cellStyle name="Millares 2 2 2" xfId="19" xr:uid="{9AE6C10B-F1EE-4ED0-B72A-728E6ABAAD60}"/>
    <cellStyle name="Millares 2 3" xfId="16" xr:uid="{7FBE40EC-6337-4790-B56C-3E8990B3D1F8}"/>
    <cellStyle name="Millares 3" xfId="10" xr:uid="{00000000-0005-0000-0000-000003000000}"/>
    <cellStyle name="Millares 3 2" xfId="13" xr:uid="{00000000-0005-0000-0000-000004000000}"/>
    <cellStyle name="Millares 3 2 2" xfId="20" xr:uid="{712FBC71-D6F1-4B76-91E1-BF189C26C12B}"/>
    <cellStyle name="Millares 3 3" xfId="17" xr:uid="{D14A5D4D-3ACA-480E-80B8-BF97179B3D4C}"/>
    <cellStyle name="Millares 4" xfId="1" xr:uid="{00000000-0005-0000-0000-000005000000}"/>
    <cellStyle name="Millares 4 2" xfId="11" xr:uid="{00000000-0005-0000-0000-000006000000}"/>
    <cellStyle name="Millares 4 2 2" xfId="18" xr:uid="{675ACEB2-204E-45C5-94D9-8E06C859B3D7}"/>
    <cellStyle name="Millares 4 3" xfId="15" xr:uid="{3514EB1E-C1FC-4C4D-AB56-B8A3286CBD8A}"/>
    <cellStyle name="Millares 5" xfId="14" xr:uid="{C0113A50-0AC8-4010-A679-6062FE515CE6}"/>
    <cellStyle name="Millares 5 2" xfId="21" xr:uid="{90391FD5-7945-4A3C-A484-F9377076469F}"/>
    <cellStyle name="Normal" xfId="0" builtinId="0"/>
    <cellStyle name="Normal 10" xfId="5" xr:uid="{00000000-0005-0000-0000-000008000000}"/>
    <cellStyle name="Normal 11" xfId="4" xr:uid="{00000000-0005-0000-0000-000009000000}"/>
    <cellStyle name="Normal 12" xfId="7" xr:uid="{00000000-0005-0000-0000-00000A000000}"/>
    <cellStyle name="Normal 13" xfId="3" xr:uid="{00000000-0005-0000-0000-00000B000000}"/>
    <cellStyle name="Normal 2" xfId="9" xr:uid="{00000000-0005-0000-0000-00000C000000}"/>
    <cellStyle name="Normal 2 2" xfId="6" xr:uid="{00000000-0005-0000-0000-00000D000000}"/>
  </cellStyles>
  <dxfs count="4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Light4" defaultPivotStyle="PivotStyleLight16"/>
  <colors>
    <mruColors>
      <color rgb="FFFFFF00"/>
      <color rgb="FFFF99FF"/>
      <color rgb="FFFF66FF"/>
      <color rgb="FF9966FF"/>
      <color rgb="FFCC0066"/>
      <color rgb="FFCC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7092</xdr:colOff>
      <xdr:row>2</xdr:row>
      <xdr:rowOff>104774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D80E71-A5AD-4EB3-8DAF-089894954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769092" cy="4857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95250</xdr:rowOff>
    </xdr:from>
    <xdr:to>
      <xdr:col>1</xdr:col>
      <xdr:colOff>673842</xdr:colOff>
      <xdr:row>3</xdr:row>
      <xdr:rowOff>9524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A3371C2-77EA-42B1-B4E8-F184CEF58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95250"/>
          <a:ext cx="769092" cy="4857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MARCA PERSONAL">
      <a:dk1>
        <a:srgbClr val="000000"/>
      </a:dk1>
      <a:lt1>
        <a:srgbClr val="FFFFFF"/>
      </a:lt1>
      <a:dk2>
        <a:srgbClr val="0E2841"/>
      </a:dk2>
      <a:lt2>
        <a:srgbClr val="FEFAC9"/>
      </a:lt2>
      <a:accent1>
        <a:srgbClr val="593C8F"/>
      </a:accent1>
      <a:accent2>
        <a:srgbClr val="A98BC7"/>
      </a:accent2>
      <a:accent3>
        <a:srgbClr val="FFFFFF"/>
      </a:accent3>
      <a:accent4>
        <a:srgbClr val="DAE2DF"/>
      </a:accent4>
      <a:accent5>
        <a:srgbClr val="568EA3"/>
      </a:accent5>
      <a:accent6>
        <a:srgbClr val="222224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1:J65"/>
  <sheetViews>
    <sheetView showGridLines="0" tabSelected="1" topLeftCell="A36" zoomScaleNormal="100" workbookViewId="0">
      <selection activeCell="D44" sqref="D44"/>
    </sheetView>
  </sheetViews>
  <sheetFormatPr baseColWidth="10" defaultRowHeight="15" x14ac:dyDescent="0.25"/>
  <cols>
    <col min="2" max="2" width="11.42578125" style="21" customWidth="1"/>
    <col min="4" max="4" width="62.5703125" customWidth="1"/>
    <col min="5" max="5" width="17" bestFit="1" customWidth="1"/>
    <col min="6" max="6" width="15.7109375" customWidth="1"/>
    <col min="7" max="7" width="13.7109375" customWidth="1"/>
    <col min="8" max="8" width="14" customWidth="1"/>
    <col min="260" max="260" width="62.5703125" customWidth="1"/>
    <col min="261" max="261" width="17" bestFit="1" customWidth="1"/>
    <col min="262" max="262" width="13" customWidth="1"/>
    <col min="263" max="263" width="13.7109375" customWidth="1"/>
    <col min="264" max="264" width="14" customWidth="1"/>
    <col min="516" max="516" width="62.5703125" customWidth="1"/>
    <col min="517" max="517" width="17" bestFit="1" customWidth="1"/>
    <col min="518" max="518" width="13" customWidth="1"/>
    <col min="519" max="519" width="13.7109375" customWidth="1"/>
    <col min="520" max="520" width="14" customWidth="1"/>
    <col min="772" max="772" width="62.5703125" customWidth="1"/>
    <col min="773" max="773" width="17" bestFit="1" customWidth="1"/>
    <col min="774" max="774" width="13" customWidth="1"/>
    <col min="775" max="775" width="13.7109375" customWidth="1"/>
    <col min="776" max="776" width="14" customWidth="1"/>
    <col min="1028" max="1028" width="62.5703125" customWidth="1"/>
    <col min="1029" max="1029" width="17" bestFit="1" customWidth="1"/>
    <col min="1030" max="1030" width="13" customWidth="1"/>
    <col min="1031" max="1031" width="13.7109375" customWidth="1"/>
    <col min="1032" max="1032" width="14" customWidth="1"/>
    <col min="1284" max="1284" width="62.5703125" customWidth="1"/>
    <col min="1285" max="1285" width="17" bestFit="1" customWidth="1"/>
    <col min="1286" max="1286" width="13" customWidth="1"/>
    <col min="1287" max="1287" width="13.7109375" customWidth="1"/>
    <col min="1288" max="1288" width="14" customWidth="1"/>
    <col min="1540" max="1540" width="62.5703125" customWidth="1"/>
    <col min="1541" max="1541" width="17" bestFit="1" customWidth="1"/>
    <col min="1542" max="1542" width="13" customWidth="1"/>
    <col min="1543" max="1543" width="13.7109375" customWidth="1"/>
    <col min="1544" max="1544" width="14" customWidth="1"/>
    <col min="1796" max="1796" width="62.5703125" customWidth="1"/>
    <col min="1797" max="1797" width="17" bestFit="1" customWidth="1"/>
    <col min="1798" max="1798" width="13" customWidth="1"/>
    <col min="1799" max="1799" width="13.7109375" customWidth="1"/>
    <col min="1800" max="1800" width="14" customWidth="1"/>
    <col min="2052" max="2052" width="62.5703125" customWidth="1"/>
    <col min="2053" max="2053" width="17" bestFit="1" customWidth="1"/>
    <col min="2054" max="2054" width="13" customWidth="1"/>
    <col min="2055" max="2055" width="13.7109375" customWidth="1"/>
    <col min="2056" max="2056" width="14" customWidth="1"/>
    <col min="2308" max="2308" width="62.5703125" customWidth="1"/>
    <col min="2309" max="2309" width="17" bestFit="1" customWidth="1"/>
    <col min="2310" max="2310" width="13" customWidth="1"/>
    <col min="2311" max="2311" width="13.7109375" customWidth="1"/>
    <col min="2312" max="2312" width="14" customWidth="1"/>
    <col min="2564" max="2564" width="62.5703125" customWidth="1"/>
    <col min="2565" max="2565" width="17" bestFit="1" customWidth="1"/>
    <col min="2566" max="2566" width="13" customWidth="1"/>
    <col min="2567" max="2567" width="13.7109375" customWidth="1"/>
    <col min="2568" max="2568" width="14" customWidth="1"/>
    <col min="2820" max="2820" width="62.5703125" customWidth="1"/>
    <col min="2821" max="2821" width="17" bestFit="1" customWidth="1"/>
    <col min="2822" max="2822" width="13" customWidth="1"/>
    <col min="2823" max="2823" width="13.7109375" customWidth="1"/>
    <col min="2824" max="2824" width="14" customWidth="1"/>
    <col min="3076" max="3076" width="62.5703125" customWidth="1"/>
    <col min="3077" max="3077" width="17" bestFit="1" customWidth="1"/>
    <col min="3078" max="3078" width="13" customWidth="1"/>
    <col min="3079" max="3079" width="13.7109375" customWidth="1"/>
    <col min="3080" max="3080" width="14" customWidth="1"/>
    <col min="3332" max="3332" width="62.5703125" customWidth="1"/>
    <col min="3333" max="3333" width="17" bestFit="1" customWidth="1"/>
    <col min="3334" max="3334" width="13" customWidth="1"/>
    <col min="3335" max="3335" width="13.7109375" customWidth="1"/>
    <col min="3336" max="3336" width="14" customWidth="1"/>
    <col min="3588" max="3588" width="62.5703125" customWidth="1"/>
    <col min="3589" max="3589" width="17" bestFit="1" customWidth="1"/>
    <col min="3590" max="3590" width="13" customWidth="1"/>
    <col min="3591" max="3591" width="13.7109375" customWidth="1"/>
    <col min="3592" max="3592" width="14" customWidth="1"/>
    <col min="3844" max="3844" width="62.5703125" customWidth="1"/>
    <col min="3845" max="3845" width="17" bestFit="1" customWidth="1"/>
    <col min="3846" max="3846" width="13" customWidth="1"/>
    <col min="3847" max="3847" width="13.7109375" customWidth="1"/>
    <col min="3848" max="3848" width="14" customWidth="1"/>
    <col min="4100" max="4100" width="62.5703125" customWidth="1"/>
    <col min="4101" max="4101" width="17" bestFit="1" customWidth="1"/>
    <col min="4102" max="4102" width="13" customWidth="1"/>
    <col min="4103" max="4103" width="13.7109375" customWidth="1"/>
    <col min="4104" max="4104" width="14" customWidth="1"/>
    <col min="4356" max="4356" width="62.5703125" customWidth="1"/>
    <col min="4357" max="4357" width="17" bestFit="1" customWidth="1"/>
    <col min="4358" max="4358" width="13" customWidth="1"/>
    <col min="4359" max="4359" width="13.7109375" customWidth="1"/>
    <col min="4360" max="4360" width="14" customWidth="1"/>
    <col min="4612" max="4612" width="62.5703125" customWidth="1"/>
    <col min="4613" max="4613" width="17" bestFit="1" customWidth="1"/>
    <col min="4614" max="4614" width="13" customWidth="1"/>
    <col min="4615" max="4615" width="13.7109375" customWidth="1"/>
    <col min="4616" max="4616" width="14" customWidth="1"/>
    <col min="4868" max="4868" width="62.5703125" customWidth="1"/>
    <col min="4869" max="4869" width="17" bestFit="1" customWidth="1"/>
    <col min="4870" max="4870" width="13" customWidth="1"/>
    <col min="4871" max="4871" width="13.7109375" customWidth="1"/>
    <col min="4872" max="4872" width="14" customWidth="1"/>
    <col min="5124" max="5124" width="62.5703125" customWidth="1"/>
    <col min="5125" max="5125" width="17" bestFit="1" customWidth="1"/>
    <col min="5126" max="5126" width="13" customWidth="1"/>
    <col min="5127" max="5127" width="13.7109375" customWidth="1"/>
    <col min="5128" max="5128" width="14" customWidth="1"/>
    <col min="5380" max="5380" width="62.5703125" customWidth="1"/>
    <col min="5381" max="5381" width="17" bestFit="1" customWidth="1"/>
    <col min="5382" max="5382" width="13" customWidth="1"/>
    <col min="5383" max="5383" width="13.7109375" customWidth="1"/>
    <col min="5384" max="5384" width="14" customWidth="1"/>
    <col min="5636" max="5636" width="62.5703125" customWidth="1"/>
    <col min="5637" max="5637" width="17" bestFit="1" customWidth="1"/>
    <col min="5638" max="5638" width="13" customWidth="1"/>
    <col min="5639" max="5639" width="13.7109375" customWidth="1"/>
    <col min="5640" max="5640" width="14" customWidth="1"/>
    <col min="5892" max="5892" width="62.5703125" customWidth="1"/>
    <col min="5893" max="5893" width="17" bestFit="1" customWidth="1"/>
    <col min="5894" max="5894" width="13" customWidth="1"/>
    <col min="5895" max="5895" width="13.7109375" customWidth="1"/>
    <col min="5896" max="5896" width="14" customWidth="1"/>
    <col min="6148" max="6148" width="62.5703125" customWidth="1"/>
    <col min="6149" max="6149" width="17" bestFit="1" customWidth="1"/>
    <col min="6150" max="6150" width="13" customWidth="1"/>
    <col min="6151" max="6151" width="13.7109375" customWidth="1"/>
    <col min="6152" max="6152" width="14" customWidth="1"/>
    <col min="6404" max="6404" width="62.5703125" customWidth="1"/>
    <col min="6405" max="6405" width="17" bestFit="1" customWidth="1"/>
    <col min="6406" max="6406" width="13" customWidth="1"/>
    <col min="6407" max="6407" width="13.7109375" customWidth="1"/>
    <col min="6408" max="6408" width="14" customWidth="1"/>
    <col min="6660" max="6660" width="62.5703125" customWidth="1"/>
    <col min="6661" max="6661" width="17" bestFit="1" customWidth="1"/>
    <col min="6662" max="6662" width="13" customWidth="1"/>
    <col min="6663" max="6663" width="13.7109375" customWidth="1"/>
    <col min="6664" max="6664" width="14" customWidth="1"/>
    <col min="6916" max="6916" width="62.5703125" customWidth="1"/>
    <col min="6917" max="6917" width="17" bestFit="1" customWidth="1"/>
    <col min="6918" max="6918" width="13" customWidth="1"/>
    <col min="6919" max="6919" width="13.7109375" customWidth="1"/>
    <col min="6920" max="6920" width="14" customWidth="1"/>
    <col min="7172" max="7172" width="62.5703125" customWidth="1"/>
    <col min="7173" max="7173" width="17" bestFit="1" customWidth="1"/>
    <col min="7174" max="7174" width="13" customWidth="1"/>
    <col min="7175" max="7175" width="13.7109375" customWidth="1"/>
    <col min="7176" max="7176" width="14" customWidth="1"/>
    <col min="7428" max="7428" width="62.5703125" customWidth="1"/>
    <col min="7429" max="7429" width="17" bestFit="1" customWidth="1"/>
    <col min="7430" max="7430" width="13" customWidth="1"/>
    <col min="7431" max="7431" width="13.7109375" customWidth="1"/>
    <col min="7432" max="7432" width="14" customWidth="1"/>
    <col min="7684" max="7684" width="62.5703125" customWidth="1"/>
    <col min="7685" max="7685" width="17" bestFit="1" customWidth="1"/>
    <col min="7686" max="7686" width="13" customWidth="1"/>
    <col min="7687" max="7687" width="13.7109375" customWidth="1"/>
    <col min="7688" max="7688" width="14" customWidth="1"/>
    <col min="7940" max="7940" width="62.5703125" customWidth="1"/>
    <col min="7941" max="7941" width="17" bestFit="1" customWidth="1"/>
    <col min="7942" max="7942" width="13" customWidth="1"/>
    <col min="7943" max="7943" width="13.7109375" customWidth="1"/>
    <col min="7944" max="7944" width="14" customWidth="1"/>
    <col min="8196" max="8196" width="62.5703125" customWidth="1"/>
    <col min="8197" max="8197" width="17" bestFit="1" customWidth="1"/>
    <col min="8198" max="8198" width="13" customWidth="1"/>
    <col min="8199" max="8199" width="13.7109375" customWidth="1"/>
    <col min="8200" max="8200" width="14" customWidth="1"/>
    <col min="8452" max="8452" width="62.5703125" customWidth="1"/>
    <col min="8453" max="8453" width="17" bestFit="1" customWidth="1"/>
    <col min="8454" max="8454" width="13" customWidth="1"/>
    <col min="8455" max="8455" width="13.7109375" customWidth="1"/>
    <col min="8456" max="8456" width="14" customWidth="1"/>
    <col min="8708" max="8708" width="62.5703125" customWidth="1"/>
    <col min="8709" max="8709" width="17" bestFit="1" customWidth="1"/>
    <col min="8710" max="8710" width="13" customWidth="1"/>
    <col min="8711" max="8711" width="13.7109375" customWidth="1"/>
    <col min="8712" max="8712" width="14" customWidth="1"/>
    <col min="8964" max="8964" width="62.5703125" customWidth="1"/>
    <col min="8965" max="8965" width="17" bestFit="1" customWidth="1"/>
    <col min="8966" max="8966" width="13" customWidth="1"/>
    <col min="8967" max="8967" width="13.7109375" customWidth="1"/>
    <col min="8968" max="8968" width="14" customWidth="1"/>
    <col min="9220" max="9220" width="62.5703125" customWidth="1"/>
    <col min="9221" max="9221" width="17" bestFit="1" customWidth="1"/>
    <col min="9222" max="9222" width="13" customWidth="1"/>
    <col min="9223" max="9223" width="13.7109375" customWidth="1"/>
    <col min="9224" max="9224" width="14" customWidth="1"/>
    <col min="9476" max="9476" width="62.5703125" customWidth="1"/>
    <col min="9477" max="9477" width="17" bestFit="1" customWidth="1"/>
    <col min="9478" max="9478" width="13" customWidth="1"/>
    <col min="9479" max="9479" width="13.7109375" customWidth="1"/>
    <col min="9480" max="9480" width="14" customWidth="1"/>
    <col min="9732" max="9732" width="62.5703125" customWidth="1"/>
    <col min="9733" max="9733" width="17" bestFit="1" customWidth="1"/>
    <col min="9734" max="9734" width="13" customWidth="1"/>
    <col min="9735" max="9735" width="13.7109375" customWidth="1"/>
    <col min="9736" max="9736" width="14" customWidth="1"/>
    <col min="9988" max="9988" width="62.5703125" customWidth="1"/>
    <col min="9989" max="9989" width="17" bestFit="1" customWidth="1"/>
    <col min="9990" max="9990" width="13" customWidth="1"/>
    <col min="9991" max="9991" width="13.7109375" customWidth="1"/>
    <col min="9992" max="9992" width="14" customWidth="1"/>
    <col min="10244" max="10244" width="62.5703125" customWidth="1"/>
    <col min="10245" max="10245" width="17" bestFit="1" customWidth="1"/>
    <col min="10246" max="10246" width="13" customWidth="1"/>
    <col min="10247" max="10247" width="13.7109375" customWidth="1"/>
    <col min="10248" max="10248" width="14" customWidth="1"/>
    <col min="10500" max="10500" width="62.5703125" customWidth="1"/>
    <col min="10501" max="10501" width="17" bestFit="1" customWidth="1"/>
    <col min="10502" max="10502" width="13" customWidth="1"/>
    <col min="10503" max="10503" width="13.7109375" customWidth="1"/>
    <col min="10504" max="10504" width="14" customWidth="1"/>
    <col min="10756" max="10756" width="62.5703125" customWidth="1"/>
    <col min="10757" max="10757" width="17" bestFit="1" customWidth="1"/>
    <col min="10758" max="10758" width="13" customWidth="1"/>
    <col min="10759" max="10759" width="13.7109375" customWidth="1"/>
    <col min="10760" max="10760" width="14" customWidth="1"/>
    <col min="11012" max="11012" width="62.5703125" customWidth="1"/>
    <col min="11013" max="11013" width="17" bestFit="1" customWidth="1"/>
    <col min="11014" max="11014" width="13" customWidth="1"/>
    <col min="11015" max="11015" width="13.7109375" customWidth="1"/>
    <col min="11016" max="11016" width="14" customWidth="1"/>
    <col min="11268" max="11268" width="62.5703125" customWidth="1"/>
    <col min="11269" max="11269" width="17" bestFit="1" customWidth="1"/>
    <col min="11270" max="11270" width="13" customWidth="1"/>
    <col min="11271" max="11271" width="13.7109375" customWidth="1"/>
    <col min="11272" max="11272" width="14" customWidth="1"/>
    <col min="11524" max="11524" width="62.5703125" customWidth="1"/>
    <col min="11525" max="11525" width="17" bestFit="1" customWidth="1"/>
    <col min="11526" max="11526" width="13" customWidth="1"/>
    <col min="11527" max="11527" width="13.7109375" customWidth="1"/>
    <col min="11528" max="11528" width="14" customWidth="1"/>
    <col min="11780" max="11780" width="62.5703125" customWidth="1"/>
    <col min="11781" max="11781" width="17" bestFit="1" customWidth="1"/>
    <col min="11782" max="11782" width="13" customWidth="1"/>
    <col min="11783" max="11783" width="13.7109375" customWidth="1"/>
    <col min="11784" max="11784" width="14" customWidth="1"/>
    <col min="12036" max="12036" width="62.5703125" customWidth="1"/>
    <col min="12037" max="12037" width="17" bestFit="1" customWidth="1"/>
    <col min="12038" max="12038" width="13" customWidth="1"/>
    <col min="12039" max="12039" width="13.7109375" customWidth="1"/>
    <col min="12040" max="12040" width="14" customWidth="1"/>
    <col min="12292" max="12292" width="62.5703125" customWidth="1"/>
    <col min="12293" max="12293" width="17" bestFit="1" customWidth="1"/>
    <col min="12294" max="12294" width="13" customWidth="1"/>
    <col min="12295" max="12295" width="13.7109375" customWidth="1"/>
    <col min="12296" max="12296" width="14" customWidth="1"/>
    <col min="12548" max="12548" width="62.5703125" customWidth="1"/>
    <col min="12549" max="12549" width="17" bestFit="1" customWidth="1"/>
    <col min="12550" max="12550" width="13" customWidth="1"/>
    <col min="12551" max="12551" width="13.7109375" customWidth="1"/>
    <col min="12552" max="12552" width="14" customWidth="1"/>
    <col min="12804" max="12804" width="62.5703125" customWidth="1"/>
    <col min="12805" max="12805" width="17" bestFit="1" customWidth="1"/>
    <col min="12806" max="12806" width="13" customWidth="1"/>
    <col min="12807" max="12807" width="13.7109375" customWidth="1"/>
    <col min="12808" max="12808" width="14" customWidth="1"/>
    <col min="13060" max="13060" width="62.5703125" customWidth="1"/>
    <col min="13061" max="13061" width="17" bestFit="1" customWidth="1"/>
    <col min="13062" max="13062" width="13" customWidth="1"/>
    <col min="13063" max="13063" width="13.7109375" customWidth="1"/>
    <col min="13064" max="13064" width="14" customWidth="1"/>
    <col min="13316" max="13316" width="62.5703125" customWidth="1"/>
    <col min="13317" max="13317" width="17" bestFit="1" customWidth="1"/>
    <col min="13318" max="13318" width="13" customWidth="1"/>
    <col min="13319" max="13319" width="13.7109375" customWidth="1"/>
    <col min="13320" max="13320" width="14" customWidth="1"/>
    <col min="13572" max="13572" width="62.5703125" customWidth="1"/>
    <col min="13573" max="13573" width="17" bestFit="1" customWidth="1"/>
    <col min="13574" max="13574" width="13" customWidth="1"/>
    <col min="13575" max="13575" width="13.7109375" customWidth="1"/>
    <col min="13576" max="13576" width="14" customWidth="1"/>
    <col min="13828" max="13828" width="62.5703125" customWidth="1"/>
    <col min="13829" max="13829" width="17" bestFit="1" customWidth="1"/>
    <col min="13830" max="13830" width="13" customWidth="1"/>
    <col min="13831" max="13831" width="13.7109375" customWidth="1"/>
    <col min="13832" max="13832" width="14" customWidth="1"/>
    <col min="14084" max="14084" width="62.5703125" customWidth="1"/>
    <col min="14085" max="14085" width="17" bestFit="1" customWidth="1"/>
    <col min="14086" max="14086" width="13" customWidth="1"/>
    <col min="14087" max="14087" width="13.7109375" customWidth="1"/>
    <col min="14088" max="14088" width="14" customWidth="1"/>
    <col min="14340" max="14340" width="62.5703125" customWidth="1"/>
    <col min="14341" max="14341" width="17" bestFit="1" customWidth="1"/>
    <col min="14342" max="14342" width="13" customWidth="1"/>
    <col min="14343" max="14343" width="13.7109375" customWidth="1"/>
    <col min="14344" max="14344" width="14" customWidth="1"/>
    <col min="14596" max="14596" width="62.5703125" customWidth="1"/>
    <col min="14597" max="14597" width="17" bestFit="1" customWidth="1"/>
    <col min="14598" max="14598" width="13" customWidth="1"/>
    <col min="14599" max="14599" width="13.7109375" customWidth="1"/>
    <col min="14600" max="14600" width="14" customWidth="1"/>
    <col min="14852" max="14852" width="62.5703125" customWidth="1"/>
    <col min="14853" max="14853" width="17" bestFit="1" customWidth="1"/>
    <col min="14854" max="14854" width="13" customWidth="1"/>
    <col min="14855" max="14855" width="13.7109375" customWidth="1"/>
    <col min="14856" max="14856" width="14" customWidth="1"/>
    <col min="15108" max="15108" width="62.5703125" customWidth="1"/>
    <col min="15109" max="15109" width="17" bestFit="1" customWidth="1"/>
    <col min="15110" max="15110" width="13" customWidth="1"/>
    <col min="15111" max="15111" width="13.7109375" customWidth="1"/>
    <col min="15112" max="15112" width="14" customWidth="1"/>
    <col min="15364" max="15364" width="62.5703125" customWidth="1"/>
    <col min="15365" max="15365" width="17" bestFit="1" customWidth="1"/>
    <col min="15366" max="15366" width="13" customWidth="1"/>
    <col min="15367" max="15367" width="13.7109375" customWidth="1"/>
    <col min="15368" max="15368" width="14" customWidth="1"/>
    <col min="15620" max="15620" width="62.5703125" customWidth="1"/>
    <col min="15621" max="15621" width="17" bestFit="1" customWidth="1"/>
    <col min="15622" max="15622" width="13" customWidth="1"/>
    <col min="15623" max="15623" width="13.7109375" customWidth="1"/>
    <col min="15624" max="15624" width="14" customWidth="1"/>
    <col min="15876" max="15876" width="62.5703125" customWidth="1"/>
    <col min="15877" max="15877" width="17" bestFit="1" customWidth="1"/>
    <col min="15878" max="15878" width="13" customWidth="1"/>
    <col min="15879" max="15879" width="13.7109375" customWidth="1"/>
    <col min="15880" max="15880" width="14" customWidth="1"/>
    <col min="16132" max="16132" width="62.5703125" customWidth="1"/>
    <col min="16133" max="16133" width="17" bestFit="1" customWidth="1"/>
    <col min="16134" max="16134" width="13" customWidth="1"/>
    <col min="16135" max="16135" width="13.7109375" customWidth="1"/>
    <col min="16136" max="16136" width="14" customWidth="1"/>
  </cols>
  <sheetData>
    <row r="1" spans="2:8" x14ac:dyDescent="0.25">
      <c r="B1" s="1"/>
      <c r="C1" s="2"/>
      <c r="D1" s="2"/>
      <c r="E1" s="52">
        <v>45900</v>
      </c>
    </row>
    <row r="2" spans="2:8" x14ac:dyDescent="0.25">
      <c r="B2" s="4"/>
      <c r="C2" s="2"/>
      <c r="D2" s="2"/>
      <c r="E2" s="3"/>
    </row>
    <row r="3" spans="2:8" ht="15.75" x14ac:dyDescent="0.25">
      <c r="B3" s="4"/>
      <c r="C3" s="2"/>
      <c r="D3" s="7" t="s">
        <v>113</v>
      </c>
      <c r="E3" s="3"/>
    </row>
    <row r="4" spans="2:8" x14ac:dyDescent="0.25">
      <c r="B4" s="5" t="s">
        <v>117</v>
      </c>
      <c r="C4" s="6"/>
      <c r="E4" s="8"/>
    </row>
    <row r="5" spans="2:8" ht="15.75" thickBot="1" x14ac:dyDescent="0.3">
      <c r="B5" s="9"/>
      <c r="C5" s="6"/>
      <c r="D5" s="6"/>
      <c r="E5" s="8"/>
    </row>
    <row r="6" spans="2:8" ht="15.75" thickBot="1" x14ac:dyDescent="0.3">
      <c r="B6" s="93" t="s">
        <v>0</v>
      </c>
      <c r="C6" s="44"/>
      <c r="D6" s="101">
        <f>+E1</f>
        <v>45900</v>
      </c>
      <c r="E6" s="70">
        <f>+MAYOR!I51</f>
        <v>5417222.8300000019</v>
      </c>
      <c r="F6" s="14"/>
      <c r="G6" s="13"/>
      <c r="H6" s="13"/>
    </row>
    <row r="7" spans="2:8" x14ac:dyDescent="0.25">
      <c r="B7" s="15" t="s">
        <v>1</v>
      </c>
      <c r="C7" s="16"/>
      <c r="D7" s="16"/>
      <c r="E7" s="17"/>
    </row>
    <row r="8" spans="2:8" x14ac:dyDescent="0.25">
      <c r="B8" s="107" t="s">
        <v>2</v>
      </c>
      <c r="C8" s="111"/>
      <c r="D8" s="111"/>
      <c r="E8" s="112"/>
    </row>
    <row r="9" spans="2:8" x14ac:dyDescent="0.25">
      <c r="B9" s="9"/>
      <c r="C9" s="16"/>
      <c r="D9" s="16"/>
      <c r="E9" s="8"/>
    </row>
    <row r="10" spans="2:8" x14ac:dyDescent="0.25">
      <c r="B10" s="102" t="s">
        <v>3</v>
      </c>
      <c r="C10" s="103" t="s">
        <v>4</v>
      </c>
      <c r="D10" s="103" t="s">
        <v>6</v>
      </c>
      <c r="E10" s="104" t="s">
        <v>7</v>
      </c>
    </row>
    <row r="11" spans="2:8" x14ac:dyDescent="0.25">
      <c r="B11" s="15"/>
      <c r="C11" s="55"/>
      <c r="E11" s="56"/>
    </row>
    <row r="12" spans="2:8" x14ac:dyDescent="0.25">
      <c r="B12" s="15"/>
      <c r="C12" s="55"/>
      <c r="E12" s="56"/>
    </row>
    <row r="13" spans="2:8" ht="15.75" thickBot="1" x14ac:dyDescent="0.3">
      <c r="B13"/>
      <c r="C13" s="55"/>
      <c r="E13" s="56"/>
    </row>
    <row r="14" spans="2:8" ht="15.75" thickBot="1" x14ac:dyDescent="0.3">
      <c r="B14" s="23"/>
      <c r="C14" s="24"/>
      <c r="D14" s="24"/>
      <c r="E14" s="25">
        <f>SUM(E11:E13)</f>
        <v>0</v>
      </c>
      <c r="G14" s="50"/>
    </row>
    <row r="15" spans="2:8" x14ac:dyDescent="0.25">
      <c r="B15" s="22"/>
      <c r="C15" s="2"/>
      <c r="D15" s="2"/>
      <c r="E15" s="26"/>
    </row>
    <row r="16" spans="2:8" x14ac:dyDescent="0.25">
      <c r="B16" s="107" t="s">
        <v>8</v>
      </c>
      <c r="C16" s="108"/>
      <c r="D16" s="109"/>
      <c r="E16" s="110"/>
    </row>
    <row r="17" spans="2:7" x14ac:dyDescent="0.25">
      <c r="B17" s="9"/>
      <c r="C17" s="27"/>
      <c r="D17" s="28"/>
      <c r="E17" s="29"/>
    </row>
    <row r="18" spans="2:7" x14ac:dyDescent="0.25">
      <c r="B18" s="18" t="s">
        <v>3</v>
      </c>
      <c r="C18" s="19" t="s">
        <v>9</v>
      </c>
      <c r="D18" s="19" t="s">
        <v>6</v>
      </c>
      <c r="E18" s="20" t="s">
        <v>7</v>
      </c>
    </row>
    <row r="19" spans="2:7" x14ac:dyDescent="0.25">
      <c r="B19" s="15"/>
      <c r="C19" s="55"/>
      <c r="D19" s="55"/>
      <c r="E19" s="56"/>
    </row>
    <row r="20" spans="2:7" x14ac:dyDescent="0.25">
      <c r="B20" s="15"/>
      <c r="C20" s="55"/>
      <c r="D20" s="55"/>
      <c r="E20" s="56"/>
    </row>
    <row r="21" spans="2:7" ht="15.75" thickBot="1" x14ac:dyDescent="0.3">
      <c r="B21"/>
      <c r="E21" s="50"/>
      <c r="F21" s="73"/>
    </row>
    <row r="22" spans="2:7" ht="15.75" thickBot="1" x14ac:dyDescent="0.3">
      <c r="B22" s="23"/>
      <c r="C22" s="24"/>
      <c r="D22" s="24"/>
      <c r="E22" s="25">
        <f>SUM(E19:E21)</f>
        <v>0</v>
      </c>
      <c r="G22" s="50"/>
    </row>
    <row r="23" spans="2:7" x14ac:dyDescent="0.25">
      <c r="B23" s="22"/>
      <c r="C23" s="2"/>
      <c r="D23" s="2"/>
      <c r="E23" s="26"/>
    </row>
    <row r="24" spans="2:7" x14ac:dyDescent="0.25">
      <c r="B24" s="107" t="s">
        <v>10</v>
      </c>
      <c r="C24" s="111"/>
      <c r="D24" s="111"/>
      <c r="E24" s="112"/>
    </row>
    <row r="25" spans="2:7" x14ac:dyDescent="0.25">
      <c r="B25" s="9"/>
      <c r="C25" s="16"/>
      <c r="D25" s="16"/>
      <c r="E25" s="30"/>
    </row>
    <row r="26" spans="2:7" x14ac:dyDescent="0.25">
      <c r="B26" s="18" t="s">
        <v>3</v>
      </c>
      <c r="C26" s="19" t="s">
        <v>4</v>
      </c>
      <c r="D26" s="19" t="s">
        <v>6</v>
      </c>
      <c r="E26" s="20" t="s">
        <v>7</v>
      </c>
    </row>
    <row r="27" spans="2:7" ht="16.5" customHeight="1" x14ac:dyDescent="0.25">
      <c r="B27" s="69" t="s">
        <v>45</v>
      </c>
      <c r="C27">
        <v>56</v>
      </c>
      <c r="D27" s="82" t="s">
        <v>114</v>
      </c>
      <c r="E27" s="68">
        <v>608751</v>
      </c>
      <c r="F27" s="60"/>
    </row>
    <row r="28" spans="2:7" ht="16.5" customHeight="1" x14ac:dyDescent="0.25">
      <c r="B28" s="84" t="s">
        <v>48</v>
      </c>
      <c r="C28">
        <v>15133</v>
      </c>
      <c r="D28" s="82" t="s">
        <v>115</v>
      </c>
      <c r="E28" s="68">
        <v>245662.98</v>
      </c>
      <c r="F28" s="60"/>
    </row>
    <row r="29" spans="2:7" ht="16.5" customHeight="1" thickBot="1" x14ac:dyDescent="0.3">
      <c r="B29" s="84"/>
      <c r="D29" s="82"/>
      <c r="E29" s="68"/>
      <c r="F29" s="60"/>
    </row>
    <row r="30" spans="2:7" ht="15.75" thickBot="1" x14ac:dyDescent="0.3">
      <c r="B30" s="23"/>
      <c r="C30" s="24"/>
      <c r="D30" s="24"/>
      <c r="E30" s="31">
        <f>SUM(E27:E29)</f>
        <v>854413.98</v>
      </c>
      <c r="G30" s="14"/>
    </row>
    <row r="31" spans="2:7" x14ac:dyDescent="0.25">
      <c r="B31" s="22"/>
      <c r="C31" s="2"/>
      <c r="D31" s="2"/>
      <c r="E31" s="32"/>
    </row>
    <row r="32" spans="2:7" x14ac:dyDescent="0.25">
      <c r="B32" s="105" t="s">
        <v>11</v>
      </c>
      <c r="C32" s="113"/>
      <c r="D32" s="113"/>
      <c r="E32" s="114"/>
    </row>
    <row r="34" spans="2:5" x14ac:dyDescent="0.25">
      <c r="B34" s="18" t="s">
        <v>3</v>
      </c>
      <c r="C34" s="19" t="s">
        <v>4</v>
      </c>
      <c r="D34" s="19" t="s">
        <v>6</v>
      </c>
      <c r="E34" s="20" t="s">
        <v>7</v>
      </c>
    </row>
    <row r="35" spans="2:5" x14ac:dyDescent="0.25">
      <c r="B35" s="15"/>
      <c r="C35" s="55"/>
      <c r="D35" s="55"/>
      <c r="E35" s="56"/>
    </row>
    <row r="36" spans="2:5" x14ac:dyDescent="0.25">
      <c r="B36" s="15"/>
      <c r="C36" s="55"/>
      <c r="D36" s="55"/>
      <c r="E36" s="56"/>
    </row>
    <row r="37" spans="2:5" ht="15.75" thickBot="1" x14ac:dyDescent="0.3">
      <c r="B37" s="35"/>
      <c r="C37" s="36"/>
      <c r="D37" s="37"/>
      <c r="E37" s="38"/>
    </row>
    <row r="38" spans="2:5" ht="15.75" thickBot="1" x14ac:dyDescent="0.3">
      <c r="B38" s="93"/>
      <c r="C38" s="44"/>
      <c r="D38" s="44"/>
      <c r="E38" s="25">
        <f>SUM(E35:E37)</f>
        <v>0</v>
      </c>
    </row>
    <row r="39" spans="2:5" x14ac:dyDescent="0.25">
      <c r="B39" s="9"/>
      <c r="C39" s="6"/>
      <c r="D39" s="6"/>
      <c r="E39" s="26"/>
    </row>
    <row r="40" spans="2:5" x14ac:dyDescent="0.25">
      <c r="B40" s="115" t="s">
        <v>12</v>
      </c>
      <c r="C40" s="113"/>
      <c r="D40" s="113"/>
      <c r="E40" s="116"/>
    </row>
    <row r="42" spans="2:5" x14ac:dyDescent="0.25">
      <c r="B42" s="18" t="s">
        <v>3</v>
      </c>
      <c r="C42" s="19" t="s">
        <v>4</v>
      </c>
      <c r="D42" s="19" t="s">
        <v>6</v>
      </c>
      <c r="E42" s="20" t="s">
        <v>7</v>
      </c>
    </row>
    <row r="43" spans="2:5" x14ac:dyDescent="0.25">
      <c r="E43" s="50"/>
    </row>
    <row r="44" spans="2:5" x14ac:dyDescent="0.25">
      <c r="E44" s="50"/>
    </row>
    <row r="45" spans="2:5" x14ac:dyDescent="0.25">
      <c r="E45" s="50"/>
    </row>
    <row r="46" spans="2:5" x14ac:dyDescent="0.25">
      <c r="E46" s="50"/>
    </row>
    <row r="47" spans="2:5" x14ac:dyDescent="0.25">
      <c r="E47" s="50"/>
    </row>
    <row r="48" spans="2:5" ht="15.75" thickBot="1" x14ac:dyDescent="0.3">
      <c r="B48" s="91"/>
      <c r="C48" s="16"/>
      <c r="D48" s="16"/>
      <c r="E48" s="129"/>
    </row>
    <row r="49" spans="2:10" ht="15.75" thickBot="1" x14ac:dyDescent="0.3">
      <c r="B49" s="43"/>
      <c r="C49" s="44"/>
      <c r="D49" s="44"/>
      <c r="E49" s="130">
        <f>SUM(E43:E48)</f>
        <v>0</v>
      </c>
      <c r="G49" s="50"/>
    </row>
    <row r="50" spans="2:10" x14ac:dyDescent="0.25">
      <c r="B50" s="9"/>
      <c r="C50" s="6"/>
      <c r="D50" s="6"/>
      <c r="E50" s="54"/>
    </row>
    <row r="51" spans="2:10" x14ac:dyDescent="0.25">
      <c r="B51" s="117" t="s">
        <v>13</v>
      </c>
      <c r="C51" s="118"/>
      <c r="D51" s="118"/>
      <c r="E51" s="119"/>
    </row>
    <row r="52" spans="2:10" x14ac:dyDescent="0.25">
      <c r="B52" s="53"/>
      <c r="C52" s="2"/>
      <c r="D52" s="2"/>
      <c r="E52" s="32"/>
    </row>
    <row r="53" spans="2:10" x14ac:dyDescent="0.25">
      <c r="B53" s="18" t="s">
        <v>3</v>
      </c>
      <c r="C53" s="19"/>
      <c r="D53" s="19" t="s">
        <v>6</v>
      </c>
      <c r="E53" s="20" t="s">
        <v>7</v>
      </c>
    </row>
    <row r="54" spans="2:10" ht="15.75" thickBot="1" x14ac:dyDescent="0.3">
      <c r="B54" s="53"/>
      <c r="C54" s="2"/>
      <c r="D54" s="2"/>
      <c r="E54" s="79">
        <f>+'GASTOS BANCARIOS'!D141</f>
        <v>1218733.9800000002</v>
      </c>
    </row>
    <row r="55" spans="2:10" ht="15.75" thickBot="1" x14ac:dyDescent="0.3">
      <c r="B55" s="23"/>
      <c r="C55" s="24"/>
      <c r="D55" s="24"/>
      <c r="E55" s="45">
        <f>SUM(E54:E54)</f>
        <v>1218733.9800000002</v>
      </c>
    </row>
    <row r="56" spans="2:10" ht="15.75" thickBot="1" x14ac:dyDescent="0.3">
      <c r="B56" s="22"/>
      <c r="C56" s="2"/>
      <c r="D56" s="2"/>
      <c r="E56" s="3"/>
      <c r="G56" s="50"/>
    </row>
    <row r="57" spans="2:10" ht="15.75" thickBot="1" x14ac:dyDescent="0.3">
      <c r="B57" s="22"/>
      <c r="C57" s="2"/>
      <c r="D57" s="2"/>
      <c r="E57" s="46">
        <f>+E6+E14-E22-E30+E49-E55-E38</f>
        <v>3344074.870000001</v>
      </c>
    </row>
    <row r="58" spans="2:10" x14ac:dyDescent="0.25">
      <c r="B58" s="34" t="s">
        <v>31</v>
      </c>
      <c r="D58" s="61">
        <f>+D6</f>
        <v>45900</v>
      </c>
      <c r="E58" s="50">
        <f>+EXTRACTO!F3</f>
        <v>5743373.0000000019</v>
      </c>
    </row>
    <row r="59" spans="2:10" x14ac:dyDescent="0.25">
      <c r="B59" s="22"/>
      <c r="C59" s="2"/>
      <c r="D59" s="2"/>
      <c r="E59" s="3"/>
    </row>
    <row r="60" spans="2:10" x14ac:dyDescent="0.25">
      <c r="B60" s="22"/>
      <c r="C60" s="2"/>
      <c r="D60" s="34" t="s">
        <v>14</v>
      </c>
      <c r="E60" s="67">
        <f>+E57-E58</f>
        <v>-2399298.1300000008</v>
      </c>
      <c r="F60" s="73"/>
      <c r="I60" s="50"/>
      <c r="J60" s="47"/>
    </row>
    <row r="61" spans="2:10" x14ac:dyDescent="0.25">
      <c r="B61" s="48"/>
      <c r="C61" s="2"/>
      <c r="D61" s="2"/>
      <c r="E61" s="49"/>
    </row>
    <row r="62" spans="2:10" x14ac:dyDescent="0.25">
      <c r="B62" s="48"/>
      <c r="C62" s="2"/>
      <c r="D62" s="2"/>
      <c r="E62" s="50"/>
    </row>
    <row r="63" spans="2:10" x14ac:dyDescent="0.25">
      <c r="E63" s="50"/>
    </row>
    <row r="64" spans="2:10" x14ac:dyDescent="0.25">
      <c r="E64" s="50"/>
    </row>
    <row r="65" spans="5:5" x14ac:dyDescent="0.25">
      <c r="E65" s="50"/>
    </row>
  </sheetData>
  <printOptions horizontalCentered="1"/>
  <pageMargins left="0.11811023622047245" right="0.11811023622047245" top="0.11811023622047245" bottom="0.11811023622047245" header="0.31496062992125984" footer="0.31496062992125984"/>
  <pageSetup paperSize="5" scale="7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D96ED-E468-4E82-BFE6-C02215BFCCD5}">
  <sheetPr>
    <pageSetUpPr fitToPage="1"/>
  </sheetPr>
  <dimension ref="B3:K62"/>
  <sheetViews>
    <sheetView showGridLines="0" topLeftCell="A42" workbookViewId="0">
      <selection sqref="A1:XFD1"/>
    </sheetView>
  </sheetViews>
  <sheetFormatPr baseColWidth="10" defaultRowHeight="15" x14ac:dyDescent="0.25"/>
  <cols>
    <col min="2" max="2" width="11.42578125" style="21" customWidth="1"/>
    <col min="5" max="5" width="62.5703125" customWidth="1"/>
    <col min="6" max="6" width="17" bestFit="1" customWidth="1"/>
    <col min="7" max="7" width="15.7109375" customWidth="1"/>
    <col min="8" max="8" width="13.7109375" customWidth="1"/>
    <col min="9" max="9" width="14" customWidth="1"/>
    <col min="261" max="261" width="62.5703125" customWidth="1"/>
    <col min="262" max="262" width="17" bestFit="1" customWidth="1"/>
    <col min="263" max="263" width="13" customWidth="1"/>
    <col min="264" max="264" width="13.7109375" customWidth="1"/>
    <col min="265" max="265" width="14" customWidth="1"/>
    <col min="517" max="517" width="62.5703125" customWidth="1"/>
    <col min="518" max="518" width="17" bestFit="1" customWidth="1"/>
    <col min="519" max="519" width="13" customWidth="1"/>
    <col min="520" max="520" width="13.7109375" customWidth="1"/>
    <col min="521" max="521" width="14" customWidth="1"/>
    <col min="773" max="773" width="62.5703125" customWidth="1"/>
    <col min="774" max="774" width="17" bestFit="1" customWidth="1"/>
    <col min="775" max="775" width="13" customWidth="1"/>
    <col min="776" max="776" width="13.7109375" customWidth="1"/>
    <col min="777" max="777" width="14" customWidth="1"/>
    <col min="1029" max="1029" width="62.5703125" customWidth="1"/>
    <col min="1030" max="1030" width="17" bestFit="1" customWidth="1"/>
    <col min="1031" max="1031" width="13" customWidth="1"/>
    <col min="1032" max="1032" width="13.7109375" customWidth="1"/>
    <col min="1033" max="1033" width="14" customWidth="1"/>
    <col min="1285" max="1285" width="62.5703125" customWidth="1"/>
    <col min="1286" max="1286" width="17" bestFit="1" customWidth="1"/>
    <col min="1287" max="1287" width="13" customWidth="1"/>
    <col min="1288" max="1288" width="13.7109375" customWidth="1"/>
    <col min="1289" max="1289" width="14" customWidth="1"/>
    <col min="1541" max="1541" width="62.5703125" customWidth="1"/>
    <col min="1542" max="1542" width="17" bestFit="1" customWidth="1"/>
    <col min="1543" max="1543" width="13" customWidth="1"/>
    <col min="1544" max="1544" width="13.7109375" customWidth="1"/>
    <col min="1545" max="1545" width="14" customWidth="1"/>
    <col min="1797" max="1797" width="62.5703125" customWidth="1"/>
    <col min="1798" max="1798" width="17" bestFit="1" customWidth="1"/>
    <col min="1799" max="1799" width="13" customWidth="1"/>
    <col min="1800" max="1800" width="13.7109375" customWidth="1"/>
    <col min="1801" max="1801" width="14" customWidth="1"/>
    <col min="2053" max="2053" width="62.5703125" customWidth="1"/>
    <col min="2054" max="2054" width="17" bestFit="1" customWidth="1"/>
    <col min="2055" max="2055" width="13" customWidth="1"/>
    <col min="2056" max="2056" width="13.7109375" customWidth="1"/>
    <col min="2057" max="2057" width="14" customWidth="1"/>
    <col min="2309" max="2309" width="62.5703125" customWidth="1"/>
    <col min="2310" max="2310" width="17" bestFit="1" customWidth="1"/>
    <col min="2311" max="2311" width="13" customWidth="1"/>
    <col min="2312" max="2312" width="13.7109375" customWidth="1"/>
    <col min="2313" max="2313" width="14" customWidth="1"/>
    <col min="2565" max="2565" width="62.5703125" customWidth="1"/>
    <col min="2566" max="2566" width="17" bestFit="1" customWidth="1"/>
    <col min="2567" max="2567" width="13" customWidth="1"/>
    <col min="2568" max="2568" width="13.7109375" customWidth="1"/>
    <col min="2569" max="2569" width="14" customWidth="1"/>
    <col min="2821" max="2821" width="62.5703125" customWidth="1"/>
    <col min="2822" max="2822" width="17" bestFit="1" customWidth="1"/>
    <col min="2823" max="2823" width="13" customWidth="1"/>
    <col min="2824" max="2824" width="13.7109375" customWidth="1"/>
    <col min="2825" max="2825" width="14" customWidth="1"/>
    <col min="3077" max="3077" width="62.5703125" customWidth="1"/>
    <col min="3078" max="3078" width="17" bestFit="1" customWidth="1"/>
    <col min="3079" max="3079" width="13" customWidth="1"/>
    <col min="3080" max="3080" width="13.7109375" customWidth="1"/>
    <col min="3081" max="3081" width="14" customWidth="1"/>
    <col min="3333" max="3333" width="62.5703125" customWidth="1"/>
    <col min="3334" max="3334" width="17" bestFit="1" customWidth="1"/>
    <col min="3335" max="3335" width="13" customWidth="1"/>
    <col min="3336" max="3336" width="13.7109375" customWidth="1"/>
    <col min="3337" max="3337" width="14" customWidth="1"/>
    <col min="3589" max="3589" width="62.5703125" customWidth="1"/>
    <col min="3590" max="3590" width="17" bestFit="1" customWidth="1"/>
    <col min="3591" max="3591" width="13" customWidth="1"/>
    <col min="3592" max="3592" width="13.7109375" customWidth="1"/>
    <col min="3593" max="3593" width="14" customWidth="1"/>
    <col min="3845" max="3845" width="62.5703125" customWidth="1"/>
    <col min="3846" max="3846" width="17" bestFit="1" customWidth="1"/>
    <col min="3847" max="3847" width="13" customWidth="1"/>
    <col min="3848" max="3848" width="13.7109375" customWidth="1"/>
    <col min="3849" max="3849" width="14" customWidth="1"/>
    <col min="4101" max="4101" width="62.5703125" customWidth="1"/>
    <col min="4102" max="4102" width="17" bestFit="1" customWidth="1"/>
    <col min="4103" max="4103" width="13" customWidth="1"/>
    <col min="4104" max="4104" width="13.7109375" customWidth="1"/>
    <col min="4105" max="4105" width="14" customWidth="1"/>
    <col min="4357" max="4357" width="62.5703125" customWidth="1"/>
    <col min="4358" max="4358" width="17" bestFit="1" customWidth="1"/>
    <col min="4359" max="4359" width="13" customWidth="1"/>
    <col min="4360" max="4360" width="13.7109375" customWidth="1"/>
    <col min="4361" max="4361" width="14" customWidth="1"/>
    <col min="4613" max="4613" width="62.5703125" customWidth="1"/>
    <col min="4614" max="4614" width="17" bestFit="1" customWidth="1"/>
    <col min="4615" max="4615" width="13" customWidth="1"/>
    <col min="4616" max="4616" width="13.7109375" customWidth="1"/>
    <col min="4617" max="4617" width="14" customWidth="1"/>
    <col min="4869" max="4869" width="62.5703125" customWidth="1"/>
    <col min="4870" max="4870" width="17" bestFit="1" customWidth="1"/>
    <col min="4871" max="4871" width="13" customWidth="1"/>
    <col min="4872" max="4872" width="13.7109375" customWidth="1"/>
    <col min="4873" max="4873" width="14" customWidth="1"/>
    <col min="5125" max="5125" width="62.5703125" customWidth="1"/>
    <col min="5126" max="5126" width="17" bestFit="1" customWidth="1"/>
    <col min="5127" max="5127" width="13" customWidth="1"/>
    <col min="5128" max="5128" width="13.7109375" customWidth="1"/>
    <col min="5129" max="5129" width="14" customWidth="1"/>
    <col min="5381" max="5381" width="62.5703125" customWidth="1"/>
    <col min="5382" max="5382" width="17" bestFit="1" customWidth="1"/>
    <col min="5383" max="5383" width="13" customWidth="1"/>
    <col min="5384" max="5384" width="13.7109375" customWidth="1"/>
    <col min="5385" max="5385" width="14" customWidth="1"/>
    <col min="5637" max="5637" width="62.5703125" customWidth="1"/>
    <col min="5638" max="5638" width="17" bestFit="1" customWidth="1"/>
    <col min="5639" max="5639" width="13" customWidth="1"/>
    <col min="5640" max="5640" width="13.7109375" customWidth="1"/>
    <col min="5641" max="5641" width="14" customWidth="1"/>
    <col min="5893" max="5893" width="62.5703125" customWidth="1"/>
    <col min="5894" max="5894" width="17" bestFit="1" customWidth="1"/>
    <col min="5895" max="5895" width="13" customWidth="1"/>
    <col min="5896" max="5896" width="13.7109375" customWidth="1"/>
    <col min="5897" max="5897" width="14" customWidth="1"/>
    <col min="6149" max="6149" width="62.5703125" customWidth="1"/>
    <col min="6150" max="6150" width="17" bestFit="1" customWidth="1"/>
    <col min="6151" max="6151" width="13" customWidth="1"/>
    <col min="6152" max="6152" width="13.7109375" customWidth="1"/>
    <col min="6153" max="6153" width="14" customWidth="1"/>
    <col min="6405" max="6405" width="62.5703125" customWidth="1"/>
    <col min="6406" max="6406" width="17" bestFit="1" customWidth="1"/>
    <col min="6407" max="6407" width="13" customWidth="1"/>
    <col min="6408" max="6408" width="13.7109375" customWidth="1"/>
    <col min="6409" max="6409" width="14" customWidth="1"/>
    <col min="6661" max="6661" width="62.5703125" customWidth="1"/>
    <col min="6662" max="6662" width="17" bestFit="1" customWidth="1"/>
    <col min="6663" max="6663" width="13" customWidth="1"/>
    <col min="6664" max="6664" width="13.7109375" customWidth="1"/>
    <col min="6665" max="6665" width="14" customWidth="1"/>
    <col min="6917" max="6917" width="62.5703125" customWidth="1"/>
    <col min="6918" max="6918" width="17" bestFit="1" customWidth="1"/>
    <col min="6919" max="6919" width="13" customWidth="1"/>
    <col min="6920" max="6920" width="13.7109375" customWidth="1"/>
    <col min="6921" max="6921" width="14" customWidth="1"/>
    <col min="7173" max="7173" width="62.5703125" customWidth="1"/>
    <col min="7174" max="7174" width="17" bestFit="1" customWidth="1"/>
    <col min="7175" max="7175" width="13" customWidth="1"/>
    <col min="7176" max="7176" width="13.7109375" customWidth="1"/>
    <col min="7177" max="7177" width="14" customWidth="1"/>
    <col min="7429" max="7429" width="62.5703125" customWidth="1"/>
    <col min="7430" max="7430" width="17" bestFit="1" customWidth="1"/>
    <col min="7431" max="7431" width="13" customWidth="1"/>
    <col min="7432" max="7432" width="13.7109375" customWidth="1"/>
    <col min="7433" max="7433" width="14" customWidth="1"/>
    <col min="7685" max="7685" width="62.5703125" customWidth="1"/>
    <col min="7686" max="7686" width="17" bestFit="1" customWidth="1"/>
    <col min="7687" max="7687" width="13" customWidth="1"/>
    <col min="7688" max="7688" width="13.7109375" customWidth="1"/>
    <col min="7689" max="7689" width="14" customWidth="1"/>
    <col min="7941" max="7941" width="62.5703125" customWidth="1"/>
    <col min="7942" max="7942" width="17" bestFit="1" customWidth="1"/>
    <col min="7943" max="7943" width="13" customWidth="1"/>
    <col min="7944" max="7944" width="13.7109375" customWidth="1"/>
    <col min="7945" max="7945" width="14" customWidth="1"/>
    <col min="8197" max="8197" width="62.5703125" customWidth="1"/>
    <col min="8198" max="8198" width="17" bestFit="1" customWidth="1"/>
    <col min="8199" max="8199" width="13" customWidth="1"/>
    <col min="8200" max="8200" width="13.7109375" customWidth="1"/>
    <col min="8201" max="8201" width="14" customWidth="1"/>
    <col min="8453" max="8453" width="62.5703125" customWidth="1"/>
    <col min="8454" max="8454" width="17" bestFit="1" customWidth="1"/>
    <col min="8455" max="8455" width="13" customWidth="1"/>
    <col min="8456" max="8456" width="13.7109375" customWidth="1"/>
    <col min="8457" max="8457" width="14" customWidth="1"/>
    <col min="8709" max="8709" width="62.5703125" customWidth="1"/>
    <col min="8710" max="8710" width="17" bestFit="1" customWidth="1"/>
    <col min="8711" max="8711" width="13" customWidth="1"/>
    <col min="8712" max="8712" width="13.7109375" customWidth="1"/>
    <col min="8713" max="8713" width="14" customWidth="1"/>
    <col min="8965" max="8965" width="62.5703125" customWidth="1"/>
    <col min="8966" max="8966" width="17" bestFit="1" customWidth="1"/>
    <col min="8967" max="8967" width="13" customWidth="1"/>
    <col min="8968" max="8968" width="13.7109375" customWidth="1"/>
    <col min="8969" max="8969" width="14" customWidth="1"/>
    <col min="9221" max="9221" width="62.5703125" customWidth="1"/>
    <col min="9222" max="9222" width="17" bestFit="1" customWidth="1"/>
    <col min="9223" max="9223" width="13" customWidth="1"/>
    <col min="9224" max="9224" width="13.7109375" customWidth="1"/>
    <col min="9225" max="9225" width="14" customWidth="1"/>
    <col min="9477" max="9477" width="62.5703125" customWidth="1"/>
    <col min="9478" max="9478" width="17" bestFit="1" customWidth="1"/>
    <col min="9479" max="9479" width="13" customWidth="1"/>
    <col min="9480" max="9480" width="13.7109375" customWidth="1"/>
    <col min="9481" max="9481" width="14" customWidth="1"/>
    <col min="9733" max="9733" width="62.5703125" customWidth="1"/>
    <col min="9734" max="9734" width="17" bestFit="1" customWidth="1"/>
    <col min="9735" max="9735" width="13" customWidth="1"/>
    <col min="9736" max="9736" width="13.7109375" customWidth="1"/>
    <col min="9737" max="9737" width="14" customWidth="1"/>
    <col min="9989" max="9989" width="62.5703125" customWidth="1"/>
    <col min="9990" max="9990" width="17" bestFit="1" customWidth="1"/>
    <col min="9991" max="9991" width="13" customWidth="1"/>
    <col min="9992" max="9992" width="13.7109375" customWidth="1"/>
    <col min="9993" max="9993" width="14" customWidth="1"/>
    <col min="10245" max="10245" width="62.5703125" customWidth="1"/>
    <col min="10246" max="10246" width="17" bestFit="1" customWidth="1"/>
    <col min="10247" max="10247" width="13" customWidth="1"/>
    <col min="10248" max="10248" width="13.7109375" customWidth="1"/>
    <col min="10249" max="10249" width="14" customWidth="1"/>
    <col min="10501" max="10501" width="62.5703125" customWidth="1"/>
    <col min="10502" max="10502" width="17" bestFit="1" customWidth="1"/>
    <col min="10503" max="10503" width="13" customWidth="1"/>
    <col min="10504" max="10504" width="13.7109375" customWidth="1"/>
    <col min="10505" max="10505" width="14" customWidth="1"/>
    <col min="10757" max="10757" width="62.5703125" customWidth="1"/>
    <col min="10758" max="10758" width="17" bestFit="1" customWidth="1"/>
    <col min="10759" max="10759" width="13" customWidth="1"/>
    <col min="10760" max="10760" width="13.7109375" customWidth="1"/>
    <col min="10761" max="10761" width="14" customWidth="1"/>
    <col min="11013" max="11013" width="62.5703125" customWidth="1"/>
    <col min="11014" max="11014" width="17" bestFit="1" customWidth="1"/>
    <col min="11015" max="11015" width="13" customWidth="1"/>
    <col min="11016" max="11016" width="13.7109375" customWidth="1"/>
    <col min="11017" max="11017" width="14" customWidth="1"/>
    <col min="11269" max="11269" width="62.5703125" customWidth="1"/>
    <col min="11270" max="11270" width="17" bestFit="1" customWidth="1"/>
    <col min="11271" max="11271" width="13" customWidth="1"/>
    <col min="11272" max="11272" width="13.7109375" customWidth="1"/>
    <col min="11273" max="11273" width="14" customWidth="1"/>
    <col min="11525" max="11525" width="62.5703125" customWidth="1"/>
    <col min="11526" max="11526" width="17" bestFit="1" customWidth="1"/>
    <col min="11527" max="11527" width="13" customWidth="1"/>
    <col min="11528" max="11528" width="13.7109375" customWidth="1"/>
    <col min="11529" max="11529" width="14" customWidth="1"/>
    <col min="11781" max="11781" width="62.5703125" customWidth="1"/>
    <col min="11782" max="11782" width="17" bestFit="1" customWidth="1"/>
    <col min="11783" max="11783" width="13" customWidth="1"/>
    <col min="11784" max="11784" width="13.7109375" customWidth="1"/>
    <col min="11785" max="11785" width="14" customWidth="1"/>
    <col min="12037" max="12037" width="62.5703125" customWidth="1"/>
    <col min="12038" max="12038" width="17" bestFit="1" customWidth="1"/>
    <col min="12039" max="12039" width="13" customWidth="1"/>
    <col min="12040" max="12040" width="13.7109375" customWidth="1"/>
    <col min="12041" max="12041" width="14" customWidth="1"/>
    <col min="12293" max="12293" width="62.5703125" customWidth="1"/>
    <col min="12294" max="12294" width="17" bestFit="1" customWidth="1"/>
    <col min="12295" max="12295" width="13" customWidth="1"/>
    <col min="12296" max="12296" width="13.7109375" customWidth="1"/>
    <col min="12297" max="12297" width="14" customWidth="1"/>
    <col min="12549" max="12549" width="62.5703125" customWidth="1"/>
    <col min="12550" max="12550" width="17" bestFit="1" customWidth="1"/>
    <col min="12551" max="12551" width="13" customWidth="1"/>
    <col min="12552" max="12552" width="13.7109375" customWidth="1"/>
    <col min="12553" max="12553" width="14" customWidth="1"/>
    <col min="12805" max="12805" width="62.5703125" customWidth="1"/>
    <col min="12806" max="12806" width="17" bestFit="1" customWidth="1"/>
    <col min="12807" max="12807" width="13" customWidth="1"/>
    <col min="12808" max="12808" width="13.7109375" customWidth="1"/>
    <col min="12809" max="12809" width="14" customWidth="1"/>
    <col min="13061" max="13061" width="62.5703125" customWidth="1"/>
    <col min="13062" max="13062" width="17" bestFit="1" customWidth="1"/>
    <col min="13063" max="13063" width="13" customWidth="1"/>
    <col min="13064" max="13064" width="13.7109375" customWidth="1"/>
    <col min="13065" max="13065" width="14" customWidth="1"/>
    <col min="13317" max="13317" width="62.5703125" customWidth="1"/>
    <col min="13318" max="13318" width="17" bestFit="1" customWidth="1"/>
    <col min="13319" max="13319" width="13" customWidth="1"/>
    <col min="13320" max="13320" width="13.7109375" customWidth="1"/>
    <col min="13321" max="13321" width="14" customWidth="1"/>
    <col min="13573" max="13573" width="62.5703125" customWidth="1"/>
    <col min="13574" max="13574" width="17" bestFit="1" customWidth="1"/>
    <col min="13575" max="13575" width="13" customWidth="1"/>
    <col min="13576" max="13576" width="13.7109375" customWidth="1"/>
    <col min="13577" max="13577" width="14" customWidth="1"/>
    <col min="13829" max="13829" width="62.5703125" customWidth="1"/>
    <col min="13830" max="13830" width="17" bestFit="1" customWidth="1"/>
    <col min="13831" max="13831" width="13" customWidth="1"/>
    <col min="13832" max="13832" width="13.7109375" customWidth="1"/>
    <col min="13833" max="13833" width="14" customWidth="1"/>
    <col min="14085" max="14085" width="62.5703125" customWidth="1"/>
    <col min="14086" max="14086" width="17" bestFit="1" customWidth="1"/>
    <col min="14087" max="14087" width="13" customWidth="1"/>
    <col min="14088" max="14088" width="13.7109375" customWidth="1"/>
    <col min="14089" max="14089" width="14" customWidth="1"/>
    <col min="14341" max="14341" width="62.5703125" customWidth="1"/>
    <col min="14342" max="14342" width="17" bestFit="1" customWidth="1"/>
    <col min="14343" max="14343" width="13" customWidth="1"/>
    <col min="14344" max="14344" width="13.7109375" customWidth="1"/>
    <col min="14345" max="14345" width="14" customWidth="1"/>
    <col min="14597" max="14597" width="62.5703125" customWidth="1"/>
    <col min="14598" max="14598" width="17" bestFit="1" customWidth="1"/>
    <col min="14599" max="14599" width="13" customWidth="1"/>
    <col min="14600" max="14600" width="13.7109375" customWidth="1"/>
    <col min="14601" max="14601" width="14" customWidth="1"/>
    <col min="14853" max="14853" width="62.5703125" customWidth="1"/>
    <col min="14854" max="14854" width="17" bestFit="1" customWidth="1"/>
    <col min="14855" max="14855" width="13" customWidth="1"/>
    <col min="14856" max="14856" width="13.7109375" customWidth="1"/>
    <col min="14857" max="14857" width="14" customWidth="1"/>
    <col min="15109" max="15109" width="62.5703125" customWidth="1"/>
    <col min="15110" max="15110" width="17" bestFit="1" customWidth="1"/>
    <col min="15111" max="15111" width="13" customWidth="1"/>
    <col min="15112" max="15112" width="13.7109375" customWidth="1"/>
    <col min="15113" max="15113" width="14" customWidth="1"/>
    <col min="15365" max="15365" width="62.5703125" customWidth="1"/>
    <col min="15366" max="15366" width="17" bestFit="1" customWidth="1"/>
    <col min="15367" max="15367" width="13" customWidth="1"/>
    <col min="15368" max="15368" width="13.7109375" customWidth="1"/>
    <col min="15369" max="15369" width="14" customWidth="1"/>
    <col min="15621" max="15621" width="62.5703125" customWidth="1"/>
    <col min="15622" max="15622" width="17" bestFit="1" customWidth="1"/>
    <col min="15623" max="15623" width="13" customWidth="1"/>
    <col min="15624" max="15624" width="13.7109375" customWidth="1"/>
    <col min="15625" max="15625" width="14" customWidth="1"/>
    <col min="15877" max="15877" width="62.5703125" customWidth="1"/>
    <col min="15878" max="15878" width="17" bestFit="1" customWidth="1"/>
    <col min="15879" max="15879" width="13" customWidth="1"/>
    <col min="15880" max="15880" width="13.7109375" customWidth="1"/>
    <col min="15881" max="15881" width="14" customWidth="1"/>
    <col min="16133" max="16133" width="62.5703125" customWidth="1"/>
    <col min="16134" max="16134" width="17" bestFit="1" customWidth="1"/>
    <col min="16135" max="16135" width="13" customWidth="1"/>
    <col min="16136" max="16136" width="13.7109375" customWidth="1"/>
    <col min="16137" max="16137" width="14" customWidth="1"/>
  </cols>
  <sheetData>
    <row r="3" spans="2:9" x14ac:dyDescent="0.25">
      <c r="B3" s="1"/>
      <c r="C3" s="2"/>
      <c r="D3" s="2"/>
      <c r="E3" s="2"/>
      <c r="F3" s="52">
        <v>45869</v>
      </c>
    </row>
    <row r="4" spans="2:9" ht="15.75" x14ac:dyDescent="0.25">
      <c r="B4" s="4"/>
      <c r="C4" s="2"/>
      <c r="D4" s="2"/>
      <c r="E4" s="7" t="s">
        <v>113</v>
      </c>
      <c r="F4" s="3"/>
    </row>
    <row r="5" spans="2:9" x14ac:dyDescent="0.25">
      <c r="B5" s="5" t="s">
        <v>117</v>
      </c>
      <c r="C5" s="6"/>
      <c r="D5" s="6"/>
      <c r="F5" s="8"/>
    </row>
    <row r="6" spans="2:9" ht="15.75" thickBot="1" x14ac:dyDescent="0.3">
      <c r="B6" s="9"/>
      <c r="C6" s="6"/>
      <c r="D6" s="6"/>
      <c r="E6" s="6"/>
      <c r="F6" s="8"/>
    </row>
    <row r="7" spans="2:9" ht="15.75" thickBot="1" x14ac:dyDescent="0.3">
      <c r="B7" s="10" t="s">
        <v>0</v>
      </c>
      <c r="C7" s="11"/>
      <c r="D7" s="12">
        <v>45869</v>
      </c>
      <c r="E7" s="11"/>
      <c r="F7" s="70">
        <v>7861892.7300000032</v>
      </c>
      <c r="G7" s="14"/>
      <c r="H7" s="13"/>
      <c r="I7" s="13"/>
    </row>
    <row r="8" spans="2:9" x14ac:dyDescent="0.25">
      <c r="B8" s="15" t="s">
        <v>1</v>
      </c>
      <c r="C8" s="16"/>
      <c r="D8" s="16"/>
      <c r="E8" s="16"/>
      <c r="F8" s="17"/>
    </row>
    <row r="9" spans="2:9" x14ac:dyDescent="0.25">
      <c r="B9" s="62" t="s">
        <v>2</v>
      </c>
      <c r="C9" s="63"/>
      <c r="D9" s="63"/>
      <c r="E9" s="63"/>
      <c r="F9" s="123"/>
    </row>
    <row r="10" spans="2:9" x14ac:dyDescent="0.25">
      <c r="B10" s="9"/>
      <c r="C10" s="16"/>
      <c r="D10" s="16"/>
      <c r="E10" s="16"/>
      <c r="F10" s="8"/>
    </row>
    <row r="11" spans="2:9" x14ac:dyDescent="0.25">
      <c r="B11" s="18" t="s">
        <v>3</v>
      </c>
      <c r="C11" s="19" t="s">
        <v>4</v>
      </c>
      <c r="D11" s="19" t="s">
        <v>5</v>
      </c>
      <c r="E11" s="19" t="s">
        <v>6</v>
      </c>
      <c r="F11" s="20" t="s">
        <v>7</v>
      </c>
    </row>
    <row r="12" spans="2:9" x14ac:dyDescent="0.25">
      <c r="B12" s="15"/>
      <c r="C12" s="55"/>
      <c r="D12" s="55"/>
      <c r="F12" s="56"/>
    </row>
    <row r="13" spans="2:9" ht="15.75" thickBot="1" x14ac:dyDescent="0.3">
      <c r="B13" s="15"/>
      <c r="C13" s="55"/>
      <c r="D13" s="55"/>
      <c r="F13" s="56"/>
    </row>
    <row r="14" spans="2:9" ht="15.75" thickBot="1" x14ac:dyDescent="0.3">
      <c r="B14" s="23"/>
      <c r="C14" s="24"/>
      <c r="D14" s="24"/>
      <c r="E14" s="24"/>
      <c r="F14" s="25">
        <v>0</v>
      </c>
      <c r="H14" s="50"/>
    </row>
    <row r="15" spans="2:9" x14ac:dyDescent="0.25">
      <c r="B15" s="22"/>
      <c r="C15" s="2"/>
      <c r="D15" s="2"/>
      <c r="E15" s="2"/>
      <c r="F15" s="26"/>
    </row>
    <row r="16" spans="2:9" x14ac:dyDescent="0.25">
      <c r="B16" s="62" t="s">
        <v>8</v>
      </c>
      <c r="C16" s="71"/>
      <c r="D16" s="72"/>
      <c r="E16" s="72"/>
      <c r="F16" s="124"/>
    </row>
    <row r="17" spans="2:8" x14ac:dyDescent="0.25">
      <c r="B17" s="9"/>
      <c r="C17" s="27"/>
      <c r="D17" s="28"/>
      <c r="E17" s="28"/>
      <c r="F17" s="29"/>
    </row>
    <row r="18" spans="2:8" x14ac:dyDescent="0.25">
      <c r="B18" s="18" t="s">
        <v>3</v>
      </c>
      <c r="C18" s="19" t="s">
        <v>9</v>
      </c>
      <c r="D18" s="19" t="s">
        <v>5</v>
      </c>
      <c r="E18" s="19" t="s">
        <v>6</v>
      </c>
      <c r="F18" s="20" t="s">
        <v>7</v>
      </c>
    </row>
    <row r="19" spans="2:8" x14ac:dyDescent="0.25">
      <c r="B19" s="15"/>
      <c r="C19" s="55"/>
      <c r="D19" s="55"/>
      <c r="E19" s="55"/>
      <c r="F19" s="56"/>
    </row>
    <row r="20" spans="2:8" x14ac:dyDescent="0.25">
      <c r="B20" s="15"/>
      <c r="C20" s="55"/>
      <c r="D20" s="55"/>
      <c r="E20" s="55"/>
      <c r="F20" s="56"/>
    </row>
    <row r="21" spans="2:8" ht="15.75" thickBot="1" x14ac:dyDescent="0.3">
      <c r="B21"/>
      <c r="D21" s="2"/>
      <c r="F21" s="50"/>
      <c r="G21" s="73"/>
    </row>
    <row r="22" spans="2:8" ht="15.75" thickBot="1" x14ac:dyDescent="0.3">
      <c r="B22" s="23"/>
      <c r="C22" s="24"/>
      <c r="D22" s="24"/>
      <c r="E22" s="24"/>
      <c r="F22" s="25">
        <v>0</v>
      </c>
      <c r="H22" s="50"/>
    </row>
    <row r="23" spans="2:8" x14ac:dyDescent="0.25">
      <c r="B23" s="22"/>
      <c r="C23" s="2"/>
      <c r="D23" s="2"/>
      <c r="E23" s="2"/>
      <c r="F23" s="26"/>
    </row>
    <row r="24" spans="2:8" x14ac:dyDescent="0.25">
      <c r="B24" s="105" t="s">
        <v>10</v>
      </c>
      <c r="C24" s="106"/>
      <c r="D24" s="106"/>
      <c r="E24" s="106"/>
      <c r="F24" s="121"/>
    </row>
    <row r="25" spans="2:8" x14ac:dyDescent="0.25">
      <c r="B25" s="96"/>
      <c r="C25" s="16"/>
      <c r="D25" s="16"/>
      <c r="E25" s="16"/>
      <c r="F25" s="8"/>
    </row>
    <row r="26" spans="2:8" x14ac:dyDescent="0.25">
      <c r="B26" s="18" t="s">
        <v>3</v>
      </c>
      <c r="C26" s="19" t="s">
        <v>4</v>
      </c>
      <c r="D26" s="19" t="s">
        <v>5</v>
      </c>
      <c r="E26" s="19" t="s">
        <v>6</v>
      </c>
      <c r="F26" s="20" t="s">
        <v>7</v>
      </c>
    </row>
    <row r="27" spans="2:8" ht="16.5" customHeight="1" x14ac:dyDescent="0.25">
      <c r="B27" s="69" t="s">
        <v>45</v>
      </c>
      <c r="C27">
        <v>56</v>
      </c>
      <c r="D27" s="55"/>
      <c r="E27" s="82" t="s">
        <v>114</v>
      </c>
      <c r="F27" s="68">
        <v>608751</v>
      </c>
      <c r="G27" s="60"/>
    </row>
    <row r="28" spans="2:8" ht="16.5" customHeight="1" x14ac:dyDescent="0.25">
      <c r="B28" s="69" t="s">
        <v>48</v>
      </c>
      <c r="C28">
        <v>15133</v>
      </c>
      <c r="D28" s="55"/>
      <c r="E28" s="82" t="s">
        <v>115</v>
      </c>
      <c r="F28" s="68">
        <v>245662.98</v>
      </c>
      <c r="G28" s="60"/>
    </row>
    <row r="29" spans="2:8" ht="20.25" customHeight="1" thickBot="1" x14ac:dyDescent="0.3">
      <c r="B29" s="58"/>
      <c r="C29" s="55"/>
      <c r="D29" s="55"/>
      <c r="E29" s="65"/>
      <c r="F29" s="68"/>
      <c r="G29" s="60"/>
    </row>
    <row r="30" spans="2:8" ht="15.75" thickBot="1" x14ac:dyDescent="0.3">
      <c r="B30" s="23"/>
      <c r="C30" s="24"/>
      <c r="D30" s="24"/>
      <c r="E30" s="24"/>
      <c r="F30" s="31">
        <f>SUM(F27:F29)</f>
        <v>854413.98</v>
      </c>
      <c r="H30" s="14"/>
    </row>
    <row r="31" spans="2:8" ht="10.5" customHeight="1" x14ac:dyDescent="0.25">
      <c r="B31" s="97"/>
      <c r="C31" s="34"/>
      <c r="D31" s="34"/>
      <c r="E31" s="34"/>
      <c r="F31" s="98"/>
      <c r="H31" s="14"/>
    </row>
    <row r="32" spans="2:8" x14ac:dyDescent="0.25">
      <c r="B32" s="33" t="s">
        <v>11</v>
      </c>
      <c r="C32" s="34"/>
      <c r="D32" s="34"/>
      <c r="E32" s="34"/>
      <c r="F32" s="98"/>
      <c r="H32" s="14"/>
    </row>
    <row r="33" spans="2:8" x14ac:dyDescent="0.25">
      <c r="B33" s="33"/>
      <c r="C33" s="34"/>
      <c r="D33" s="34"/>
      <c r="E33" s="34"/>
      <c r="F33" s="98"/>
      <c r="H33" s="14"/>
    </row>
    <row r="34" spans="2:8" ht="15.75" thickBot="1" x14ac:dyDescent="0.3">
      <c r="B34" s="22"/>
      <c r="C34" s="2"/>
      <c r="D34" s="2"/>
      <c r="E34" s="2"/>
      <c r="F34" s="32"/>
    </row>
    <row r="35" spans="2:8" ht="15.75" thickBot="1" x14ac:dyDescent="0.3">
      <c r="B35" s="93"/>
      <c r="C35" s="44"/>
      <c r="D35" s="44"/>
      <c r="E35" s="44"/>
      <c r="F35" s="25"/>
    </row>
    <row r="36" spans="2:8" x14ac:dyDescent="0.25">
      <c r="B36" s="35"/>
      <c r="C36" s="36"/>
      <c r="D36" s="36"/>
      <c r="E36" s="37"/>
      <c r="F36" s="38">
        <v>0</v>
      </c>
    </row>
    <row r="37" spans="2:8" ht="15.75" thickBot="1" x14ac:dyDescent="0.3">
      <c r="B37" s="39"/>
      <c r="C37" s="40"/>
      <c r="D37" s="40"/>
      <c r="E37" s="41"/>
      <c r="F37" s="42"/>
    </row>
    <row r="38" spans="2:8" ht="15.75" thickBot="1" x14ac:dyDescent="0.3">
      <c r="B38" s="93" t="s">
        <v>12</v>
      </c>
      <c r="C38" s="44"/>
      <c r="D38" s="44"/>
      <c r="E38" s="44"/>
      <c r="F38" s="25"/>
    </row>
    <row r="39" spans="2:8" x14ac:dyDescent="0.25">
      <c r="B39" s="9"/>
      <c r="C39" s="6"/>
      <c r="D39" s="6"/>
      <c r="E39" s="6"/>
      <c r="F39" s="26"/>
    </row>
    <row r="40" spans="2:8" x14ac:dyDescent="0.25">
      <c r="B40" s="105" t="s">
        <v>10</v>
      </c>
      <c r="C40" s="106"/>
      <c r="D40" s="106"/>
      <c r="E40" s="121"/>
      <c r="F40" s="122"/>
    </row>
    <row r="42" spans="2:8" x14ac:dyDescent="0.25">
      <c r="B42" s="99" t="s">
        <v>3</v>
      </c>
      <c r="C42" s="100" t="s">
        <v>4</v>
      </c>
      <c r="D42" s="100" t="s">
        <v>5</v>
      </c>
      <c r="E42" s="100" t="s">
        <v>6</v>
      </c>
      <c r="F42" s="94" t="s">
        <v>7</v>
      </c>
    </row>
    <row r="43" spans="2:8" x14ac:dyDescent="0.25">
      <c r="B43" s="15" t="s">
        <v>42</v>
      </c>
      <c r="C43" s="55">
        <v>898980</v>
      </c>
      <c r="D43" s="28"/>
      <c r="E43" s="28" t="s">
        <v>116</v>
      </c>
      <c r="F43" s="95">
        <v>2000000</v>
      </c>
    </row>
    <row r="44" spans="2:8" ht="15.75" thickBot="1" x14ac:dyDescent="0.3">
      <c r="B44" s="15" t="s">
        <v>42</v>
      </c>
      <c r="C44" s="55">
        <v>775443</v>
      </c>
      <c r="D44" s="55"/>
      <c r="E44" s="120" t="s">
        <v>43</v>
      </c>
      <c r="F44" s="56">
        <v>1360695.2100000037</v>
      </c>
    </row>
    <row r="45" spans="2:8" ht="15.75" thickBot="1" x14ac:dyDescent="0.3">
      <c r="B45" s="43"/>
      <c r="C45" s="44"/>
      <c r="D45" s="44"/>
      <c r="E45" s="44"/>
      <c r="F45" s="51">
        <f>SUM(F43:F44)</f>
        <v>3360695.2100000037</v>
      </c>
    </row>
    <row r="46" spans="2:8" x14ac:dyDescent="0.25">
      <c r="B46" s="58"/>
      <c r="D46" s="55"/>
      <c r="E46" s="58"/>
      <c r="F46" s="68"/>
    </row>
    <row r="47" spans="2:8" x14ac:dyDescent="0.25">
      <c r="B47" s="99" t="s">
        <v>3</v>
      </c>
      <c r="C47" s="100"/>
      <c r="D47" s="100"/>
      <c r="E47" s="100" t="s">
        <v>6</v>
      </c>
      <c r="F47" s="94" t="s">
        <v>7</v>
      </c>
    </row>
    <row r="48" spans="2:8" x14ac:dyDescent="0.25">
      <c r="B48" s="58"/>
      <c r="D48" s="55"/>
      <c r="E48" s="58"/>
      <c r="F48" s="68"/>
    </row>
    <row r="49" spans="2:11" x14ac:dyDescent="0.25">
      <c r="B49" s="57" t="s">
        <v>13</v>
      </c>
      <c r="C49" s="64"/>
      <c r="D49" s="64"/>
      <c r="E49" s="64"/>
      <c r="F49" s="125"/>
      <c r="H49" s="50"/>
    </row>
    <row r="50" spans="2:11" ht="15.75" thickBot="1" x14ac:dyDescent="0.3">
      <c r="B50" s="9"/>
      <c r="C50" s="6"/>
      <c r="D50" s="6"/>
      <c r="E50" s="6"/>
      <c r="F50" s="54"/>
    </row>
    <row r="51" spans="2:11" ht="18" customHeight="1" thickBot="1" x14ac:dyDescent="0.3">
      <c r="B51" s="23"/>
      <c r="C51" s="24"/>
      <c r="D51" s="24"/>
      <c r="E51" s="24"/>
      <c r="F51" s="45"/>
    </row>
    <row r="53" spans="2:11" ht="15.75" thickBot="1" x14ac:dyDescent="0.3">
      <c r="B53" s="22"/>
      <c r="C53" s="2"/>
      <c r="D53" s="2"/>
      <c r="E53" s="2"/>
      <c r="F53" s="3"/>
      <c r="H53" s="50"/>
    </row>
    <row r="54" spans="2:11" ht="15.75" thickBot="1" x14ac:dyDescent="0.3">
      <c r="B54" s="22"/>
      <c r="C54" s="2"/>
      <c r="D54" s="2"/>
      <c r="E54" s="2"/>
      <c r="F54" s="126">
        <f>F7+F14-F22-F30-F35+F38-F45-F51</f>
        <v>3646783.54</v>
      </c>
    </row>
    <row r="55" spans="2:11" x14ac:dyDescent="0.25">
      <c r="B55" s="22"/>
      <c r="C55" s="34" t="s">
        <v>31</v>
      </c>
      <c r="E55" s="61">
        <v>45838</v>
      </c>
      <c r="F55" s="127">
        <v>3646783.54</v>
      </c>
    </row>
    <row r="56" spans="2:11" x14ac:dyDescent="0.25">
      <c r="B56" s="22"/>
      <c r="C56" s="2"/>
      <c r="D56" s="2"/>
      <c r="E56" s="2"/>
      <c r="F56" s="3"/>
    </row>
    <row r="57" spans="2:11" x14ac:dyDescent="0.25">
      <c r="B57" s="22"/>
      <c r="C57" s="2"/>
      <c r="D57" s="2"/>
      <c r="E57" s="34" t="s">
        <v>14</v>
      </c>
      <c r="F57" s="67">
        <f>+F54-F55</f>
        <v>0</v>
      </c>
      <c r="G57" s="73"/>
      <c r="J57" s="50"/>
      <c r="K57" s="47"/>
    </row>
    <row r="58" spans="2:11" x14ac:dyDescent="0.25">
      <c r="B58" s="48"/>
      <c r="C58" s="2"/>
      <c r="D58" s="2"/>
      <c r="E58" s="2"/>
      <c r="F58" s="49"/>
    </row>
    <row r="59" spans="2:11" x14ac:dyDescent="0.25">
      <c r="B59" s="48"/>
      <c r="C59" s="2"/>
      <c r="D59" s="2"/>
      <c r="E59" s="2"/>
      <c r="F59" s="50"/>
    </row>
    <row r="60" spans="2:11" x14ac:dyDescent="0.25">
      <c r="F60" s="50"/>
    </row>
    <row r="61" spans="2:11" x14ac:dyDescent="0.25">
      <c r="F61" s="50"/>
    </row>
    <row r="62" spans="2:11" x14ac:dyDescent="0.25">
      <c r="F62" s="50"/>
    </row>
  </sheetData>
  <printOptions horizontalCentered="1"/>
  <pageMargins left="0.11811023622047245" right="0.11811023622047245" top="0.11811023622047245" bottom="0.11811023622047245" header="0.31496062992125984" footer="0.31496062992125984"/>
  <pageSetup paperSize="5" scale="72" orientation="portrait" r:id="rId1"/>
  <rowBreaks count="1" manualBreakCount="1">
    <brk id="39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7214-3967-455F-9284-F9404FE4E4F3}">
  <dimension ref="A1:J52"/>
  <sheetViews>
    <sheetView topLeftCell="D3" workbookViewId="0">
      <selection activeCell="F9" sqref="F9"/>
    </sheetView>
  </sheetViews>
  <sheetFormatPr baseColWidth="10" defaultRowHeight="15" x14ac:dyDescent="0.25"/>
  <cols>
    <col min="1" max="3" width="0" hidden="1" customWidth="1"/>
    <col min="5" max="5" width="16" customWidth="1"/>
    <col min="6" max="6" width="13.7109375" customWidth="1"/>
    <col min="7" max="7" width="13" customWidth="1"/>
    <col min="8" max="8" width="13.28515625" customWidth="1"/>
    <col min="9" max="9" width="20.42578125" customWidth="1"/>
    <col min="10" max="10" width="43.85546875" customWidth="1"/>
    <col min="11" max="11" width="32.140625" customWidth="1"/>
    <col min="13" max="13" width="11.42578125" customWidth="1"/>
    <col min="15" max="15" width="11.42578125" customWidth="1"/>
  </cols>
  <sheetData>
    <row r="1" spans="1:10" x14ac:dyDescent="0.25">
      <c r="I1" s="50">
        <v>7861892.7300000004</v>
      </c>
    </row>
    <row r="2" spans="1:10" x14ac:dyDescent="0.25">
      <c r="I2" s="50"/>
    </row>
    <row r="3" spans="1:10" x14ac:dyDescent="0.25">
      <c r="A3" s="6" t="s">
        <v>37</v>
      </c>
      <c r="B3" s="6" t="s">
        <v>38</v>
      </c>
      <c r="C3" s="6" t="s">
        <v>39</v>
      </c>
      <c r="D3" s="6" t="s">
        <v>143</v>
      </c>
      <c r="E3" s="6" t="s">
        <v>32</v>
      </c>
      <c r="F3" s="6" t="s">
        <v>144</v>
      </c>
      <c r="G3" s="128" t="s">
        <v>15</v>
      </c>
      <c r="H3" s="128" t="s">
        <v>16</v>
      </c>
      <c r="I3" s="6" t="s">
        <v>145</v>
      </c>
      <c r="J3" s="6" t="s">
        <v>146</v>
      </c>
    </row>
    <row r="4" spans="1:10" s="16" customFormat="1" x14ac:dyDescent="0.25">
      <c r="D4" s="16" t="s">
        <v>86</v>
      </c>
      <c r="E4" s="16">
        <v>0</v>
      </c>
      <c r="F4" s="16">
        <v>819</v>
      </c>
      <c r="G4" s="92">
        <v>0</v>
      </c>
      <c r="H4" s="92">
        <v>978489.7</v>
      </c>
      <c r="I4" s="92">
        <v>6883403.0300000003</v>
      </c>
      <c r="J4" s="16" t="s">
        <v>87</v>
      </c>
    </row>
    <row r="5" spans="1:10" s="16" customFormat="1" x14ac:dyDescent="0.25">
      <c r="D5" s="16" t="s">
        <v>86</v>
      </c>
      <c r="E5" s="16">
        <v>0</v>
      </c>
      <c r="F5" s="16">
        <v>508</v>
      </c>
      <c r="G5" s="92">
        <v>2000000</v>
      </c>
      <c r="H5" s="92">
        <v>0</v>
      </c>
      <c r="I5" s="92">
        <v>8883403.0300000012</v>
      </c>
      <c r="J5" s="16" t="s">
        <v>119</v>
      </c>
    </row>
    <row r="6" spans="1:10" s="16" customFormat="1" x14ac:dyDescent="0.25">
      <c r="D6" s="16" t="s">
        <v>86</v>
      </c>
      <c r="E6" s="16">
        <v>0</v>
      </c>
      <c r="F6" s="16">
        <v>744</v>
      </c>
      <c r="G6" s="92">
        <v>2000000</v>
      </c>
      <c r="H6" s="92">
        <v>0</v>
      </c>
      <c r="I6" s="92">
        <v>10883403.030000001</v>
      </c>
      <c r="J6" s="16" t="s">
        <v>120</v>
      </c>
    </row>
    <row r="7" spans="1:10" s="16" customFormat="1" x14ac:dyDescent="0.25">
      <c r="D7" s="16" t="s">
        <v>88</v>
      </c>
      <c r="E7" s="16">
        <v>0</v>
      </c>
      <c r="F7" s="16">
        <v>112</v>
      </c>
      <c r="G7" s="92">
        <v>0</v>
      </c>
      <c r="H7" s="92">
        <v>11400000</v>
      </c>
      <c r="I7" s="92">
        <v>-516596.96999999881</v>
      </c>
      <c r="J7" s="16" t="s">
        <v>89</v>
      </c>
    </row>
    <row r="8" spans="1:10" s="16" customFormat="1" x14ac:dyDescent="0.25">
      <c r="D8" s="16" t="s">
        <v>88</v>
      </c>
      <c r="E8" s="16">
        <v>0</v>
      </c>
      <c r="F8" s="16">
        <v>751</v>
      </c>
      <c r="G8" s="92">
        <v>0</v>
      </c>
      <c r="H8" s="92">
        <v>5930</v>
      </c>
      <c r="I8" s="92">
        <v>-522526.96999999881</v>
      </c>
      <c r="J8" s="16" t="s">
        <v>90</v>
      </c>
    </row>
    <row r="9" spans="1:10" s="16" customFormat="1" x14ac:dyDescent="0.25">
      <c r="D9" s="16" t="s">
        <v>88</v>
      </c>
      <c r="E9" s="16">
        <v>0</v>
      </c>
      <c r="F9" s="16">
        <v>508</v>
      </c>
      <c r="G9" s="92">
        <v>400000</v>
      </c>
      <c r="H9" s="92">
        <v>0</v>
      </c>
      <c r="I9" s="92">
        <v>-122526.96999999881</v>
      </c>
      <c r="J9" s="16" t="s">
        <v>118</v>
      </c>
    </row>
    <row r="10" spans="1:10" s="16" customFormat="1" x14ac:dyDescent="0.25">
      <c r="D10" s="16" t="s">
        <v>88</v>
      </c>
      <c r="E10" s="16">
        <v>0</v>
      </c>
      <c r="F10" s="16">
        <v>844</v>
      </c>
      <c r="G10" s="92">
        <v>800000</v>
      </c>
      <c r="H10" s="92">
        <v>0</v>
      </c>
      <c r="I10" s="92">
        <v>677473.03000000119</v>
      </c>
      <c r="J10" s="16" t="s">
        <v>118</v>
      </c>
    </row>
    <row r="11" spans="1:10" s="16" customFormat="1" x14ac:dyDescent="0.25">
      <c r="D11" s="16" t="s">
        <v>88</v>
      </c>
      <c r="E11" s="16">
        <v>0</v>
      </c>
      <c r="F11" s="16">
        <v>620</v>
      </c>
      <c r="G11" s="92">
        <v>400000</v>
      </c>
      <c r="H11" s="92">
        <v>0</v>
      </c>
      <c r="I11" s="92">
        <v>1077473.0300000012</v>
      </c>
      <c r="J11" s="16" t="s">
        <v>118</v>
      </c>
    </row>
    <row r="12" spans="1:10" s="16" customFormat="1" x14ac:dyDescent="0.25">
      <c r="D12" s="16" t="s">
        <v>88</v>
      </c>
      <c r="E12" s="16">
        <v>0</v>
      </c>
      <c r="F12" s="16">
        <v>179</v>
      </c>
      <c r="G12" s="92">
        <v>800000</v>
      </c>
      <c r="H12" s="92">
        <v>0</v>
      </c>
      <c r="I12" s="92">
        <v>1877473.0300000012</v>
      </c>
      <c r="J12" s="16" t="s">
        <v>118</v>
      </c>
    </row>
    <row r="13" spans="1:10" s="16" customFormat="1" x14ac:dyDescent="0.25">
      <c r="D13" s="16" t="s">
        <v>88</v>
      </c>
      <c r="E13" s="16">
        <v>0</v>
      </c>
      <c r="F13" s="16">
        <v>784</v>
      </c>
      <c r="G13" s="92">
        <v>600000</v>
      </c>
      <c r="H13" s="92">
        <v>0</v>
      </c>
      <c r="I13" s="92">
        <v>2477473.0300000012</v>
      </c>
      <c r="J13" s="16" t="s">
        <v>118</v>
      </c>
    </row>
    <row r="14" spans="1:10" s="16" customFormat="1" x14ac:dyDescent="0.25">
      <c r="D14" s="16" t="s">
        <v>88</v>
      </c>
      <c r="E14" s="16">
        <v>0</v>
      </c>
      <c r="F14" s="16">
        <v>787</v>
      </c>
      <c r="G14" s="92">
        <v>0</v>
      </c>
      <c r="H14" s="92">
        <v>15600000</v>
      </c>
      <c r="I14" s="92">
        <v>-13122526.969999999</v>
      </c>
      <c r="J14" s="16" t="s">
        <v>91</v>
      </c>
    </row>
    <row r="15" spans="1:10" s="16" customFormat="1" x14ac:dyDescent="0.25">
      <c r="D15" s="16" t="s">
        <v>92</v>
      </c>
      <c r="E15" s="16">
        <v>0</v>
      </c>
      <c r="F15" s="16">
        <v>642</v>
      </c>
      <c r="G15" s="92">
        <v>10165100</v>
      </c>
      <c r="H15" s="92">
        <v>0</v>
      </c>
      <c r="I15" s="92">
        <v>-2957426.9699999988</v>
      </c>
      <c r="J15" s="16" t="s">
        <v>93</v>
      </c>
    </row>
    <row r="16" spans="1:10" s="16" customFormat="1" x14ac:dyDescent="0.25">
      <c r="D16" s="16" t="s">
        <v>94</v>
      </c>
      <c r="E16" s="16">
        <v>0</v>
      </c>
      <c r="F16" s="16">
        <v>482</v>
      </c>
      <c r="G16" s="92">
        <v>2535000</v>
      </c>
      <c r="H16" s="92">
        <v>0</v>
      </c>
      <c r="I16" s="92">
        <v>-422426.96999999881</v>
      </c>
      <c r="J16" s="16" t="s">
        <v>121</v>
      </c>
    </row>
    <row r="17" spans="4:10" s="16" customFormat="1" x14ac:dyDescent="0.25">
      <c r="D17" s="16" t="s">
        <v>94</v>
      </c>
      <c r="E17" s="16">
        <v>0</v>
      </c>
      <c r="F17" s="16">
        <v>548</v>
      </c>
      <c r="G17" s="92">
        <v>898000</v>
      </c>
      <c r="H17" s="92">
        <v>0</v>
      </c>
      <c r="I17" s="92">
        <v>475573.03000000119</v>
      </c>
      <c r="J17" s="16" t="s">
        <v>95</v>
      </c>
    </row>
    <row r="18" spans="4:10" s="16" customFormat="1" x14ac:dyDescent="0.25">
      <c r="D18" s="16" t="s">
        <v>94</v>
      </c>
      <c r="E18" s="16">
        <v>0</v>
      </c>
      <c r="F18" s="16">
        <v>385</v>
      </c>
      <c r="G18" s="92">
        <v>6000000</v>
      </c>
      <c r="H18" s="92">
        <v>0</v>
      </c>
      <c r="I18" s="92">
        <v>6475573.0300000012</v>
      </c>
      <c r="J18" s="16" t="s">
        <v>122</v>
      </c>
    </row>
    <row r="19" spans="4:10" s="16" customFormat="1" x14ac:dyDescent="0.25">
      <c r="D19" s="16" t="s">
        <v>96</v>
      </c>
      <c r="E19" s="16">
        <v>0</v>
      </c>
      <c r="F19" s="16">
        <v>384</v>
      </c>
      <c r="G19" s="92">
        <v>0</v>
      </c>
      <c r="H19" s="92">
        <v>244448.66</v>
      </c>
      <c r="I19" s="92">
        <v>6231124.370000001</v>
      </c>
      <c r="J19" s="16" t="s">
        <v>97</v>
      </c>
    </row>
    <row r="20" spans="4:10" s="16" customFormat="1" x14ac:dyDescent="0.25">
      <c r="D20" s="16" t="s">
        <v>96</v>
      </c>
      <c r="E20" s="16">
        <v>0</v>
      </c>
      <c r="F20" s="16">
        <v>580</v>
      </c>
      <c r="G20" s="92">
        <v>0</v>
      </c>
      <c r="H20" s="92">
        <v>177781.56</v>
      </c>
      <c r="I20" s="92">
        <v>6053342.8100000015</v>
      </c>
      <c r="J20" s="16" t="s">
        <v>98</v>
      </c>
    </row>
    <row r="21" spans="4:10" s="16" customFormat="1" x14ac:dyDescent="0.25">
      <c r="D21" s="16" t="s">
        <v>99</v>
      </c>
      <c r="E21" s="16">
        <v>0</v>
      </c>
      <c r="F21" s="16">
        <v>132</v>
      </c>
      <c r="G21" s="92">
        <v>2180000</v>
      </c>
      <c r="H21" s="92">
        <v>0</v>
      </c>
      <c r="I21" s="92">
        <v>8233342.8100000015</v>
      </c>
      <c r="J21" s="16" t="s">
        <v>123</v>
      </c>
    </row>
    <row r="22" spans="4:10" s="16" customFormat="1" x14ac:dyDescent="0.25">
      <c r="D22" s="16" t="s">
        <v>99</v>
      </c>
      <c r="E22" s="16">
        <v>0</v>
      </c>
      <c r="F22" s="16">
        <v>226</v>
      </c>
      <c r="G22" s="92">
        <v>5000000</v>
      </c>
      <c r="H22" s="92">
        <v>0</v>
      </c>
      <c r="I22" s="92">
        <v>13233342.810000002</v>
      </c>
      <c r="J22" s="16" t="s">
        <v>124</v>
      </c>
    </row>
    <row r="23" spans="4:10" s="16" customFormat="1" x14ac:dyDescent="0.25">
      <c r="D23" s="16" t="s">
        <v>99</v>
      </c>
      <c r="E23" s="16">
        <v>0</v>
      </c>
      <c r="F23" s="16">
        <v>257</v>
      </c>
      <c r="G23" s="92">
        <v>5000000</v>
      </c>
      <c r="H23" s="92">
        <v>0</v>
      </c>
      <c r="I23" s="92">
        <v>18233342.810000002</v>
      </c>
      <c r="J23" s="16" t="s">
        <v>125</v>
      </c>
    </row>
    <row r="24" spans="4:10" s="16" customFormat="1" x14ac:dyDescent="0.25">
      <c r="D24" s="16" t="s">
        <v>100</v>
      </c>
      <c r="E24" s="16">
        <v>0</v>
      </c>
      <c r="F24" s="16">
        <v>952</v>
      </c>
      <c r="G24" s="92">
        <v>0</v>
      </c>
      <c r="H24" s="92">
        <v>15000000</v>
      </c>
      <c r="I24" s="92">
        <v>3233342.8100000024</v>
      </c>
      <c r="J24" s="16" t="s">
        <v>101</v>
      </c>
    </row>
    <row r="25" spans="4:10" s="16" customFormat="1" x14ac:dyDescent="0.25">
      <c r="D25" s="16" t="s">
        <v>100</v>
      </c>
      <c r="E25" s="16">
        <v>0</v>
      </c>
      <c r="F25" s="16">
        <v>407</v>
      </c>
      <c r="G25" s="92">
        <v>600000</v>
      </c>
      <c r="H25" s="92">
        <v>0</v>
      </c>
      <c r="I25" s="92">
        <v>3833342.8100000024</v>
      </c>
      <c r="J25" s="16" t="s">
        <v>126</v>
      </c>
    </row>
    <row r="26" spans="4:10" s="16" customFormat="1" x14ac:dyDescent="0.25">
      <c r="D26" s="16" t="s">
        <v>102</v>
      </c>
      <c r="E26" s="16">
        <v>0</v>
      </c>
      <c r="F26" s="16">
        <v>129</v>
      </c>
      <c r="G26" s="92">
        <v>0</v>
      </c>
      <c r="H26" s="92">
        <v>331481.08</v>
      </c>
      <c r="I26" s="92">
        <v>3501861.7300000023</v>
      </c>
      <c r="J26" s="16" t="s">
        <v>103</v>
      </c>
    </row>
    <row r="27" spans="4:10" s="16" customFormat="1" x14ac:dyDescent="0.25">
      <c r="D27" s="16" t="s">
        <v>102</v>
      </c>
      <c r="E27" s="16">
        <v>0</v>
      </c>
      <c r="F27" s="16">
        <v>482</v>
      </c>
      <c r="G27" s="92">
        <v>2000000</v>
      </c>
      <c r="H27" s="92">
        <v>0</v>
      </c>
      <c r="I27" s="92">
        <v>5501861.7300000023</v>
      </c>
      <c r="J27" s="16" t="s">
        <v>127</v>
      </c>
    </row>
    <row r="28" spans="4:10" s="16" customFormat="1" x14ac:dyDescent="0.25">
      <c r="D28" s="16" t="s">
        <v>104</v>
      </c>
      <c r="E28" s="16">
        <v>0</v>
      </c>
      <c r="F28" s="16">
        <v>474</v>
      </c>
      <c r="G28" s="92">
        <v>990000</v>
      </c>
      <c r="H28" s="92">
        <v>0</v>
      </c>
      <c r="I28" s="92">
        <v>6491861.7300000023</v>
      </c>
      <c r="J28" s="16" t="s">
        <v>128</v>
      </c>
    </row>
    <row r="29" spans="4:10" s="16" customFormat="1" x14ac:dyDescent="0.25">
      <c r="D29" s="16" t="s">
        <v>104</v>
      </c>
      <c r="E29" s="16">
        <v>0</v>
      </c>
      <c r="F29" s="16">
        <v>684</v>
      </c>
      <c r="G29" s="92">
        <v>659046.47</v>
      </c>
      <c r="H29" s="92">
        <v>0</v>
      </c>
      <c r="I29" s="92">
        <v>7150908.200000002</v>
      </c>
      <c r="J29" s="16" t="s">
        <v>129</v>
      </c>
    </row>
    <row r="30" spans="4:10" s="16" customFormat="1" x14ac:dyDescent="0.25">
      <c r="D30" s="16" t="s">
        <v>105</v>
      </c>
      <c r="E30" s="16">
        <v>0</v>
      </c>
      <c r="F30" s="16">
        <v>920</v>
      </c>
      <c r="G30" s="92">
        <v>0</v>
      </c>
      <c r="H30" s="92">
        <v>4200000</v>
      </c>
      <c r="I30" s="92">
        <v>2950908.200000002</v>
      </c>
      <c r="J30" s="16" t="s">
        <v>106</v>
      </c>
    </row>
    <row r="31" spans="4:10" s="16" customFormat="1" x14ac:dyDescent="0.25">
      <c r="D31" s="16" t="s">
        <v>105</v>
      </c>
      <c r="E31" s="16">
        <v>0</v>
      </c>
      <c r="F31" s="16">
        <v>636</v>
      </c>
      <c r="G31" s="92">
        <v>0</v>
      </c>
      <c r="H31" s="92">
        <v>608751</v>
      </c>
      <c r="I31" s="92">
        <v>2342157.200000002</v>
      </c>
      <c r="J31" s="16" t="s">
        <v>130</v>
      </c>
    </row>
    <row r="32" spans="4:10" s="16" customFormat="1" x14ac:dyDescent="0.25">
      <c r="D32" s="16" t="s">
        <v>105</v>
      </c>
      <c r="E32" s="16">
        <v>0</v>
      </c>
      <c r="F32" s="16">
        <v>509</v>
      </c>
      <c r="G32" s="92">
        <v>1400000</v>
      </c>
      <c r="H32" s="92">
        <v>0</v>
      </c>
      <c r="I32" s="92">
        <v>3742157.200000002</v>
      </c>
      <c r="J32" s="16" t="s">
        <v>107</v>
      </c>
    </row>
    <row r="33" spans="4:10" s="16" customFormat="1" x14ac:dyDescent="0.25">
      <c r="D33" s="16" t="s">
        <v>105</v>
      </c>
      <c r="E33" s="16">
        <v>0</v>
      </c>
      <c r="F33" s="16">
        <v>913</v>
      </c>
      <c r="G33" s="92">
        <v>0</v>
      </c>
      <c r="H33" s="92">
        <v>627000</v>
      </c>
      <c r="I33" s="92">
        <v>3115157.200000002</v>
      </c>
      <c r="J33" s="16" t="s">
        <v>131</v>
      </c>
    </row>
    <row r="34" spans="4:10" s="16" customFormat="1" x14ac:dyDescent="0.25">
      <c r="D34" s="16" t="s">
        <v>105</v>
      </c>
      <c r="E34" s="16">
        <v>0</v>
      </c>
      <c r="F34" s="16">
        <v>924</v>
      </c>
      <c r="G34" s="92">
        <v>0</v>
      </c>
      <c r="H34" s="92">
        <v>1500000</v>
      </c>
      <c r="I34" s="92">
        <v>1615157.200000002</v>
      </c>
      <c r="J34" s="16" t="s">
        <v>41</v>
      </c>
    </row>
    <row r="35" spans="4:10" s="16" customFormat="1" x14ac:dyDescent="0.25">
      <c r="D35" s="16" t="s">
        <v>108</v>
      </c>
      <c r="E35" s="16">
        <v>0</v>
      </c>
      <c r="F35" s="16">
        <v>506</v>
      </c>
      <c r="G35" s="92">
        <v>700000</v>
      </c>
      <c r="H35" s="92">
        <v>0</v>
      </c>
      <c r="I35" s="92">
        <v>2315157.200000002</v>
      </c>
      <c r="J35" s="16" t="s">
        <v>109</v>
      </c>
    </row>
    <row r="36" spans="4:10" s="16" customFormat="1" x14ac:dyDescent="0.25">
      <c r="D36" s="16" t="s">
        <v>108</v>
      </c>
      <c r="E36" s="16">
        <v>0</v>
      </c>
      <c r="F36" s="16">
        <v>446</v>
      </c>
      <c r="G36" s="92">
        <v>1000000</v>
      </c>
      <c r="H36" s="92">
        <v>0</v>
      </c>
      <c r="I36" s="92">
        <v>3315157.200000002</v>
      </c>
      <c r="J36" s="16" t="s">
        <v>109</v>
      </c>
    </row>
    <row r="37" spans="4:10" s="16" customFormat="1" x14ac:dyDescent="0.25">
      <c r="D37" s="16" t="s">
        <v>108</v>
      </c>
      <c r="E37" s="16">
        <v>0</v>
      </c>
      <c r="F37" s="16">
        <v>757</v>
      </c>
      <c r="G37" s="92">
        <v>0</v>
      </c>
      <c r="H37" s="92">
        <v>4000000</v>
      </c>
      <c r="I37" s="92">
        <v>-684842.79999999795</v>
      </c>
      <c r="J37" s="16" t="s">
        <v>101</v>
      </c>
    </row>
    <row r="38" spans="4:10" s="16" customFormat="1" x14ac:dyDescent="0.25">
      <c r="D38" s="16" t="s">
        <v>110</v>
      </c>
      <c r="E38" s="16">
        <v>0</v>
      </c>
      <c r="F38" s="16">
        <v>389</v>
      </c>
      <c r="G38" s="92">
        <v>343348.87</v>
      </c>
      <c r="H38" s="92">
        <v>0</v>
      </c>
      <c r="I38" s="92">
        <v>-341493.92999999796</v>
      </c>
      <c r="J38" s="16" t="s">
        <v>132</v>
      </c>
    </row>
    <row r="39" spans="4:10" s="16" customFormat="1" x14ac:dyDescent="0.25">
      <c r="D39" s="16" t="s">
        <v>110</v>
      </c>
      <c r="E39" s="16">
        <v>0</v>
      </c>
      <c r="F39" s="16">
        <v>418</v>
      </c>
      <c r="G39" s="92">
        <v>206972.92</v>
      </c>
      <c r="H39" s="92">
        <v>0</v>
      </c>
      <c r="I39" s="92">
        <v>-134521.00999999794</v>
      </c>
      <c r="J39" s="16" t="s">
        <v>133</v>
      </c>
    </row>
    <row r="40" spans="4:10" s="16" customFormat="1" x14ac:dyDescent="0.25">
      <c r="D40" s="16" t="s">
        <v>110</v>
      </c>
      <c r="E40" s="16">
        <v>0</v>
      </c>
      <c r="F40" s="16">
        <v>916</v>
      </c>
      <c r="G40" s="92">
        <v>231770.66</v>
      </c>
      <c r="H40" s="92">
        <v>0</v>
      </c>
      <c r="I40" s="92">
        <v>97249.650000002061</v>
      </c>
      <c r="J40" s="16" t="s">
        <v>133</v>
      </c>
    </row>
    <row r="41" spans="4:10" s="16" customFormat="1" x14ac:dyDescent="0.25">
      <c r="D41" s="16" t="s">
        <v>110</v>
      </c>
      <c r="E41" s="16">
        <v>0</v>
      </c>
      <c r="F41" s="16">
        <v>648</v>
      </c>
      <c r="G41" s="92">
        <v>765466.68</v>
      </c>
      <c r="H41" s="92">
        <v>0</v>
      </c>
      <c r="I41" s="92">
        <v>862716.33000000217</v>
      </c>
      <c r="J41" s="16" t="s">
        <v>134</v>
      </c>
    </row>
    <row r="42" spans="4:10" s="16" customFormat="1" x14ac:dyDescent="0.25">
      <c r="D42" s="16" t="s">
        <v>110</v>
      </c>
      <c r="E42" s="16">
        <v>0</v>
      </c>
      <c r="F42" s="16">
        <v>552</v>
      </c>
      <c r="G42" s="92">
        <v>1001861.85</v>
      </c>
      <c r="H42" s="92">
        <v>0</v>
      </c>
      <c r="I42" s="92">
        <v>1864578.180000002</v>
      </c>
      <c r="J42" s="16" t="s">
        <v>135</v>
      </c>
    </row>
    <row r="43" spans="4:10" s="16" customFormat="1" x14ac:dyDescent="0.25">
      <c r="D43" s="16" t="s">
        <v>110</v>
      </c>
      <c r="E43" s="16">
        <v>0</v>
      </c>
      <c r="F43" s="16">
        <v>272</v>
      </c>
      <c r="G43" s="92">
        <v>1273020.43</v>
      </c>
      <c r="H43" s="92">
        <v>0</v>
      </c>
      <c r="I43" s="92">
        <v>3137598.6100000022</v>
      </c>
      <c r="J43" s="16" t="s">
        <v>136</v>
      </c>
    </row>
    <row r="44" spans="4:10" s="16" customFormat="1" x14ac:dyDescent="0.25">
      <c r="D44" s="16" t="s">
        <v>111</v>
      </c>
      <c r="E44" s="16">
        <v>0</v>
      </c>
      <c r="F44" s="16">
        <v>508</v>
      </c>
      <c r="G44" s="92">
        <v>922960.26</v>
      </c>
      <c r="H44" s="92">
        <v>0</v>
      </c>
      <c r="I44" s="92">
        <v>4060558.870000002</v>
      </c>
      <c r="J44" s="16" t="s">
        <v>137</v>
      </c>
    </row>
    <row r="45" spans="4:10" s="16" customFormat="1" x14ac:dyDescent="0.25">
      <c r="D45" s="16" t="s">
        <v>111</v>
      </c>
      <c r="E45" s="16">
        <v>0</v>
      </c>
      <c r="F45" s="16">
        <v>350</v>
      </c>
      <c r="G45" s="92">
        <v>60000</v>
      </c>
      <c r="H45" s="92">
        <v>0</v>
      </c>
      <c r="I45" s="92">
        <v>4120558.870000002</v>
      </c>
      <c r="J45" s="16" t="s">
        <v>138</v>
      </c>
    </row>
    <row r="46" spans="4:10" s="16" customFormat="1" x14ac:dyDescent="0.25">
      <c r="D46" s="16" t="s">
        <v>111</v>
      </c>
      <c r="E46" s="16">
        <v>0</v>
      </c>
      <c r="F46" s="16">
        <v>226</v>
      </c>
      <c r="G46" s="92">
        <v>50000</v>
      </c>
      <c r="H46" s="92">
        <v>0</v>
      </c>
      <c r="I46" s="92">
        <v>4170558.870000002</v>
      </c>
      <c r="J46" s="16" t="s">
        <v>139</v>
      </c>
    </row>
    <row r="47" spans="4:10" s="16" customFormat="1" x14ac:dyDescent="0.25">
      <c r="D47" s="16" t="s">
        <v>111</v>
      </c>
      <c r="E47" s="16">
        <v>0</v>
      </c>
      <c r="F47" s="16">
        <v>775</v>
      </c>
      <c r="G47" s="92">
        <v>50000</v>
      </c>
      <c r="H47" s="92">
        <v>0</v>
      </c>
      <c r="I47" s="92">
        <v>4220558.870000002</v>
      </c>
      <c r="J47" s="16" t="s">
        <v>139</v>
      </c>
    </row>
    <row r="48" spans="4:10" s="16" customFormat="1" x14ac:dyDescent="0.25">
      <c r="D48" s="16" t="s">
        <v>111</v>
      </c>
      <c r="E48" s="16">
        <v>0</v>
      </c>
      <c r="F48" s="16">
        <v>300</v>
      </c>
      <c r="G48" s="92">
        <v>50000</v>
      </c>
      <c r="H48" s="92">
        <v>0</v>
      </c>
      <c r="I48" s="92">
        <v>4270558.870000002</v>
      </c>
      <c r="J48" s="16" t="s">
        <v>139</v>
      </c>
    </row>
    <row r="49" spans="4:10" s="16" customFormat="1" x14ac:dyDescent="0.25">
      <c r="D49" s="16" t="s">
        <v>111</v>
      </c>
      <c r="E49" s="16">
        <v>0</v>
      </c>
      <c r="F49" s="16">
        <v>656</v>
      </c>
      <c r="G49" s="92">
        <v>306177.19</v>
      </c>
      <c r="H49" s="92">
        <v>0</v>
      </c>
      <c r="I49" s="92">
        <v>4576736.0600000024</v>
      </c>
      <c r="J49" s="16" t="s">
        <v>140</v>
      </c>
    </row>
    <row r="50" spans="4:10" s="16" customFormat="1" x14ac:dyDescent="0.25">
      <c r="D50" s="16" t="s">
        <v>111</v>
      </c>
      <c r="E50" s="16">
        <v>0</v>
      </c>
      <c r="F50" s="16">
        <v>203</v>
      </c>
      <c r="G50" s="92">
        <v>223426.77</v>
      </c>
      <c r="H50" s="92">
        <v>0</v>
      </c>
      <c r="I50" s="92">
        <v>4800162.8300000019</v>
      </c>
      <c r="J50" s="16" t="s">
        <v>141</v>
      </c>
    </row>
    <row r="51" spans="4:10" s="16" customFormat="1" x14ac:dyDescent="0.25">
      <c r="D51" s="16" t="s">
        <v>112</v>
      </c>
      <c r="E51" s="16">
        <v>0</v>
      </c>
      <c r="F51" s="16">
        <v>973</v>
      </c>
      <c r="G51" s="92">
        <v>617060</v>
      </c>
      <c r="H51" s="92">
        <v>0</v>
      </c>
      <c r="I51" s="92">
        <v>5417222.8300000019</v>
      </c>
      <c r="J51" s="16" t="s">
        <v>142</v>
      </c>
    </row>
    <row r="52" spans="4:10" s="16" customForma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204CA-C219-4740-9A40-B808C2AECB04}">
  <dimension ref="A2:H140"/>
  <sheetViews>
    <sheetView workbookViewId="0">
      <selection activeCell="B6" sqref="B6"/>
    </sheetView>
  </sheetViews>
  <sheetFormatPr baseColWidth="10" defaultRowHeight="15" x14ac:dyDescent="0.25"/>
  <cols>
    <col min="1" max="1" width="13.42578125" customWidth="1"/>
    <col min="2" max="2" width="58.7109375" style="75" customWidth="1"/>
    <col min="3" max="3" width="14.42578125" style="81" customWidth="1"/>
    <col min="4" max="4" width="15.28515625" style="50" customWidth="1"/>
    <col min="5" max="5" width="19.5703125" style="50" customWidth="1"/>
    <col min="6" max="6" width="14.5703125" style="50" customWidth="1"/>
    <col min="7" max="7" width="12.140625" style="74" customWidth="1"/>
    <col min="8" max="8" width="15.140625" customWidth="1"/>
  </cols>
  <sheetData>
    <row r="2" spans="1:7" ht="24.75" customHeight="1" x14ac:dyDescent="0.25">
      <c r="A2" s="77" t="s">
        <v>17</v>
      </c>
      <c r="B2" s="78" t="s">
        <v>18</v>
      </c>
      <c r="C2" s="80" t="s">
        <v>19</v>
      </c>
      <c r="D2" s="76" t="s">
        <v>15</v>
      </c>
      <c r="E2" s="76" t="s">
        <v>16</v>
      </c>
      <c r="F2" s="76" t="s">
        <v>20</v>
      </c>
      <c r="G2" s="74" t="s">
        <v>30</v>
      </c>
    </row>
    <row r="3" spans="1:7" ht="24.75" customHeight="1" x14ac:dyDescent="0.25">
      <c r="A3" s="85" t="s">
        <v>49</v>
      </c>
      <c r="B3" s="85" t="s">
        <v>27</v>
      </c>
      <c r="C3" s="85">
        <v>0</v>
      </c>
      <c r="D3" s="86">
        <v>450</v>
      </c>
      <c r="E3" s="86">
        <v>0</v>
      </c>
      <c r="F3" s="59">
        <v>5743373.0000000019</v>
      </c>
      <c r="G3" s="74" t="s">
        <v>36</v>
      </c>
    </row>
    <row r="4" spans="1:7" ht="24.75" customHeight="1" x14ac:dyDescent="0.25">
      <c r="A4" s="85" t="s">
        <v>49</v>
      </c>
      <c r="B4" s="85" t="s">
        <v>25</v>
      </c>
      <c r="C4" s="85">
        <v>0</v>
      </c>
      <c r="D4" s="86">
        <v>3150</v>
      </c>
      <c r="E4" s="86">
        <v>0</v>
      </c>
      <c r="F4" s="59">
        <v>5743823.0000000019</v>
      </c>
      <c r="G4" s="74" t="s">
        <v>36</v>
      </c>
    </row>
    <row r="5" spans="1:7" ht="24.75" customHeight="1" x14ac:dyDescent="0.25">
      <c r="A5" s="85" t="s">
        <v>49</v>
      </c>
      <c r="B5" s="85" t="s">
        <v>21</v>
      </c>
      <c r="C5" s="85">
        <v>0</v>
      </c>
      <c r="D5" s="86">
        <v>2200</v>
      </c>
      <c r="E5" s="86">
        <v>0</v>
      </c>
      <c r="F5" s="59">
        <v>5746973.0000000019</v>
      </c>
      <c r="G5" s="74" t="s">
        <v>36</v>
      </c>
    </row>
    <row r="6" spans="1:7" ht="24.75" customHeight="1" x14ac:dyDescent="0.25">
      <c r="A6" s="85" t="s">
        <v>49</v>
      </c>
      <c r="B6" s="85" t="s">
        <v>22</v>
      </c>
      <c r="C6" s="85">
        <v>0</v>
      </c>
      <c r="D6" s="86">
        <v>130.56</v>
      </c>
      <c r="E6" s="86">
        <v>0</v>
      </c>
      <c r="F6" s="59">
        <v>5749173.0000000019</v>
      </c>
      <c r="G6" s="74" t="s">
        <v>36</v>
      </c>
    </row>
    <row r="7" spans="1:7" ht="24.75" customHeight="1" x14ac:dyDescent="0.25">
      <c r="A7" s="85" t="s">
        <v>49</v>
      </c>
      <c r="B7" s="85" t="s">
        <v>23</v>
      </c>
      <c r="C7" s="85">
        <v>0</v>
      </c>
      <c r="D7" s="86">
        <v>3300</v>
      </c>
      <c r="E7" s="86">
        <v>0</v>
      </c>
      <c r="F7" s="59">
        <v>5749303.5600000015</v>
      </c>
      <c r="G7" s="74" t="s">
        <v>36</v>
      </c>
    </row>
    <row r="8" spans="1:7" ht="24.75" customHeight="1" x14ac:dyDescent="0.25">
      <c r="A8" s="85" t="s">
        <v>49</v>
      </c>
      <c r="B8" s="85" t="s">
        <v>24</v>
      </c>
      <c r="C8" s="85">
        <v>0</v>
      </c>
      <c r="D8" s="86">
        <v>660</v>
      </c>
      <c r="E8" s="86">
        <v>0</v>
      </c>
      <c r="F8" s="59">
        <v>5752603.5600000015</v>
      </c>
      <c r="G8" s="74" t="s">
        <v>36</v>
      </c>
    </row>
    <row r="9" spans="1:7" ht="24.75" customHeight="1" x14ac:dyDescent="0.25">
      <c r="A9" s="85" t="s">
        <v>49</v>
      </c>
      <c r="B9" s="85" t="s">
        <v>29</v>
      </c>
      <c r="C9" s="85">
        <v>0</v>
      </c>
      <c r="D9" s="86">
        <v>300</v>
      </c>
      <c r="E9" s="86">
        <v>0</v>
      </c>
      <c r="F9" s="59">
        <v>5753263.5600000015</v>
      </c>
      <c r="G9" s="74" t="s">
        <v>36</v>
      </c>
    </row>
    <row r="10" spans="1:7" ht="24.75" customHeight="1" x14ac:dyDescent="0.25">
      <c r="A10" s="85" t="s">
        <v>49</v>
      </c>
      <c r="B10" s="85" t="s">
        <v>28</v>
      </c>
      <c r="C10" s="85">
        <v>252411</v>
      </c>
      <c r="D10" s="86">
        <v>15000</v>
      </c>
      <c r="E10" s="86">
        <v>0</v>
      </c>
      <c r="F10" s="59">
        <v>5753563.5600000015</v>
      </c>
      <c r="G10" s="74" t="s">
        <v>36</v>
      </c>
    </row>
    <row r="11" spans="1:7" ht="24.75" customHeight="1" x14ac:dyDescent="0.25">
      <c r="A11" s="85" t="s">
        <v>49</v>
      </c>
      <c r="B11" s="66" t="s">
        <v>147</v>
      </c>
      <c r="C11" s="85">
        <v>869453</v>
      </c>
      <c r="D11" s="86">
        <v>0</v>
      </c>
      <c r="E11" s="86">
        <v>550000</v>
      </c>
      <c r="F11" s="59">
        <v>5768563.5600000015</v>
      </c>
    </row>
    <row r="12" spans="1:7" ht="24.75" customHeight="1" x14ac:dyDescent="0.25">
      <c r="A12" s="58" t="s">
        <v>50</v>
      </c>
      <c r="B12" s="58" t="s">
        <v>21</v>
      </c>
      <c r="C12" s="58">
        <v>0</v>
      </c>
      <c r="D12" s="59">
        <v>2468.2399999999998</v>
      </c>
      <c r="E12" s="59">
        <v>0</v>
      </c>
      <c r="F12" s="59">
        <v>5218563.5600000015</v>
      </c>
      <c r="G12" s="74" t="s">
        <v>36</v>
      </c>
    </row>
    <row r="13" spans="1:7" ht="24.75" customHeight="1" x14ac:dyDescent="0.25">
      <c r="A13" s="58" t="s">
        <v>50</v>
      </c>
      <c r="B13" s="58" t="s">
        <v>22</v>
      </c>
      <c r="C13" s="58">
        <v>0</v>
      </c>
      <c r="D13" s="59">
        <v>19.25</v>
      </c>
      <c r="E13" s="59">
        <v>0</v>
      </c>
      <c r="F13" s="59">
        <v>5221031.8000000017</v>
      </c>
      <c r="G13" s="74" t="s">
        <v>36</v>
      </c>
    </row>
    <row r="14" spans="1:7" ht="24.75" customHeight="1" x14ac:dyDescent="0.25">
      <c r="A14" s="58" t="s">
        <v>50</v>
      </c>
      <c r="B14" s="58" t="s">
        <v>23</v>
      </c>
      <c r="C14" s="58">
        <v>0</v>
      </c>
      <c r="D14" s="59">
        <v>3702.36</v>
      </c>
      <c r="E14" s="59">
        <v>0</v>
      </c>
      <c r="F14" s="59">
        <v>5221051.0500000017</v>
      </c>
      <c r="G14" s="74" t="s">
        <v>36</v>
      </c>
    </row>
    <row r="15" spans="1:7" ht="24.75" customHeight="1" x14ac:dyDescent="0.25">
      <c r="A15" s="58" t="s">
        <v>50</v>
      </c>
      <c r="B15" s="58" t="s">
        <v>24</v>
      </c>
      <c r="C15" s="58">
        <v>0</v>
      </c>
      <c r="D15" s="59">
        <v>740.47</v>
      </c>
      <c r="E15" s="59">
        <v>0</v>
      </c>
      <c r="F15" s="59">
        <v>5224753.410000002</v>
      </c>
      <c r="G15" s="74" t="s">
        <v>36</v>
      </c>
    </row>
    <row r="16" spans="1:7" ht="24.75" customHeight="1" x14ac:dyDescent="0.25">
      <c r="A16" s="58" t="s">
        <v>50</v>
      </c>
      <c r="B16" s="58" t="s">
        <v>148</v>
      </c>
      <c r="C16" s="58">
        <v>701318</v>
      </c>
      <c r="D16" s="59">
        <v>0</v>
      </c>
      <c r="E16" s="59">
        <v>617060</v>
      </c>
      <c r="F16" s="59">
        <v>5225493.8800000018</v>
      </c>
    </row>
    <row r="17" spans="1:7" ht="24.75" customHeight="1" x14ac:dyDescent="0.25">
      <c r="A17" s="58" t="s">
        <v>51</v>
      </c>
      <c r="B17" s="58" t="s">
        <v>21</v>
      </c>
      <c r="C17" s="58">
        <v>0</v>
      </c>
      <c r="D17" s="59">
        <v>3404.3</v>
      </c>
      <c r="E17" s="59">
        <v>0</v>
      </c>
      <c r="F17" s="59">
        <v>4608433.8800000018</v>
      </c>
      <c r="G17" s="74" t="s">
        <v>36</v>
      </c>
    </row>
    <row r="18" spans="1:7" ht="24.75" customHeight="1" x14ac:dyDescent="0.25">
      <c r="A18" s="58" t="s">
        <v>51</v>
      </c>
      <c r="B18" s="58" t="s">
        <v>22</v>
      </c>
      <c r="C18" s="58">
        <v>0</v>
      </c>
      <c r="D18" s="59">
        <v>26.56</v>
      </c>
      <c r="E18" s="59">
        <v>0</v>
      </c>
      <c r="F18" s="59">
        <v>4611838.1800000016</v>
      </c>
      <c r="G18" s="74" t="s">
        <v>36</v>
      </c>
    </row>
    <row r="19" spans="1:7" ht="24.75" customHeight="1" x14ac:dyDescent="0.25">
      <c r="A19" s="58" t="s">
        <v>51</v>
      </c>
      <c r="B19" s="58" t="s">
        <v>23</v>
      </c>
      <c r="C19" s="58">
        <v>0</v>
      </c>
      <c r="D19" s="59">
        <v>5106.45</v>
      </c>
      <c r="E19" s="59">
        <v>0</v>
      </c>
      <c r="F19" s="59">
        <v>4611864.7400000012</v>
      </c>
      <c r="G19" s="74" t="s">
        <v>36</v>
      </c>
    </row>
    <row r="20" spans="1:7" ht="24.75" customHeight="1" x14ac:dyDescent="0.25">
      <c r="A20" s="58" t="s">
        <v>51</v>
      </c>
      <c r="B20" s="58" t="s">
        <v>24</v>
      </c>
      <c r="C20" s="58">
        <v>0</v>
      </c>
      <c r="D20" s="59">
        <v>1021.29</v>
      </c>
      <c r="E20" s="59">
        <v>0</v>
      </c>
      <c r="F20" s="59">
        <v>4616971.1900000013</v>
      </c>
      <c r="G20" s="74" t="s">
        <v>36</v>
      </c>
    </row>
    <row r="21" spans="1:7" ht="24.75" customHeight="1" x14ac:dyDescent="0.25">
      <c r="A21" s="58" t="s">
        <v>51</v>
      </c>
      <c r="B21" s="58" t="s">
        <v>44</v>
      </c>
      <c r="C21" s="58">
        <v>0</v>
      </c>
      <c r="D21" s="59">
        <v>0</v>
      </c>
      <c r="E21" s="59">
        <v>200000</v>
      </c>
      <c r="F21" s="59">
        <v>4617992.4800000014</v>
      </c>
    </row>
    <row r="22" spans="1:7" ht="24.75" customHeight="1" x14ac:dyDescent="0.25">
      <c r="A22" s="58" t="s">
        <v>51</v>
      </c>
      <c r="B22" s="58" t="s">
        <v>149</v>
      </c>
      <c r="C22" s="58">
        <v>184079</v>
      </c>
      <c r="D22" s="59">
        <v>0</v>
      </c>
      <c r="E22" s="59">
        <v>651074.38</v>
      </c>
      <c r="F22" s="59">
        <v>4417992.4800000014</v>
      </c>
    </row>
    <row r="23" spans="1:7" ht="24.75" customHeight="1" x14ac:dyDescent="0.25">
      <c r="A23" s="58" t="s">
        <v>52</v>
      </c>
      <c r="B23" s="58" t="s">
        <v>21</v>
      </c>
      <c r="C23" s="58">
        <v>0</v>
      </c>
      <c r="D23" s="59">
        <v>3800</v>
      </c>
      <c r="E23" s="59">
        <v>0</v>
      </c>
      <c r="F23" s="59">
        <v>3766918.100000001</v>
      </c>
      <c r="G23" s="74" t="s">
        <v>36</v>
      </c>
    </row>
    <row r="24" spans="1:7" ht="24.75" customHeight="1" x14ac:dyDescent="0.25">
      <c r="A24" s="58" t="s">
        <v>52</v>
      </c>
      <c r="B24" s="58" t="s">
        <v>22</v>
      </c>
      <c r="C24" s="58">
        <v>0</v>
      </c>
      <c r="D24" s="59">
        <v>29.64</v>
      </c>
      <c r="E24" s="59">
        <v>0</v>
      </c>
      <c r="F24" s="59">
        <v>3770718.100000001</v>
      </c>
      <c r="G24" s="74" t="s">
        <v>36</v>
      </c>
    </row>
    <row r="25" spans="1:7" ht="24.75" customHeight="1" x14ac:dyDescent="0.25">
      <c r="A25" s="58" t="s">
        <v>52</v>
      </c>
      <c r="B25" s="58" t="s">
        <v>23</v>
      </c>
      <c r="C25" s="58">
        <v>0</v>
      </c>
      <c r="D25" s="59">
        <v>5700</v>
      </c>
      <c r="E25" s="59">
        <v>0</v>
      </c>
      <c r="F25" s="59">
        <v>3770747.7400000012</v>
      </c>
      <c r="G25" s="74" t="s">
        <v>36</v>
      </c>
    </row>
    <row r="26" spans="1:7" ht="24.75" customHeight="1" x14ac:dyDescent="0.25">
      <c r="A26" s="58" t="s">
        <v>52</v>
      </c>
      <c r="B26" s="58" t="s">
        <v>24</v>
      </c>
      <c r="C26" s="58">
        <v>0</v>
      </c>
      <c r="D26" s="59">
        <v>1140</v>
      </c>
      <c r="E26" s="59">
        <v>0</v>
      </c>
      <c r="F26" s="59">
        <v>3776447.7400000012</v>
      </c>
      <c r="G26" s="74" t="s">
        <v>36</v>
      </c>
    </row>
    <row r="27" spans="1:7" ht="24.75" customHeight="1" x14ac:dyDescent="0.25">
      <c r="A27" s="58" t="s">
        <v>52</v>
      </c>
      <c r="B27" s="58" t="s">
        <v>53</v>
      </c>
      <c r="C27" s="58">
        <v>136023</v>
      </c>
      <c r="D27" s="59">
        <v>0</v>
      </c>
      <c r="E27" s="59">
        <v>50000</v>
      </c>
      <c r="F27" s="59">
        <v>3777587.7400000012</v>
      </c>
    </row>
    <row r="28" spans="1:7" ht="24.75" customHeight="1" x14ac:dyDescent="0.25">
      <c r="A28" s="58" t="s">
        <v>52</v>
      </c>
      <c r="B28" s="58" t="s">
        <v>54</v>
      </c>
      <c r="C28" s="58">
        <v>406592</v>
      </c>
      <c r="D28" s="59">
        <v>0</v>
      </c>
      <c r="E28" s="59">
        <v>900000</v>
      </c>
      <c r="F28" s="59">
        <v>3727587.7400000012</v>
      </c>
    </row>
    <row r="29" spans="1:7" ht="24.75" customHeight="1" x14ac:dyDescent="0.25">
      <c r="A29" s="58" t="s">
        <v>55</v>
      </c>
      <c r="B29" s="58" t="s">
        <v>21</v>
      </c>
      <c r="C29" s="58">
        <v>0</v>
      </c>
      <c r="D29" s="59">
        <v>640</v>
      </c>
      <c r="E29" s="59">
        <v>0</v>
      </c>
      <c r="F29" s="59">
        <v>2827587.7400000012</v>
      </c>
      <c r="G29" s="74" t="s">
        <v>36</v>
      </c>
    </row>
    <row r="30" spans="1:7" ht="24.75" customHeight="1" x14ac:dyDescent="0.25">
      <c r="A30" s="58" t="s">
        <v>55</v>
      </c>
      <c r="B30" s="58" t="s">
        <v>22</v>
      </c>
      <c r="C30" s="58">
        <v>0</v>
      </c>
      <c r="D30" s="59">
        <v>4.99</v>
      </c>
      <c r="E30" s="59">
        <v>0</v>
      </c>
      <c r="F30" s="59">
        <v>2828227.7400000012</v>
      </c>
      <c r="G30" s="74" t="s">
        <v>36</v>
      </c>
    </row>
    <row r="31" spans="1:7" ht="24.75" customHeight="1" x14ac:dyDescent="0.25">
      <c r="A31" s="58" t="s">
        <v>55</v>
      </c>
      <c r="B31" s="58" t="s">
        <v>23</v>
      </c>
      <c r="C31" s="58">
        <v>0</v>
      </c>
      <c r="D31" s="59">
        <v>960</v>
      </c>
      <c r="E31" s="59">
        <v>0</v>
      </c>
      <c r="F31" s="59">
        <v>2828232.7300000014</v>
      </c>
      <c r="G31" s="74" t="s">
        <v>36</v>
      </c>
    </row>
    <row r="32" spans="1:7" ht="24.75" customHeight="1" x14ac:dyDescent="0.25">
      <c r="A32" s="58" t="s">
        <v>55</v>
      </c>
      <c r="B32" s="58" t="s">
        <v>24</v>
      </c>
      <c r="C32" s="58">
        <v>0</v>
      </c>
      <c r="D32" s="59">
        <v>192</v>
      </c>
      <c r="E32" s="59">
        <v>0</v>
      </c>
      <c r="F32" s="59">
        <v>2829192.7300000014</v>
      </c>
      <c r="G32" s="74" t="s">
        <v>36</v>
      </c>
    </row>
    <row r="33" spans="1:7" ht="24.75" customHeight="1" x14ac:dyDescent="0.25">
      <c r="A33" s="58" t="s">
        <v>55</v>
      </c>
      <c r="B33" s="58" t="s">
        <v>150</v>
      </c>
      <c r="C33" s="58">
        <v>76014</v>
      </c>
      <c r="D33" s="59">
        <v>0</v>
      </c>
      <c r="E33" s="59">
        <v>50000</v>
      </c>
      <c r="F33" s="59">
        <v>2829384.7300000014</v>
      </c>
    </row>
    <row r="34" spans="1:7" ht="24.75" customHeight="1" x14ac:dyDescent="0.25">
      <c r="A34" s="66" t="s">
        <v>55</v>
      </c>
      <c r="B34" s="66" t="s">
        <v>151</v>
      </c>
      <c r="C34" s="66">
        <v>759021</v>
      </c>
      <c r="D34" s="83">
        <v>0</v>
      </c>
      <c r="E34" s="83">
        <v>50000</v>
      </c>
      <c r="F34" s="59">
        <v>2779384.7300000014</v>
      </c>
    </row>
    <row r="35" spans="1:7" ht="24.75" customHeight="1" x14ac:dyDescent="0.25">
      <c r="A35" s="66" t="s">
        <v>55</v>
      </c>
      <c r="B35" s="66" t="s">
        <v>152</v>
      </c>
      <c r="C35" s="66">
        <v>137038</v>
      </c>
      <c r="D35" s="83">
        <v>0</v>
      </c>
      <c r="E35" s="83">
        <v>60000</v>
      </c>
      <c r="F35" s="59">
        <v>2729384.7300000014</v>
      </c>
    </row>
    <row r="36" spans="1:7" ht="24.75" customHeight="1" x14ac:dyDescent="0.25">
      <c r="A36" s="66" t="s">
        <v>56</v>
      </c>
      <c r="B36" s="66" t="s">
        <v>21</v>
      </c>
      <c r="C36" s="66">
        <v>0</v>
      </c>
      <c r="D36" s="83">
        <v>893.71</v>
      </c>
      <c r="E36" s="83">
        <v>0</v>
      </c>
      <c r="F36" s="59">
        <v>2669384.7300000014</v>
      </c>
      <c r="G36" s="74" t="s">
        <v>36</v>
      </c>
    </row>
    <row r="37" spans="1:7" ht="24.75" customHeight="1" x14ac:dyDescent="0.25">
      <c r="A37" s="66" t="s">
        <v>56</v>
      </c>
      <c r="B37" s="66" t="s">
        <v>22</v>
      </c>
      <c r="C37" s="66">
        <v>0</v>
      </c>
      <c r="D37" s="83">
        <v>6.97</v>
      </c>
      <c r="E37" s="83">
        <v>0</v>
      </c>
      <c r="F37" s="59">
        <v>2670278.4400000013</v>
      </c>
      <c r="G37" s="74" t="s">
        <v>36</v>
      </c>
    </row>
    <row r="38" spans="1:7" ht="24.75" customHeight="1" x14ac:dyDescent="0.25">
      <c r="A38" s="66" t="s">
        <v>56</v>
      </c>
      <c r="B38" s="66" t="s">
        <v>23</v>
      </c>
      <c r="C38" s="66">
        <v>0</v>
      </c>
      <c r="D38" s="83">
        <v>1340.56</v>
      </c>
      <c r="E38" s="83">
        <v>0</v>
      </c>
      <c r="F38" s="59">
        <v>2670285.4100000015</v>
      </c>
      <c r="G38" s="74" t="s">
        <v>36</v>
      </c>
    </row>
    <row r="39" spans="1:7" ht="24.75" customHeight="1" x14ac:dyDescent="0.25">
      <c r="A39" s="66" t="s">
        <v>56</v>
      </c>
      <c r="B39" s="66" t="s">
        <v>24</v>
      </c>
      <c r="C39" s="66">
        <v>0</v>
      </c>
      <c r="D39" s="83">
        <v>268.11</v>
      </c>
      <c r="E39" s="83">
        <v>0</v>
      </c>
      <c r="F39" s="59">
        <v>2671625.9700000016</v>
      </c>
      <c r="G39" s="74" t="s">
        <v>36</v>
      </c>
    </row>
    <row r="40" spans="1:7" ht="24.75" customHeight="1" x14ac:dyDescent="0.25">
      <c r="A40" s="66" t="s">
        <v>56</v>
      </c>
      <c r="B40" s="66" t="s">
        <v>153</v>
      </c>
      <c r="C40" s="66">
        <v>83086</v>
      </c>
      <c r="D40" s="83">
        <v>0</v>
      </c>
      <c r="E40" s="83">
        <v>223426.77</v>
      </c>
      <c r="F40" s="59">
        <v>2671894.0800000015</v>
      </c>
    </row>
    <row r="41" spans="1:7" ht="24.75" customHeight="1" x14ac:dyDescent="0.25">
      <c r="A41" s="66" t="s">
        <v>57</v>
      </c>
      <c r="B41" s="66" t="s">
        <v>25</v>
      </c>
      <c r="C41" s="66">
        <v>0</v>
      </c>
      <c r="D41" s="83">
        <v>63</v>
      </c>
      <c r="E41" s="83">
        <v>0</v>
      </c>
      <c r="F41" s="59">
        <v>2448467.3100000015</v>
      </c>
      <c r="G41" s="74" t="s">
        <v>36</v>
      </c>
    </row>
    <row r="42" spans="1:7" ht="24.75" customHeight="1" x14ac:dyDescent="0.25">
      <c r="A42" s="66" t="s">
        <v>57</v>
      </c>
      <c r="B42" s="66" t="s">
        <v>22</v>
      </c>
      <c r="C42" s="66">
        <v>0</v>
      </c>
      <c r="D42" s="83">
        <v>2.1800000000000002</v>
      </c>
      <c r="E42" s="83">
        <v>0</v>
      </c>
      <c r="F42" s="59">
        <v>2448530.3100000015</v>
      </c>
      <c r="G42" s="74" t="s">
        <v>36</v>
      </c>
    </row>
    <row r="43" spans="1:7" ht="18" customHeight="1" x14ac:dyDescent="0.25">
      <c r="A43" s="66" t="s">
        <v>57</v>
      </c>
      <c r="B43" s="66" t="s">
        <v>33</v>
      </c>
      <c r="C43" s="66">
        <v>8258</v>
      </c>
      <c r="D43" s="83">
        <v>300</v>
      </c>
      <c r="E43" s="83">
        <v>0</v>
      </c>
      <c r="F43" s="59">
        <v>2448532.4900000016</v>
      </c>
      <c r="G43" s="74" t="s">
        <v>36</v>
      </c>
    </row>
    <row r="44" spans="1:7" ht="24.75" customHeight="1" x14ac:dyDescent="0.25">
      <c r="A44" s="58" t="s">
        <v>58</v>
      </c>
      <c r="B44" s="58" t="s">
        <v>21</v>
      </c>
      <c r="C44" s="58">
        <v>0</v>
      </c>
      <c r="D44" s="59">
        <v>6465.48</v>
      </c>
      <c r="E44" s="59">
        <v>0</v>
      </c>
      <c r="F44" s="59">
        <v>2448832.4900000016</v>
      </c>
      <c r="G44" s="74" t="s">
        <v>36</v>
      </c>
    </row>
    <row r="45" spans="1:7" ht="24.75" customHeight="1" x14ac:dyDescent="0.25">
      <c r="A45" s="58" t="s">
        <v>58</v>
      </c>
      <c r="B45" s="58" t="s">
        <v>22</v>
      </c>
      <c r="C45" s="58">
        <v>0</v>
      </c>
      <c r="D45" s="59">
        <v>50.43</v>
      </c>
      <c r="E45" s="59">
        <v>0</v>
      </c>
      <c r="F45" s="59">
        <v>2455297.9700000016</v>
      </c>
      <c r="G45" s="74" t="s">
        <v>36</v>
      </c>
    </row>
    <row r="46" spans="1:7" ht="24.75" customHeight="1" x14ac:dyDescent="0.25">
      <c r="A46" s="58" t="s">
        <v>58</v>
      </c>
      <c r="B46" s="58" t="s">
        <v>23</v>
      </c>
      <c r="C46" s="58">
        <v>0</v>
      </c>
      <c r="D46" s="59">
        <v>9698.2099999999991</v>
      </c>
      <c r="E46" s="59">
        <v>0</v>
      </c>
      <c r="F46" s="59">
        <v>2455348.4000000018</v>
      </c>
      <c r="G46" s="74" t="s">
        <v>36</v>
      </c>
    </row>
    <row r="47" spans="1:7" ht="24.75" customHeight="1" x14ac:dyDescent="0.25">
      <c r="A47" s="58" t="s">
        <v>58</v>
      </c>
      <c r="B47" s="58" t="s">
        <v>24</v>
      </c>
      <c r="C47" s="58">
        <v>0</v>
      </c>
      <c r="D47" s="59">
        <v>1939.64</v>
      </c>
      <c r="E47" s="59">
        <v>0</v>
      </c>
      <c r="F47" s="59">
        <v>2465046.6100000017</v>
      </c>
      <c r="G47" s="74" t="s">
        <v>36</v>
      </c>
    </row>
    <row r="48" spans="1:7" ht="24.75" customHeight="1" x14ac:dyDescent="0.25">
      <c r="A48" s="58" t="s">
        <v>58</v>
      </c>
      <c r="B48" s="58" t="s">
        <v>154</v>
      </c>
      <c r="C48" s="58">
        <v>925148</v>
      </c>
      <c r="D48" s="59">
        <v>0</v>
      </c>
      <c r="E48" s="59">
        <v>1273020.43</v>
      </c>
      <c r="F48" s="59">
        <v>2466986.2500000019</v>
      </c>
    </row>
    <row r="49" spans="1:7" ht="24.75" customHeight="1" x14ac:dyDescent="0.25">
      <c r="A49" s="58" t="s">
        <v>58</v>
      </c>
      <c r="B49" s="58" t="s">
        <v>155</v>
      </c>
      <c r="C49" s="58">
        <v>614220</v>
      </c>
      <c r="D49" s="59">
        <v>4000000</v>
      </c>
      <c r="E49" s="59">
        <v>0</v>
      </c>
      <c r="F49" s="59">
        <v>1193965.8200000022</v>
      </c>
    </row>
    <row r="50" spans="1:7" ht="24.75" customHeight="1" x14ac:dyDescent="0.25">
      <c r="A50" s="58" t="s">
        <v>58</v>
      </c>
      <c r="B50" s="58" t="s">
        <v>156</v>
      </c>
      <c r="C50" s="58">
        <v>280806</v>
      </c>
      <c r="D50" s="59">
        <v>0</v>
      </c>
      <c r="E50" s="59">
        <v>343348.87</v>
      </c>
      <c r="F50" s="59">
        <v>5193965.8200000022</v>
      </c>
    </row>
    <row r="51" spans="1:7" ht="24.75" customHeight="1" x14ac:dyDescent="0.25">
      <c r="A51" s="58" t="s">
        <v>59</v>
      </c>
      <c r="B51" s="58" t="s">
        <v>25</v>
      </c>
      <c r="C51" s="58">
        <v>0</v>
      </c>
      <c r="D51" s="59">
        <v>126</v>
      </c>
      <c r="E51" s="59">
        <v>0</v>
      </c>
      <c r="F51" s="59">
        <v>4850616.950000002</v>
      </c>
      <c r="G51" s="74" t="s">
        <v>36</v>
      </c>
    </row>
    <row r="52" spans="1:7" ht="24.75" customHeight="1" x14ac:dyDescent="0.25">
      <c r="A52" s="58" t="s">
        <v>59</v>
      </c>
      <c r="B52" s="58" t="s">
        <v>21</v>
      </c>
      <c r="C52" s="58">
        <v>0</v>
      </c>
      <c r="D52" s="59">
        <v>10491.84</v>
      </c>
      <c r="E52" s="59">
        <v>0</v>
      </c>
      <c r="F52" s="59">
        <v>4850742.950000002</v>
      </c>
      <c r="G52" s="74" t="s">
        <v>36</v>
      </c>
    </row>
    <row r="53" spans="1:7" ht="24.75" customHeight="1" x14ac:dyDescent="0.25">
      <c r="A53" s="58" t="s">
        <v>59</v>
      </c>
      <c r="B53" s="58" t="s">
        <v>22</v>
      </c>
      <c r="C53" s="58">
        <v>0</v>
      </c>
      <c r="D53" s="59">
        <v>86.2</v>
      </c>
      <c r="E53" s="59">
        <v>0</v>
      </c>
      <c r="F53" s="59">
        <v>4861234.7900000019</v>
      </c>
      <c r="G53" s="74" t="s">
        <v>36</v>
      </c>
    </row>
    <row r="54" spans="1:7" ht="24.75" customHeight="1" x14ac:dyDescent="0.25">
      <c r="A54" s="58" t="s">
        <v>59</v>
      </c>
      <c r="B54" s="58" t="s">
        <v>23</v>
      </c>
      <c r="C54" s="58">
        <v>0</v>
      </c>
      <c r="D54" s="59">
        <v>15737.76</v>
      </c>
      <c r="E54" s="59">
        <v>0</v>
      </c>
      <c r="F54" s="59">
        <v>4861320.9900000021</v>
      </c>
      <c r="G54" s="74" t="s">
        <v>36</v>
      </c>
    </row>
    <row r="55" spans="1:7" ht="24.75" customHeight="1" x14ac:dyDescent="0.25">
      <c r="A55" s="58" t="s">
        <v>59</v>
      </c>
      <c r="B55" s="58" t="s">
        <v>24</v>
      </c>
      <c r="C55" s="58">
        <v>0</v>
      </c>
      <c r="D55" s="59">
        <v>3147.55</v>
      </c>
      <c r="E55" s="59">
        <v>0</v>
      </c>
      <c r="F55" s="59">
        <v>4877058.7500000019</v>
      </c>
      <c r="G55" s="74" t="s">
        <v>36</v>
      </c>
    </row>
    <row r="56" spans="1:7" ht="24.75" customHeight="1" x14ac:dyDescent="0.25">
      <c r="A56" s="58" t="s">
        <v>59</v>
      </c>
      <c r="B56" s="58" t="s">
        <v>157</v>
      </c>
      <c r="C56" s="58">
        <v>953944</v>
      </c>
      <c r="D56" s="59">
        <v>0</v>
      </c>
      <c r="E56" s="59">
        <v>1000000</v>
      </c>
      <c r="F56" s="59">
        <v>4880206.3000000017</v>
      </c>
    </row>
    <row r="57" spans="1:7" ht="24.75" customHeight="1" x14ac:dyDescent="0.25">
      <c r="A57" s="58" t="s">
        <v>59</v>
      </c>
      <c r="B57" s="58" t="s">
        <v>158</v>
      </c>
      <c r="C57" s="58">
        <v>432503</v>
      </c>
      <c r="D57" s="59">
        <v>0</v>
      </c>
      <c r="E57" s="59">
        <v>700000</v>
      </c>
      <c r="F57" s="59">
        <v>3880206.3000000017</v>
      </c>
    </row>
    <row r="58" spans="1:7" ht="24.75" customHeight="1" x14ac:dyDescent="0.25">
      <c r="A58" s="58" t="s">
        <v>59</v>
      </c>
      <c r="B58" s="58" t="s">
        <v>159</v>
      </c>
      <c r="C58" s="58">
        <v>871849</v>
      </c>
      <c r="D58" s="59">
        <v>0</v>
      </c>
      <c r="E58" s="59">
        <v>922960.26</v>
      </c>
      <c r="F58" s="59">
        <v>3180206.3000000017</v>
      </c>
    </row>
    <row r="59" spans="1:7" ht="24.75" customHeight="1" x14ac:dyDescent="0.25">
      <c r="A59" s="58" t="s">
        <v>59</v>
      </c>
      <c r="B59" s="58" t="s">
        <v>33</v>
      </c>
      <c r="C59" s="58">
        <v>8258</v>
      </c>
      <c r="D59" s="59">
        <v>600</v>
      </c>
      <c r="E59" s="59">
        <v>0</v>
      </c>
      <c r="F59" s="59">
        <v>2257246.0400000019</v>
      </c>
      <c r="G59" s="74" t="s">
        <v>36</v>
      </c>
    </row>
    <row r="60" spans="1:7" ht="24.75" customHeight="1" x14ac:dyDescent="0.25">
      <c r="A60" s="58" t="s">
        <v>60</v>
      </c>
      <c r="B60" s="58" t="s">
        <v>21</v>
      </c>
      <c r="C60" s="58">
        <v>0</v>
      </c>
      <c r="D60" s="59">
        <v>15649</v>
      </c>
      <c r="E60" s="59">
        <v>0</v>
      </c>
      <c r="F60" s="59">
        <v>2257846.0400000019</v>
      </c>
      <c r="G60" s="74" t="s">
        <v>36</v>
      </c>
    </row>
    <row r="61" spans="1:7" ht="24.75" customHeight="1" x14ac:dyDescent="0.25">
      <c r="A61" s="58" t="s">
        <v>60</v>
      </c>
      <c r="B61" s="58" t="s">
        <v>22</v>
      </c>
      <c r="C61" s="58">
        <v>0</v>
      </c>
      <c r="D61" s="59">
        <v>3884.05</v>
      </c>
      <c r="E61" s="59">
        <v>0</v>
      </c>
      <c r="F61" s="59">
        <v>2273495.0400000019</v>
      </c>
      <c r="G61" s="74" t="s">
        <v>36</v>
      </c>
    </row>
    <row r="62" spans="1:7" ht="24.75" customHeight="1" x14ac:dyDescent="0.25">
      <c r="A62" s="58" t="s">
        <v>60</v>
      </c>
      <c r="B62" s="58" t="s">
        <v>23</v>
      </c>
      <c r="C62" s="58">
        <v>0</v>
      </c>
      <c r="D62" s="59">
        <v>23473.49</v>
      </c>
      <c r="E62" s="59">
        <v>0</v>
      </c>
      <c r="F62" s="59">
        <v>2277379.0900000017</v>
      </c>
      <c r="G62" s="74" t="s">
        <v>36</v>
      </c>
    </row>
    <row r="63" spans="1:7" ht="24.75" customHeight="1" x14ac:dyDescent="0.25">
      <c r="A63" s="58" t="s">
        <v>60</v>
      </c>
      <c r="B63" s="58" t="s">
        <v>24</v>
      </c>
      <c r="C63" s="58">
        <v>0</v>
      </c>
      <c r="D63" s="59">
        <v>4694.6899999999996</v>
      </c>
      <c r="E63" s="59">
        <v>0</v>
      </c>
      <c r="F63" s="59">
        <v>2300852.5800000019</v>
      </c>
      <c r="G63" s="74" t="s">
        <v>36</v>
      </c>
    </row>
    <row r="64" spans="1:7" ht="24.75" customHeight="1" x14ac:dyDescent="0.25">
      <c r="A64" s="58" t="s">
        <v>60</v>
      </c>
      <c r="B64" s="58" t="s">
        <v>160</v>
      </c>
      <c r="C64" s="58">
        <v>975999</v>
      </c>
      <c r="D64" s="59">
        <v>0</v>
      </c>
      <c r="E64" s="59">
        <v>1001861.85</v>
      </c>
      <c r="F64" s="59">
        <v>2305547.2700000019</v>
      </c>
    </row>
    <row r="65" spans="1:7" ht="24.75" customHeight="1" x14ac:dyDescent="0.25">
      <c r="A65" s="58" t="s">
        <v>60</v>
      </c>
      <c r="B65" s="58" t="s">
        <v>61</v>
      </c>
      <c r="C65" s="58">
        <v>184643</v>
      </c>
      <c r="D65" s="59">
        <v>627000</v>
      </c>
      <c r="E65" s="59">
        <v>0</v>
      </c>
      <c r="F65" s="59">
        <v>1303685.4200000018</v>
      </c>
    </row>
    <row r="66" spans="1:7" ht="24.75" customHeight="1" x14ac:dyDescent="0.25">
      <c r="A66" s="58" t="s">
        <v>60</v>
      </c>
      <c r="B66" s="58" t="s">
        <v>161</v>
      </c>
      <c r="C66" s="58">
        <v>704207</v>
      </c>
      <c r="D66" s="59">
        <v>0</v>
      </c>
      <c r="E66" s="59">
        <v>306177.19</v>
      </c>
      <c r="F66" s="59">
        <v>1930685.4200000018</v>
      </c>
    </row>
    <row r="67" spans="1:7" ht="24.75" customHeight="1" x14ac:dyDescent="0.25">
      <c r="A67" s="58" t="s">
        <v>60</v>
      </c>
      <c r="B67" s="58" t="s">
        <v>155</v>
      </c>
      <c r="C67" s="58">
        <v>414774</v>
      </c>
      <c r="D67" s="59">
        <v>1500000</v>
      </c>
      <c r="E67" s="59">
        <v>0</v>
      </c>
      <c r="F67" s="59">
        <v>1624508.2300000018</v>
      </c>
    </row>
    <row r="68" spans="1:7" ht="24.75" customHeight="1" x14ac:dyDescent="0.25">
      <c r="A68" s="66" t="s">
        <v>60</v>
      </c>
      <c r="B68" s="66" t="s">
        <v>62</v>
      </c>
      <c r="C68" s="66">
        <v>682137</v>
      </c>
      <c r="D68" s="83">
        <v>0</v>
      </c>
      <c r="E68" s="83">
        <v>765466.68</v>
      </c>
      <c r="F68" s="59">
        <v>3124508.2300000018</v>
      </c>
    </row>
    <row r="69" spans="1:7" ht="24.75" customHeight="1" x14ac:dyDescent="0.25">
      <c r="A69" s="66" t="s">
        <v>60</v>
      </c>
      <c r="B69" s="66" t="s">
        <v>162</v>
      </c>
      <c r="C69" s="66">
        <v>249682</v>
      </c>
      <c r="D69" s="83">
        <v>0</v>
      </c>
      <c r="E69" s="83">
        <v>231770.66</v>
      </c>
      <c r="F69" s="59">
        <v>2359041.5500000017</v>
      </c>
    </row>
    <row r="70" spans="1:7" ht="24.75" customHeight="1" x14ac:dyDescent="0.25">
      <c r="A70" s="66" t="s">
        <v>60</v>
      </c>
      <c r="B70" s="66" t="s">
        <v>63</v>
      </c>
      <c r="C70" s="66">
        <v>136002</v>
      </c>
      <c r="D70" s="83">
        <v>0</v>
      </c>
      <c r="E70" s="83">
        <v>206972.92</v>
      </c>
      <c r="F70" s="59">
        <v>2127270.8900000015</v>
      </c>
    </row>
    <row r="71" spans="1:7" ht="24.75" customHeight="1" x14ac:dyDescent="0.25">
      <c r="A71" s="66" t="s">
        <v>60</v>
      </c>
      <c r="B71" s="66" t="s">
        <v>64</v>
      </c>
      <c r="C71" s="66">
        <v>344126</v>
      </c>
      <c r="D71" s="83">
        <v>4200000</v>
      </c>
      <c r="E71" s="83">
        <v>0</v>
      </c>
      <c r="F71" s="59">
        <v>1920297.9700000016</v>
      </c>
    </row>
    <row r="72" spans="1:7" ht="26.25" customHeight="1" x14ac:dyDescent="0.25">
      <c r="A72" s="66" t="s">
        <v>60</v>
      </c>
      <c r="B72" s="66" t="s">
        <v>65</v>
      </c>
      <c r="C72" s="66">
        <v>536076</v>
      </c>
      <c r="D72" s="83">
        <v>0</v>
      </c>
      <c r="E72" s="83">
        <v>1400000</v>
      </c>
      <c r="F72" s="59">
        <v>6120297.9700000016</v>
      </c>
    </row>
    <row r="73" spans="1:7" ht="24.75" customHeight="1" x14ac:dyDescent="0.25">
      <c r="A73" s="58" t="s">
        <v>66</v>
      </c>
      <c r="B73" s="58" t="s">
        <v>21</v>
      </c>
      <c r="C73" s="58">
        <v>0</v>
      </c>
      <c r="D73" s="59">
        <v>3960</v>
      </c>
      <c r="E73" s="59">
        <v>0</v>
      </c>
      <c r="F73" s="59">
        <v>4720297.9700000016</v>
      </c>
      <c r="G73" s="74" t="s">
        <v>36</v>
      </c>
    </row>
    <row r="74" spans="1:7" ht="24.75" customHeight="1" x14ac:dyDescent="0.25">
      <c r="A74" s="58" t="s">
        <v>66</v>
      </c>
      <c r="B74" s="58" t="s">
        <v>22</v>
      </c>
      <c r="C74" s="58">
        <v>0</v>
      </c>
      <c r="D74" s="59">
        <v>30.89</v>
      </c>
      <c r="E74" s="59">
        <v>0</v>
      </c>
      <c r="F74" s="59">
        <v>4724257.9700000016</v>
      </c>
      <c r="G74" s="74" t="s">
        <v>36</v>
      </c>
    </row>
    <row r="75" spans="1:7" ht="24.75" customHeight="1" x14ac:dyDescent="0.25">
      <c r="A75" s="58" t="s">
        <v>66</v>
      </c>
      <c r="B75" s="58" t="s">
        <v>23</v>
      </c>
      <c r="C75" s="58">
        <v>0</v>
      </c>
      <c r="D75" s="59">
        <v>5940</v>
      </c>
      <c r="E75" s="59">
        <v>0</v>
      </c>
      <c r="F75" s="59">
        <v>4724288.8600000013</v>
      </c>
      <c r="G75" s="74" t="s">
        <v>36</v>
      </c>
    </row>
    <row r="76" spans="1:7" ht="24.75" customHeight="1" x14ac:dyDescent="0.25">
      <c r="A76" s="58" t="s">
        <v>66</v>
      </c>
      <c r="B76" s="58" t="s">
        <v>24</v>
      </c>
      <c r="C76" s="58">
        <v>0</v>
      </c>
      <c r="D76" s="59">
        <v>1188</v>
      </c>
      <c r="E76" s="59">
        <v>0</v>
      </c>
      <c r="F76" s="59">
        <v>4730228.8600000013</v>
      </c>
      <c r="G76" s="74" t="s">
        <v>36</v>
      </c>
    </row>
    <row r="77" spans="1:7" ht="24.75" customHeight="1" x14ac:dyDescent="0.25">
      <c r="A77" s="58" t="s">
        <v>66</v>
      </c>
      <c r="B77" s="58" t="s">
        <v>163</v>
      </c>
      <c r="C77" s="58">
        <v>339566</v>
      </c>
      <c r="D77" s="59">
        <v>0</v>
      </c>
      <c r="E77" s="59">
        <v>990000</v>
      </c>
      <c r="F77" s="59">
        <v>4731416.8600000013</v>
      </c>
    </row>
    <row r="78" spans="1:7" ht="24.75" customHeight="1" x14ac:dyDescent="0.25">
      <c r="A78" s="66" t="s">
        <v>67</v>
      </c>
      <c r="B78" s="66" t="s">
        <v>21</v>
      </c>
      <c r="C78" s="66">
        <v>0</v>
      </c>
      <c r="D78" s="83">
        <v>392.9</v>
      </c>
      <c r="E78" s="83">
        <v>0</v>
      </c>
      <c r="F78" s="59">
        <v>3741416.8600000017</v>
      </c>
      <c r="G78" s="74" t="s">
        <v>36</v>
      </c>
    </row>
    <row r="79" spans="1:7" ht="24.75" customHeight="1" x14ac:dyDescent="0.25">
      <c r="A79" s="66" t="s">
        <v>67</v>
      </c>
      <c r="B79" s="66" t="s">
        <v>22</v>
      </c>
      <c r="C79" s="66">
        <v>0</v>
      </c>
      <c r="D79" s="83">
        <v>1991.96</v>
      </c>
      <c r="E79" s="83">
        <v>0</v>
      </c>
      <c r="F79" s="59">
        <v>3741809.7600000016</v>
      </c>
      <c r="G79" s="74" t="s">
        <v>36</v>
      </c>
    </row>
    <row r="80" spans="1:7" ht="24.75" customHeight="1" x14ac:dyDescent="0.25">
      <c r="A80" s="66" t="s">
        <v>67</v>
      </c>
      <c r="B80" s="66" t="s">
        <v>23</v>
      </c>
      <c r="C80" s="66">
        <v>0</v>
      </c>
      <c r="D80" s="83">
        <v>589.34</v>
      </c>
      <c r="E80" s="83">
        <v>0</v>
      </c>
      <c r="F80" s="59">
        <v>3743801.7200000016</v>
      </c>
      <c r="G80" s="74" t="s">
        <v>36</v>
      </c>
    </row>
    <row r="81" spans="1:7" ht="24.75" customHeight="1" x14ac:dyDescent="0.25">
      <c r="A81" s="66" t="s">
        <v>67</v>
      </c>
      <c r="B81" s="66" t="s">
        <v>24</v>
      </c>
      <c r="C81" s="66">
        <v>0</v>
      </c>
      <c r="D81" s="83">
        <v>117.87</v>
      </c>
      <c r="E81" s="83">
        <v>0</v>
      </c>
      <c r="F81" s="59">
        <v>3744391.0600000015</v>
      </c>
      <c r="G81" s="74" t="s">
        <v>36</v>
      </c>
    </row>
    <row r="82" spans="1:7" ht="24.75" customHeight="1" x14ac:dyDescent="0.25">
      <c r="A82" s="66" t="s">
        <v>67</v>
      </c>
      <c r="B82" s="87" t="s">
        <v>165</v>
      </c>
      <c r="C82" s="66">
        <v>250325</v>
      </c>
      <c r="D82" s="83">
        <v>0</v>
      </c>
      <c r="E82" s="83">
        <v>98223.75</v>
      </c>
      <c r="F82" s="59">
        <v>3744508.9300000016</v>
      </c>
    </row>
    <row r="83" spans="1:7" ht="19.5" customHeight="1" x14ac:dyDescent="0.25">
      <c r="A83" s="66" t="s">
        <v>67</v>
      </c>
      <c r="B83" s="66" t="s">
        <v>164</v>
      </c>
      <c r="C83" s="66">
        <v>115325</v>
      </c>
      <c r="D83" s="83">
        <v>331481.08</v>
      </c>
      <c r="E83" s="83">
        <v>0</v>
      </c>
      <c r="F83" s="59">
        <v>3646285.1800000016</v>
      </c>
    </row>
    <row r="84" spans="1:7" ht="19.5" customHeight="1" x14ac:dyDescent="0.25">
      <c r="A84" s="58" t="s">
        <v>68</v>
      </c>
      <c r="B84" s="58" t="s">
        <v>21</v>
      </c>
      <c r="C84" s="58">
        <v>0</v>
      </c>
      <c r="D84" s="59">
        <v>10636.19</v>
      </c>
      <c r="E84" s="59">
        <v>0</v>
      </c>
      <c r="F84" s="59">
        <v>3977766.2600000016</v>
      </c>
      <c r="G84" s="74" t="s">
        <v>36</v>
      </c>
    </row>
    <row r="85" spans="1:7" ht="24.75" customHeight="1" x14ac:dyDescent="0.25">
      <c r="A85" s="58" t="s">
        <v>68</v>
      </c>
      <c r="B85" s="58" t="s">
        <v>22</v>
      </c>
      <c r="C85" s="58">
        <v>0</v>
      </c>
      <c r="D85" s="59">
        <v>82.97</v>
      </c>
      <c r="E85" s="59">
        <v>0</v>
      </c>
      <c r="F85" s="59">
        <v>3988402.4500000016</v>
      </c>
      <c r="G85" s="74" t="s">
        <v>36</v>
      </c>
    </row>
    <row r="86" spans="1:7" ht="24.75" customHeight="1" x14ac:dyDescent="0.25">
      <c r="A86" s="58" t="s">
        <v>68</v>
      </c>
      <c r="B86" s="58" t="s">
        <v>23</v>
      </c>
      <c r="C86" s="58">
        <v>0</v>
      </c>
      <c r="D86" s="59">
        <v>15954.28</v>
      </c>
      <c r="E86" s="59">
        <v>0</v>
      </c>
      <c r="F86" s="59">
        <v>3988485.4200000018</v>
      </c>
      <c r="G86" s="74" t="s">
        <v>36</v>
      </c>
    </row>
    <row r="87" spans="1:7" ht="24.75" customHeight="1" x14ac:dyDescent="0.25">
      <c r="A87" s="58" t="s">
        <v>68</v>
      </c>
      <c r="B87" s="58" t="s">
        <v>24</v>
      </c>
      <c r="C87" s="58">
        <v>0</v>
      </c>
      <c r="D87" s="59">
        <v>3190.86</v>
      </c>
      <c r="E87" s="59">
        <v>0</v>
      </c>
      <c r="F87" s="59">
        <v>4004439.7000000016</v>
      </c>
      <c r="G87" s="74" t="s">
        <v>36</v>
      </c>
    </row>
    <row r="88" spans="1:7" ht="18.75" customHeight="1" x14ac:dyDescent="0.25">
      <c r="A88" s="58" t="s">
        <v>68</v>
      </c>
      <c r="B88" s="58" t="s">
        <v>166</v>
      </c>
      <c r="C88" s="58">
        <v>28051</v>
      </c>
      <c r="D88" s="59">
        <v>0</v>
      </c>
      <c r="E88" s="59">
        <v>2000000</v>
      </c>
      <c r="F88" s="59">
        <v>4007630.5600000015</v>
      </c>
    </row>
    <row r="89" spans="1:7" ht="24.75" customHeight="1" x14ac:dyDescent="0.25">
      <c r="A89" s="58" t="s">
        <v>68</v>
      </c>
      <c r="B89" s="58" t="s">
        <v>167</v>
      </c>
      <c r="C89" s="58">
        <v>748645</v>
      </c>
      <c r="D89" s="59">
        <v>0</v>
      </c>
      <c r="E89" s="59">
        <v>659046.47</v>
      </c>
      <c r="F89" s="59">
        <v>2007630.5600000012</v>
      </c>
    </row>
    <row r="90" spans="1:7" ht="24.75" customHeight="1" x14ac:dyDescent="0.25">
      <c r="A90" s="66" t="s">
        <v>69</v>
      </c>
      <c r="B90" s="66" t="s">
        <v>25</v>
      </c>
      <c r="C90" s="66">
        <v>0</v>
      </c>
      <c r="D90" s="83">
        <v>63</v>
      </c>
      <c r="E90" s="83">
        <v>0</v>
      </c>
      <c r="F90" s="59">
        <v>1348584.0900000012</v>
      </c>
      <c r="G90" s="74" t="s">
        <v>36</v>
      </c>
    </row>
    <row r="91" spans="1:7" ht="24.75" customHeight="1" x14ac:dyDescent="0.25">
      <c r="A91" s="66" t="s">
        <v>69</v>
      </c>
      <c r="B91" s="66" t="s">
        <v>22</v>
      </c>
      <c r="C91" s="66">
        <v>0</v>
      </c>
      <c r="D91" s="83">
        <v>3654.69</v>
      </c>
      <c r="E91" s="83">
        <v>0</v>
      </c>
      <c r="F91" s="59">
        <v>1348647.0900000012</v>
      </c>
      <c r="G91" s="74" t="s">
        <v>36</v>
      </c>
    </row>
    <row r="92" spans="1:7" ht="24.75" customHeight="1" x14ac:dyDescent="0.25">
      <c r="A92" s="66" t="s">
        <v>69</v>
      </c>
      <c r="B92" s="66" t="s">
        <v>33</v>
      </c>
      <c r="C92" s="66">
        <v>8258</v>
      </c>
      <c r="D92" s="83">
        <v>300</v>
      </c>
      <c r="E92" s="83">
        <v>0</v>
      </c>
      <c r="F92" s="59">
        <v>1352301.7800000012</v>
      </c>
      <c r="G92" s="74" t="s">
        <v>36</v>
      </c>
    </row>
    <row r="93" spans="1:7" ht="24.75" customHeight="1" x14ac:dyDescent="0.25">
      <c r="A93" s="66" t="s">
        <v>69</v>
      </c>
      <c r="B93" s="66" t="s">
        <v>168</v>
      </c>
      <c r="C93" s="66">
        <v>56</v>
      </c>
      <c r="D93" s="83">
        <v>608751</v>
      </c>
      <c r="E93" s="83">
        <v>0</v>
      </c>
      <c r="F93" s="59">
        <v>1352601.7800000012</v>
      </c>
    </row>
    <row r="94" spans="1:7" ht="24.75" customHeight="1" x14ac:dyDescent="0.25">
      <c r="A94" s="58" t="s">
        <v>70</v>
      </c>
      <c r="B94" s="58" t="s">
        <v>35</v>
      </c>
      <c r="C94" s="58">
        <v>100051</v>
      </c>
      <c r="D94" s="59">
        <v>15000000</v>
      </c>
      <c r="E94" s="59">
        <v>0</v>
      </c>
      <c r="F94" s="59">
        <v>1961352.7800000012</v>
      </c>
    </row>
    <row r="95" spans="1:7" ht="24.75" customHeight="1" x14ac:dyDescent="0.25">
      <c r="A95" s="58" t="s">
        <v>71</v>
      </c>
      <c r="B95" s="58" t="s">
        <v>22</v>
      </c>
      <c r="C95" s="58">
        <v>0</v>
      </c>
      <c r="D95" s="59">
        <v>3948.47</v>
      </c>
      <c r="E95" s="59">
        <v>0</v>
      </c>
      <c r="F95" s="59">
        <v>16961352.780000001</v>
      </c>
      <c r="G95" s="74" t="s">
        <v>36</v>
      </c>
    </row>
    <row r="96" spans="1:7" ht="24.75" customHeight="1" x14ac:dyDescent="0.25">
      <c r="A96" s="58" t="s">
        <v>71</v>
      </c>
      <c r="B96" s="58" t="s">
        <v>46</v>
      </c>
      <c r="C96" s="58">
        <v>903118</v>
      </c>
      <c r="D96" s="59">
        <v>177781.56</v>
      </c>
      <c r="E96" s="59">
        <v>0</v>
      </c>
      <c r="F96" s="59">
        <v>16965301.25</v>
      </c>
    </row>
    <row r="97" spans="1:8" ht="24.75" customHeight="1" x14ac:dyDescent="0.25">
      <c r="A97" s="58" t="s">
        <v>71</v>
      </c>
      <c r="B97" s="58" t="s">
        <v>169</v>
      </c>
      <c r="C97" s="58">
        <v>15133</v>
      </c>
      <c r="D97" s="59">
        <v>480297.44</v>
      </c>
      <c r="E97" s="59">
        <v>0</v>
      </c>
      <c r="F97" s="59">
        <v>17143082.809999999</v>
      </c>
      <c r="G97" s="74" t="s">
        <v>36</v>
      </c>
    </row>
    <row r="98" spans="1:8" ht="24.75" customHeight="1" x14ac:dyDescent="0.25">
      <c r="A98" s="88" t="s">
        <v>72</v>
      </c>
      <c r="B98" s="88" t="s">
        <v>27</v>
      </c>
      <c r="C98" s="88">
        <v>0</v>
      </c>
      <c r="D98" s="59">
        <v>3000</v>
      </c>
      <c r="E98" s="59">
        <v>0</v>
      </c>
      <c r="F98" s="59">
        <v>17623380.25</v>
      </c>
      <c r="G98" s="74" t="s">
        <v>36</v>
      </c>
    </row>
    <row r="99" spans="1:8" ht="24.75" customHeight="1" x14ac:dyDescent="0.25">
      <c r="A99" s="88" t="s">
        <v>72</v>
      </c>
      <c r="B99" s="88" t="s">
        <v>25</v>
      </c>
      <c r="C99" s="88">
        <v>0</v>
      </c>
      <c r="D99" s="59">
        <v>21000</v>
      </c>
      <c r="E99" s="59">
        <v>0</v>
      </c>
      <c r="F99" s="59">
        <v>17626380.25</v>
      </c>
      <c r="G99" s="74" t="s">
        <v>36</v>
      </c>
    </row>
    <row r="100" spans="1:8" ht="24.75" customHeight="1" x14ac:dyDescent="0.25">
      <c r="A100" s="88" t="s">
        <v>72</v>
      </c>
      <c r="B100" s="88" t="s">
        <v>21</v>
      </c>
      <c r="C100" s="88">
        <v>0</v>
      </c>
      <c r="D100" s="59">
        <v>42400</v>
      </c>
      <c r="E100" s="59">
        <v>0</v>
      </c>
      <c r="F100" s="59">
        <v>17647380.25</v>
      </c>
      <c r="G100" s="74" t="s">
        <v>36</v>
      </c>
    </row>
    <row r="101" spans="1:8" ht="24.75" customHeight="1" x14ac:dyDescent="0.25">
      <c r="A101" s="88" t="s">
        <v>72</v>
      </c>
      <c r="B101" s="88" t="s">
        <v>22</v>
      </c>
      <c r="C101" s="88">
        <v>0</v>
      </c>
      <c r="D101" s="59">
        <v>2553.41</v>
      </c>
      <c r="E101" s="59">
        <v>0</v>
      </c>
      <c r="F101" s="59">
        <v>17689780.25</v>
      </c>
      <c r="G101" s="74" t="s">
        <v>36</v>
      </c>
    </row>
    <row r="102" spans="1:8" ht="24.75" customHeight="1" x14ac:dyDescent="0.25">
      <c r="A102" s="88" t="s">
        <v>72</v>
      </c>
      <c r="B102" s="88" t="s">
        <v>23</v>
      </c>
      <c r="C102" s="88">
        <v>0</v>
      </c>
      <c r="D102" s="59">
        <v>63600</v>
      </c>
      <c r="E102" s="59">
        <v>0</v>
      </c>
      <c r="F102" s="59">
        <v>17692333.66</v>
      </c>
      <c r="G102" s="74" t="s">
        <v>36</v>
      </c>
    </row>
    <row r="103" spans="1:8" ht="24.75" customHeight="1" x14ac:dyDescent="0.25">
      <c r="A103" s="88" t="s">
        <v>72</v>
      </c>
      <c r="B103" s="88" t="s">
        <v>40</v>
      </c>
      <c r="C103" s="88">
        <v>0</v>
      </c>
      <c r="D103" s="59">
        <v>100000</v>
      </c>
      <c r="E103" s="59">
        <v>0</v>
      </c>
      <c r="F103" s="59">
        <v>17755933.66</v>
      </c>
      <c r="G103" s="74" t="s">
        <v>36</v>
      </c>
    </row>
    <row r="104" spans="1:8" ht="24.75" customHeight="1" x14ac:dyDescent="0.25">
      <c r="A104" s="88" t="s">
        <v>72</v>
      </c>
      <c r="B104" s="88" t="s">
        <v>24</v>
      </c>
      <c r="C104" s="88">
        <v>0</v>
      </c>
      <c r="D104" s="59">
        <v>12720</v>
      </c>
      <c r="E104" s="59">
        <v>0</v>
      </c>
      <c r="F104" s="59">
        <v>17855933.66</v>
      </c>
      <c r="G104" s="74" t="s">
        <v>36</v>
      </c>
    </row>
    <row r="105" spans="1:8" ht="24.75" customHeight="1" x14ac:dyDescent="0.25">
      <c r="A105" s="88" t="s">
        <v>72</v>
      </c>
      <c r="B105" s="88" t="s">
        <v>29</v>
      </c>
      <c r="C105" s="88">
        <v>0</v>
      </c>
      <c r="D105" s="59">
        <v>2000</v>
      </c>
      <c r="E105" s="59">
        <v>0</v>
      </c>
      <c r="F105" s="59">
        <v>17868653.66</v>
      </c>
      <c r="G105" s="74" t="s">
        <v>36</v>
      </c>
    </row>
    <row r="106" spans="1:8" ht="24.75" customHeight="1" x14ac:dyDescent="0.25">
      <c r="A106" s="88" t="s">
        <v>72</v>
      </c>
      <c r="B106" s="88" t="s">
        <v>44</v>
      </c>
      <c r="C106" s="88">
        <v>0</v>
      </c>
      <c r="D106" s="59">
        <v>0</v>
      </c>
      <c r="E106" s="59">
        <v>10000000</v>
      </c>
      <c r="F106" s="59">
        <v>17870653.66</v>
      </c>
      <c r="H106" t="s">
        <v>73</v>
      </c>
    </row>
    <row r="107" spans="1:8" ht="24.75" customHeight="1" x14ac:dyDescent="0.25">
      <c r="A107" s="88" t="s">
        <v>72</v>
      </c>
      <c r="B107" s="88" t="s">
        <v>170</v>
      </c>
      <c r="C107" s="88">
        <v>832702</v>
      </c>
      <c r="D107" s="59">
        <v>0</v>
      </c>
      <c r="E107" s="59">
        <v>600000</v>
      </c>
      <c r="F107" s="59">
        <v>7870653.6600000001</v>
      </c>
    </row>
    <row r="108" spans="1:8" ht="24.75" customHeight="1" x14ac:dyDescent="0.25">
      <c r="A108" s="88" t="s">
        <v>72</v>
      </c>
      <c r="B108" s="88" t="s">
        <v>47</v>
      </c>
      <c r="C108" s="88">
        <v>775265</v>
      </c>
      <c r="D108" s="59">
        <v>244448.66</v>
      </c>
      <c r="E108" s="59">
        <v>0</v>
      </c>
      <c r="F108" s="59">
        <v>7270653.6600000001</v>
      </c>
    </row>
    <row r="109" spans="1:8" ht="24.75" customHeight="1" x14ac:dyDescent="0.25">
      <c r="A109" s="58" t="s">
        <v>74</v>
      </c>
      <c r="B109" s="58" t="s">
        <v>25</v>
      </c>
      <c r="C109" s="58">
        <v>0</v>
      </c>
      <c r="D109" s="59">
        <v>168</v>
      </c>
      <c r="E109" s="59">
        <v>0</v>
      </c>
      <c r="F109" s="59">
        <v>7515102.3200000003</v>
      </c>
      <c r="G109" s="74" t="s">
        <v>36</v>
      </c>
    </row>
    <row r="110" spans="1:8" ht="24.75" customHeight="1" x14ac:dyDescent="0.25">
      <c r="A110" s="58" t="s">
        <v>74</v>
      </c>
      <c r="B110" s="58" t="s">
        <v>21</v>
      </c>
      <c r="C110" s="58">
        <v>0</v>
      </c>
      <c r="D110" s="59">
        <v>27592</v>
      </c>
      <c r="E110" s="59">
        <v>0</v>
      </c>
      <c r="F110" s="59">
        <v>7515270.3200000003</v>
      </c>
      <c r="G110" s="74" t="s">
        <v>36</v>
      </c>
    </row>
    <row r="111" spans="1:8" ht="24.75" customHeight="1" x14ac:dyDescent="0.25">
      <c r="A111" s="58" t="s">
        <v>74</v>
      </c>
      <c r="B111" s="58" t="s">
        <v>22</v>
      </c>
      <c r="C111" s="58">
        <v>0</v>
      </c>
      <c r="D111" s="59">
        <v>6091.97</v>
      </c>
      <c r="E111" s="59">
        <v>0</v>
      </c>
      <c r="F111" s="59">
        <v>7542862.3200000003</v>
      </c>
      <c r="G111" s="74" t="s">
        <v>36</v>
      </c>
    </row>
    <row r="112" spans="1:8" ht="24.75" customHeight="1" x14ac:dyDescent="0.25">
      <c r="A112" s="58" t="s">
        <v>74</v>
      </c>
      <c r="B112" s="58" t="s">
        <v>23</v>
      </c>
      <c r="C112" s="58">
        <v>0</v>
      </c>
      <c r="D112" s="59">
        <v>41388</v>
      </c>
      <c r="E112" s="59">
        <v>0</v>
      </c>
      <c r="F112" s="59">
        <v>7548954.29</v>
      </c>
      <c r="G112" s="74" t="s">
        <v>36</v>
      </c>
    </row>
    <row r="113" spans="1:7" ht="24.75" customHeight="1" x14ac:dyDescent="0.25">
      <c r="A113" s="58" t="s">
        <v>74</v>
      </c>
      <c r="B113" s="58" t="s">
        <v>24</v>
      </c>
      <c r="C113" s="58">
        <v>0</v>
      </c>
      <c r="D113" s="59">
        <v>8277.6</v>
      </c>
      <c r="E113" s="59">
        <v>0</v>
      </c>
      <c r="F113" s="59">
        <v>7590342.29</v>
      </c>
      <c r="G113" s="74" t="s">
        <v>36</v>
      </c>
    </row>
    <row r="114" spans="1:7" ht="24.75" customHeight="1" x14ac:dyDescent="0.25">
      <c r="A114" s="58" t="s">
        <v>74</v>
      </c>
      <c r="B114" s="58" t="s">
        <v>171</v>
      </c>
      <c r="C114" s="58">
        <v>183757</v>
      </c>
      <c r="D114" s="59">
        <v>0</v>
      </c>
      <c r="E114" s="59">
        <v>898000</v>
      </c>
      <c r="F114" s="59">
        <v>7598619.8899999997</v>
      </c>
    </row>
    <row r="115" spans="1:7" ht="24.75" customHeight="1" x14ac:dyDescent="0.25">
      <c r="A115" s="58" t="s">
        <v>74</v>
      </c>
      <c r="B115" s="58" t="s">
        <v>172</v>
      </c>
      <c r="C115" s="58">
        <v>762122</v>
      </c>
      <c r="D115" s="59">
        <v>0</v>
      </c>
      <c r="E115" s="59">
        <v>6000000</v>
      </c>
      <c r="F115" s="59">
        <v>6700619.8899999997</v>
      </c>
    </row>
    <row r="116" spans="1:7" ht="24.75" customHeight="1" x14ac:dyDescent="0.25">
      <c r="A116" s="58" t="s">
        <v>74</v>
      </c>
      <c r="B116" s="58" t="s">
        <v>75</v>
      </c>
      <c r="C116" s="58">
        <v>0</v>
      </c>
      <c r="D116" s="59">
        <v>500</v>
      </c>
      <c r="E116" s="59">
        <v>0</v>
      </c>
      <c r="F116" s="59">
        <v>700619.88999999966</v>
      </c>
      <c r="G116" s="74" t="s">
        <v>36</v>
      </c>
    </row>
    <row r="117" spans="1:7" ht="24.75" customHeight="1" x14ac:dyDescent="0.25">
      <c r="A117" s="58" t="s">
        <v>74</v>
      </c>
      <c r="B117" s="58" t="s">
        <v>76</v>
      </c>
      <c r="C117" s="58">
        <v>208606</v>
      </c>
      <c r="D117" s="59">
        <v>978489.7</v>
      </c>
      <c r="E117" s="59">
        <v>0</v>
      </c>
      <c r="F117" s="59">
        <v>701119.88999999966</v>
      </c>
    </row>
    <row r="118" spans="1:7" ht="24.75" customHeight="1" x14ac:dyDescent="0.25">
      <c r="A118" s="58" t="s">
        <v>74</v>
      </c>
      <c r="B118" s="58" t="s">
        <v>33</v>
      </c>
      <c r="C118" s="58">
        <v>8258</v>
      </c>
      <c r="D118" s="59">
        <v>300</v>
      </c>
      <c r="E118" s="59">
        <v>0</v>
      </c>
      <c r="F118" s="59">
        <v>1679609.5899999996</v>
      </c>
      <c r="G118" s="74" t="s">
        <v>36</v>
      </c>
    </row>
    <row r="119" spans="1:7" ht="24.75" customHeight="1" x14ac:dyDescent="0.25">
      <c r="A119" s="58" t="s">
        <v>77</v>
      </c>
      <c r="B119" s="58" t="s">
        <v>25</v>
      </c>
      <c r="C119" s="58">
        <v>0</v>
      </c>
      <c r="D119" s="59">
        <v>63</v>
      </c>
      <c r="E119" s="59">
        <v>0</v>
      </c>
      <c r="F119" s="59">
        <v>1679909.5899999996</v>
      </c>
      <c r="G119" s="74" t="s">
        <v>36</v>
      </c>
    </row>
    <row r="120" spans="1:7" ht="24.75" customHeight="1" x14ac:dyDescent="0.25">
      <c r="A120" s="58" t="s">
        <v>77</v>
      </c>
      <c r="B120" s="58" t="s">
        <v>22</v>
      </c>
      <c r="C120" s="58">
        <v>0</v>
      </c>
      <c r="D120" s="59">
        <v>2.1800000000000002</v>
      </c>
      <c r="E120" s="59">
        <v>0</v>
      </c>
      <c r="F120" s="59">
        <v>1679972.5899999996</v>
      </c>
      <c r="G120" s="74" t="s">
        <v>36</v>
      </c>
    </row>
    <row r="121" spans="1:7" ht="24.75" customHeight="1" x14ac:dyDescent="0.25">
      <c r="A121" s="58" t="s">
        <v>77</v>
      </c>
      <c r="B121" s="58" t="s">
        <v>173</v>
      </c>
      <c r="C121" s="58">
        <v>774180</v>
      </c>
      <c r="D121" s="59">
        <v>15600000</v>
      </c>
      <c r="E121" s="59">
        <v>0</v>
      </c>
      <c r="F121" s="59">
        <v>1679974.7699999996</v>
      </c>
    </row>
    <row r="122" spans="1:7" ht="24.75" customHeight="1" x14ac:dyDescent="0.25">
      <c r="A122" s="58" t="s">
        <v>77</v>
      </c>
      <c r="B122" s="58" t="s">
        <v>33</v>
      </c>
      <c r="C122" s="58">
        <v>8258</v>
      </c>
      <c r="D122" s="59">
        <v>300</v>
      </c>
      <c r="E122" s="59">
        <v>0</v>
      </c>
      <c r="F122" s="59">
        <v>17279974.77</v>
      </c>
      <c r="G122" s="74" t="s">
        <v>36</v>
      </c>
    </row>
    <row r="123" spans="1:7" ht="24.75" customHeight="1" x14ac:dyDescent="0.25">
      <c r="A123" s="89" t="s">
        <v>78</v>
      </c>
      <c r="B123" s="89" t="s">
        <v>25</v>
      </c>
      <c r="C123" s="89">
        <v>0</v>
      </c>
      <c r="D123" s="90">
        <v>90.3</v>
      </c>
      <c r="E123" s="90">
        <v>0</v>
      </c>
      <c r="F123" s="59">
        <v>17280274.77</v>
      </c>
      <c r="G123" s="74" t="s">
        <v>36</v>
      </c>
    </row>
    <row r="124" spans="1:7" ht="24.75" customHeight="1" x14ac:dyDescent="0.25">
      <c r="A124" s="58" t="s">
        <v>78</v>
      </c>
      <c r="B124" s="58" t="s">
        <v>21</v>
      </c>
      <c r="C124" s="58">
        <v>0</v>
      </c>
      <c r="D124" s="59">
        <v>71520.399999999994</v>
      </c>
      <c r="E124" s="59">
        <v>0</v>
      </c>
      <c r="F124" s="59">
        <v>17280365.07</v>
      </c>
      <c r="G124" s="74" t="s">
        <v>36</v>
      </c>
    </row>
    <row r="125" spans="1:7" ht="24.75" customHeight="1" x14ac:dyDescent="0.25">
      <c r="A125" s="58" t="s">
        <v>78</v>
      </c>
      <c r="B125" s="58" t="s">
        <v>22</v>
      </c>
      <c r="C125" s="58">
        <v>0</v>
      </c>
      <c r="D125" s="59">
        <v>596.55999999999995</v>
      </c>
      <c r="E125" s="59">
        <v>0</v>
      </c>
      <c r="F125" s="59">
        <v>17351885.469999999</v>
      </c>
      <c r="G125" s="74" t="s">
        <v>36</v>
      </c>
    </row>
    <row r="126" spans="1:7" ht="24.75" customHeight="1" x14ac:dyDescent="0.25">
      <c r="A126" s="58" t="s">
        <v>78</v>
      </c>
      <c r="B126" s="58" t="s">
        <v>23</v>
      </c>
      <c r="C126" s="58">
        <v>0</v>
      </c>
      <c r="D126" s="59">
        <v>107280.6</v>
      </c>
      <c r="E126" s="59">
        <v>0</v>
      </c>
      <c r="F126" s="59">
        <v>17352482.029999997</v>
      </c>
      <c r="G126" s="74" t="s">
        <v>36</v>
      </c>
    </row>
    <row r="127" spans="1:7" ht="24.75" customHeight="1" x14ac:dyDescent="0.25">
      <c r="A127" s="58" t="s">
        <v>78</v>
      </c>
      <c r="B127" s="58" t="s">
        <v>24</v>
      </c>
      <c r="C127" s="58">
        <v>0</v>
      </c>
      <c r="D127" s="59">
        <v>21456.12</v>
      </c>
      <c r="E127" s="59">
        <v>0</v>
      </c>
      <c r="F127" s="59">
        <v>17459762.629999999</v>
      </c>
      <c r="G127" s="74" t="s">
        <v>36</v>
      </c>
    </row>
    <row r="128" spans="1:7" ht="24.75" customHeight="1" x14ac:dyDescent="0.25">
      <c r="A128" s="58" t="s">
        <v>78</v>
      </c>
      <c r="B128" s="58" t="s">
        <v>35</v>
      </c>
      <c r="C128" s="58">
        <v>672569</v>
      </c>
      <c r="D128" s="59">
        <v>11400000</v>
      </c>
      <c r="E128" s="59">
        <v>0</v>
      </c>
      <c r="F128" s="59">
        <v>17481218.75</v>
      </c>
    </row>
    <row r="129" spans="1:7" ht="24.75" customHeight="1" x14ac:dyDescent="0.25">
      <c r="A129" s="58" t="s">
        <v>78</v>
      </c>
      <c r="B129" s="58" t="s">
        <v>174</v>
      </c>
      <c r="C129" s="58">
        <v>50816</v>
      </c>
      <c r="D129" s="59">
        <v>0</v>
      </c>
      <c r="E129" s="59">
        <v>2535000</v>
      </c>
      <c r="F129" s="59">
        <v>28881218.75</v>
      </c>
    </row>
    <row r="130" spans="1:7" ht="24.75" customHeight="1" x14ac:dyDescent="0.25">
      <c r="A130" s="58" t="s">
        <v>78</v>
      </c>
      <c r="B130" s="58" t="s">
        <v>79</v>
      </c>
      <c r="C130" s="58">
        <v>97841</v>
      </c>
      <c r="D130" s="59">
        <v>0</v>
      </c>
      <c r="E130" s="59">
        <v>2180000</v>
      </c>
      <c r="F130" s="59">
        <v>26346218.75</v>
      </c>
    </row>
    <row r="131" spans="1:7" ht="24.75" customHeight="1" x14ac:dyDescent="0.25">
      <c r="A131" s="58" t="s">
        <v>78</v>
      </c>
      <c r="B131" s="58" t="s">
        <v>43</v>
      </c>
      <c r="C131" s="58">
        <v>120640</v>
      </c>
      <c r="D131" s="59">
        <v>0</v>
      </c>
      <c r="E131" s="59">
        <v>10165100</v>
      </c>
      <c r="F131" s="59">
        <v>24166218.75</v>
      </c>
    </row>
    <row r="132" spans="1:7" ht="24.75" customHeight="1" x14ac:dyDescent="0.25">
      <c r="A132" s="58" t="s">
        <v>78</v>
      </c>
      <c r="B132" s="58" t="s">
        <v>26</v>
      </c>
      <c r="C132" s="58">
        <v>25213</v>
      </c>
      <c r="D132" s="59">
        <v>5930</v>
      </c>
      <c r="E132" s="59">
        <v>0</v>
      </c>
      <c r="F132" s="59">
        <v>14001118.75</v>
      </c>
    </row>
    <row r="133" spans="1:7" ht="24.75" customHeight="1" x14ac:dyDescent="0.25">
      <c r="A133" s="58" t="s">
        <v>78</v>
      </c>
      <c r="B133" s="58" t="s">
        <v>33</v>
      </c>
      <c r="C133" s="58">
        <v>8258</v>
      </c>
      <c r="D133" s="59">
        <v>300</v>
      </c>
      <c r="E133" s="59">
        <v>0</v>
      </c>
      <c r="F133" s="59">
        <v>14007048.75</v>
      </c>
      <c r="G133" s="74" t="s">
        <v>36</v>
      </c>
    </row>
    <row r="134" spans="1:7" ht="24.75" customHeight="1" x14ac:dyDescent="0.25">
      <c r="A134" s="58" t="s">
        <v>78</v>
      </c>
      <c r="B134" s="58" t="s">
        <v>80</v>
      </c>
      <c r="C134" s="58">
        <v>616724</v>
      </c>
      <c r="D134" s="59">
        <v>130</v>
      </c>
      <c r="E134" s="59">
        <v>0</v>
      </c>
      <c r="F134" s="59">
        <v>14007348.75</v>
      </c>
      <c r="G134" s="74" t="s">
        <v>36</v>
      </c>
    </row>
    <row r="135" spans="1:7" ht="24.75" customHeight="1" x14ac:dyDescent="0.25">
      <c r="A135" s="58" t="s">
        <v>78</v>
      </c>
      <c r="B135" s="58" t="s">
        <v>81</v>
      </c>
      <c r="C135" s="58">
        <v>3660</v>
      </c>
      <c r="D135" s="59">
        <v>0</v>
      </c>
      <c r="E135" s="59">
        <v>600000</v>
      </c>
      <c r="F135" s="59">
        <v>14007478.75</v>
      </c>
    </row>
    <row r="136" spans="1:7" ht="24.75" customHeight="1" x14ac:dyDescent="0.25">
      <c r="A136" s="58" t="s">
        <v>78</v>
      </c>
      <c r="B136" s="58" t="s">
        <v>82</v>
      </c>
      <c r="C136" s="58">
        <v>3642</v>
      </c>
      <c r="D136" s="59">
        <v>0</v>
      </c>
      <c r="E136" s="59">
        <v>800000</v>
      </c>
      <c r="F136" s="59">
        <v>13407478.75</v>
      </c>
    </row>
    <row r="137" spans="1:7" ht="24.75" customHeight="1" x14ac:dyDescent="0.25">
      <c r="A137" s="58" t="s">
        <v>78</v>
      </c>
      <c r="B137" s="58" t="s">
        <v>83</v>
      </c>
      <c r="C137" s="58">
        <v>3624</v>
      </c>
      <c r="D137" s="59">
        <v>0</v>
      </c>
      <c r="E137" s="59">
        <v>800000</v>
      </c>
      <c r="F137" s="59">
        <v>12607478.75</v>
      </c>
    </row>
    <row r="138" spans="1:7" ht="24.75" customHeight="1" x14ac:dyDescent="0.25">
      <c r="A138" s="58" t="s">
        <v>78</v>
      </c>
      <c r="B138" s="58" t="s">
        <v>84</v>
      </c>
      <c r="C138" s="58">
        <v>3606</v>
      </c>
      <c r="D138" s="59">
        <v>0</v>
      </c>
      <c r="E138" s="59">
        <v>400000</v>
      </c>
      <c r="F138" s="59">
        <v>11807478.75</v>
      </c>
    </row>
    <row r="139" spans="1:7" ht="24.75" customHeight="1" x14ac:dyDescent="0.25">
      <c r="A139" s="58" t="s">
        <v>78</v>
      </c>
      <c r="B139" s="58" t="s">
        <v>85</v>
      </c>
      <c r="C139" s="58">
        <v>3588</v>
      </c>
      <c r="D139" s="59">
        <v>0</v>
      </c>
      <c r="E139" s="59">
        <v>400000</v>
      </c>
      <c r="F139" s="59">
        <v>11407478.75</v>
      </c>
    </row>
    <row r="140" spans="1:7" ht="24.75" customHeight="1" x14ac:dyDescent="0.25">
      <c r="A140" s="77"/>
      <c r="B140" s="78"/>
      <c r="C140" s="80"/>
      <c r="D140" s="76"/>
      <c r="E140" s="59" t="s">
        <v>34</v>
      </c>
      <c r="F140" s="59">
        <v>11007478.75</v>
      </c>
    </row>
  </sheetData>
  <conditionalFormatting sqref="G1:G1048576">
    <cfRule type="cellIs" dxfId="3" priority="3" operator="equal">
      <formula>"CONCILIADO"</formula>
    </cfRule>
    <cfRule type="cellIs" dxfId="2" priority="4" operator="equal">
      <formula>"PENDIENTE"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C4145-1C7C-49B7-A159-B48B8C349771}">
  <sheetPr filterMode="1">
    <tabColor theme="4" tint="-0.249977111117893"/>
  </sheetPr>
  <dimension ref="A2:H141"/>
  <sheetViews>
    <sheetView topLeftCell="A120" workbookViewId="0">
      <selection activeCell="C147" sqref="C147"/>
    </sheetView>
  </sheetViews>
  <sheetFormatPr baseColWidth="10" defaultRowHeight="15" x14ac:dyDescent="0.25"/>
  <cols>
    <col min="1" max="1" width="13.42578125" customWidth="1"/>
    <col min="2" max="2" width="58.7109375" style="75" customWidth="1"/>
    <col min="3" max="3" width="14.42578125" style="81" customWidth="1"/>
    <col min="4" max="4" width="15.28515625" style="50" customWidth="1"/>
    <col min="5" max="5" width="19.5703125" style="50" customWidth="1"/>
    <col min="6" max="6" width="14.5703125" style="50" customWidth="1"/>
    <col min="7" max="7" width="12.140625" style="74" customWidth="1"/>
    <col min="8" max="8" width="15.140625" customWidth="1"/>
  </cols>
  <sheetData>
    <row r="2" spans="1:7" ht="24.75" customHeight="1" x14ac:dyDescent="0.25">
      <c r="A2" s="77" t="s">
        <v>17</v>
      </c>
      <c r="B2" s="78" t="s">
        <v>18</v>
      </c>
      <c r="C2" s="80" t="s">
        <v>19</v>
      </c>
      <c r="D2" s="76" t="s">
        <v>15</v>
      </c>
      <c r="E2" s="76" t="s">
        <v>16</v>
      </c>
      <c r="F2" s="76" t="s">
        <v>20</v>
      </c>
      <c r="G2" s="74" t="s">
        <v>30</v>
      </c>
    </row>
    <row r="3" spans="1:7" ht="24.75" customHeight="1" x14ac:dyDescent="0.25">
      <c r="A3" s="85" t="s">
        <v>49</v>
      </c>
      <c r="B3" s="85" t="s">
        <v>27</v>
      </c>
      <c r="C3" s="85">
        <v>0</v>
      </c>
      <c r="D3" s="86">
        <v>450</v>
      </c>
      <c r="E3" s="86">
        <v>0</v>
      </c>
      <c r="F3" s="59">
        <v>5743373.0000000019</v>
      </c>
      <c r="G3" s="74" t="s">
        <v>36</v>
      </c>
    </row>
    <row r="4" spans="1:7" ht="24.75" customHeight="1" x14ac:dyDescent="0.25">
      <c r="A4" s="85" t="s">
        <v>49</v>
      </c>
      <c r="B4" s="85" t="s">
        <v>25</v>
      </c>
      <c r="C4" s="85">
        <v>0</v>
      </c>
      <c r="D4" s="86">
        <v>3150</v>
      </c>
      <c r="E4" s="86">
        <v>0</v>
      </c>
      <c r="F4" s="59">
        <v>5743823.0000000019</v>
      </c>
      <c r="G4" s="74" t="s">
        <v>36</v>
      </c>
    </row>
    <row r="5" spans="1:7" ht="24.75" customHeight="1" x14ac:dyDescent="0.25">
      <c r="A5" s="85" t="s">
        <v>49</v>
      </c>
      <c r="B5" s="85" t="s">
        <v>21</v>
      </c>
      <c r="C5" s="85">
        <v>0</v>
      </c>
      <c r="D5" s="86">
        <v>2200</v>
      </c>
      <c r="E5" s="86">
        <v>0</v>
      </c>
      <c r="F5" s="59">
        <v>5746973.0000000019</v>
      </c>
      <c r="G5" s="74" t="s">
        <v>36</v>
      </c>
    </row>
    <row r="6" spans="1:7" ht="24.75" customHeight="1" x14ac:dyDescent="0.25">
      <c r="A6" s="85" t="s">
        <v>49</v>
      </c>
      <c r="B6" s="85" t="s">
        <v>22</v>
      </c>
      <c r="C6" s="85">
        <v>0</v>
      </c>
      <c r="D6" s="86">
        <v>130.56</v>
      </c>
      <c r="E6" s="86">
        <v>0</v>
      </c>
      <c r="F6" s="59">
        <v>5749173.0000000019</v>
      </c>
      <c r="G6" s="74" t="s">
        <v>36</v>
      </c>
    </row>
    <row r="7" spans="1:7" ht="24.75" customHeight="1" x14ac:dyDescent="0.25">
      <c r="A7" s="85" t="s">
        <v>49</v>
      </c>
      <c r="B7" s="85" t="s">
        <v>23</v>
      </c>
      <c r="C7" s="85">
        <v>0</v>
      </c>
      <c r="D7" s="86">
        <v>3300</v>
      </c>
      <c r="E7" s="86">
        <v>0</v>
      </c>
      <c r="F7" s="59">
        <v>5749303.5600000015</v>
      </c>
      <c r="G7" s="74" t="s">
        <v>36</v>
      </c>
    </row>
    <row r="8" spans="1:7" ht="24.75" customHeight="1" x14ac:dyDescent="0.25">
      <c r="A8" s="85" t="s">
        <v>49</v>
      </c>
      <c r="B8" s="85" t="s">
        <v>24</v>
      </c>
      <c r="C8" s="85">
        <v>0</v>
      </c>
      <c r="D8" s="86">
        <v>660</v>
      </c>
      <c r="E8" s="86">
        <v>0</v>
      </c>
      <c r="F8" s="59">
        <v>5752603.5600000015</v>
      </c>
      <c r="G8" s="74" t="s">
        <v>36</v>
      </c>
    </row>
    <row r="9" spans="1:7" ht="24.75" customHeight="1" x14ac:dyDescent="0.25">
      <c r="A9" s="85" t="s">
        <v>49</v>
      </c>
      <c r="B9" s="85" t="s">
        <v>29</v>
      </c>
      <c r="C9" s="85">
        <v>0</v>
      </c>
      <c r="D9" s="86">
        <v>300</v>
      </c>
      <c r="E9" s="86">
        <v>0</v>
      </c>
      <c r="F9" s="59">
        <v>5753263.5600000015</v>
      </c>
      <c r="G9" s="74" t="s">
        <v>36</v>
      </c>
    </row>
    <row r="10" spans="1:7" ht="24.75" customHeight="1" x14ac:dyDescent="0.25">
      <c r="A10" s="85" t="s">
        <v>49</v>
      </c>
      <c r="B10" s="85" t="s">
        <v>28</v>
      </c>
      <c r="C10" s="85">
        <v>252411</v>
      </c>
      <c r="D10" s="86">
        <v>15000</v>
      </c>
      <c r="E10" s="86">
        <v>0</v>
      </c>
      <c r="F10" s="59">
        <v>5753563.5600000015</v>
      </c>
      <c r="G10" s="74" t="s">
        <v>36</v>
      </c>
    </row>
    <row r="11" spans="1:7" ht="24.75" hidden="1" customHeight="1" x14ac:dyDescent="0.25">
      <c r="A11" s="85" t="s">
        <v>49</v>
      </c>
      <c r="B11" s="66" t="s">
        <v>147</v>
      </c>
      <c r="C11" s="85">
        <v>869453</v>
      </c>
      <c r="D11" s="86">
        <v>0</v>
      </c>
      <c r="E11" s="86">
        <v>550000</v>
      </c>
      <c r="F11" s="59">
        <v>5768563.5600000015</v>
      </c>
    </row>
    <row r="12" spans="1:7" ht="24.75" customHeight="1" x14ac:dyDescent="0.25">
      <c r="A12" s="58" t="s">
        <v>50</v>
      </c>
      <c r="B12" s="58" t="s">
        <v>21</v>
      </c>
      <c r="C12" s="58">
        <v>0</v>
      </c>
      <c r="D12" s="59">
        <v>2468.2399999999998</v>
      </c>
      <c r="E12" s="59">
        <v>0</v>
      </c>
      <c r="F12" s="59">
        <v>5218563.5600000015</v>
      </c>
      <c r="G12" s="74" t="s">
        <v>36</v>
      </c>
    </row>
    <row r="13" spans="1:7" ht="24.75" customHeight="1" x14ac:dyDescent="0.25">
      <c r="A13" s="58" t="s">
        <v>50</v>
      </c>
      <c r="B13" s="58" t="s">
        <v>22</v>
      </c>
      <c r="C13" s="58">
        <v>0</v>
      </c>
      <c r="D13" s="59">
        <v>19.25</v>
      </c>
      <c r="E13" s="59">
        <v>0</v>
      </c>
      <c r="F13" s="59">
        <v>5221031.8000000017</v>
      </c>
      <c r="G13" s="74" t="s">
        <v>36</v>
      </c>
    </row>
    <row r="14" spans="1:7" ht="24.75" customHeight="1" x14ac:dyDescent="0.25">
      <c r="A14" s="58" t="s">
        <v>50</v>
      </c>
      <c r="B14" s="58" t="s">
        <v>23</v>
      </c>
      <c r="C14" s="58">
        <v>0</v>
      </c>
      <c r="D14" s="59">
        <v>3702.36</v>
      </c>
      <c r="E14" s="59">
        <v>0</v>
      </c>
      <c r="F14" s="59">
        <v>5221051.0500000017</v>
      </c>
      <c r="G14" s="74" t="s">
        <v>36</v>
      </c>
    </row>
    <row r="15" spans="1:7" ht="24.75" customHeight="1" x14ac:dyDescent="0.25">
      <c r="A15" s="58" t="s">
        <v>50</v>
      </c>
      <c r="B15" s="58" t="s">
        <v>24</v>
      </c>
      <c r="C15" s="58">
        <v>0</v>
      </c>
      <c r="D15" s="59">
        <v>740.47</v>
      </c>
      <c r="E15" s="59">
        <v>0</v>
      </c>
      <c r="F15" s="59">
        <v>5224753.410000002</v>
      </c>
      <c r="G15" s="74" t="s">
        <v>36</v>
      </c>
    </row>
    <row r="16" spans="1:7" ht="24.75" hidden="1" customHeight="1" x14ac:dyDescent="0.25">
      <c r="A16" s="58" t="s">
        <v>50</v>
      </c>
      <c r="B16" s="58" t="s">
        <v>148</v>
      </c>
      <c r="C16" s="58">
        <v>701318</v>
      </c>
      <c r="D16" s="59">
        <v>0</v>
      </c>
      <c r="E16" s="59">
        <v>617060</v>
      </c>
      <c r="F16" s="59">
        <v>5225493.8800000018</v>
      </c>
    </row>
    <row r="17" spans="1:7" ht="24.75" customHeight="1" x14ac:dyDescent="0.25">
      <c r="A17" s="58" t="s">
        <v>51</v>
      </c>
      <c r="B17" s="58" t="s">
        <v>21</v>
      </c>
      <c r="C17" s="58">
        <v>0</v>
      </c>
      <c r="D17" s="59">
        <v>3404.3</v>
      </c>
      <c r="E17" s="59">
        <v>0</v>
      </c>
      <c r="F17" s="59">
        <v>4608433.8800000018</v>
      </c>
      <c r="G17" s="74" t="s">
        <v>36</v>
      </c>
    </row>
    <row r="18" spans="1:7" ht="24.75" customHeight="1" x14ac:dyDescent="0.25">
      <c r="A18" s="58" t="s">
        <v>51</v>
      </c>
      <c r="B18" s="58" t="s">
        <v>22</v>
      </c>
      <c r="C18" s="58">
        <v>0</v>
      </c>
      <c r="D18" s="59">
        <v>26.56</v>
      </c>
      <c r="E18" s="59">
        <v>0</v>
      </c>
      <c r="F18" s="59">
        <v>4611838.1800000016</v>
      </c>
      <c r="G18" s="74" t="s">
        <v>36</v>
      </c>
    </row>
    <row r="19" spans="1:7" ht="24.75" customHeight="1" x14ac:dyDescent="0.25">
      <c r="A19" s="58" t="s">
        <v>51</v>
      </c>
      <c r="B19" s="58" t="s">
        <v>23</v>
      </c>
      <c r="C19" s="58">
        <v>0</v>
      </c>
      <c r="D19" s="59">
        <v>5106.45</v>
      </c>
      <c r="E19" s="59">
        <v>0</v>
      </c>
      <c r="F19" s="59">
        <v>4611864.7400000012</v>
      </c>
      <c r="G19" s="74" t="s">
        <v>36</v>
      </c>
    </row>
    <row r="20" spans="1:7" ht="24.75" customHeight="1" x14ac:dyDescent="0.25">
      <c r="A20" s="58" t="s">
        <v>51</v>
      </c>
      <c r="B20" s="58" t="s">
        <v>24</v>
      </c>
      <c r="C20" s="58">
        <v>0</v>
      </c>
      <c r="D20" s="59">
        <v>1021.29</v>
      </c>
      <c r="E20" s="59">
        <v>0</v>
      </c>
      <c r="F20" s="59">
        <v>4616971.1900000013</v>
      </c>
      <c r="G20" s="74" t="s">
        <v>36</v>
      </c>
    </row>
    <row r="21" spans="1:7" ht="24.75" hidden="1" customHeight="1" x14ac:dyDescent="0.25">
      <c r="A21" s="58" t="s">
        <v>51</v>
      </c>
      <c r="B21" s="58" t="s">
        <v>44</v>
      </c>
      <c r="C21" s="58">
        <v>0</v>
      </c>
      <c r="D21" s="59">
        <v>0</v>
      </c>
      <c r="E21" s="59">
        <v>200000</v>
      </c>
      <c r="F21" s="59">
        <v>4617992.4800000014</v>
      </c>
    </row>
    <row r="22" spans="1:7" ht="24.75" hidden="1" customHeight="1" x14ac:dyDescent="0.25">
      <c r="A22" s="58" t="s">
        <v>51</v>
      </c>
      <c r="B22" s="58" t="s">
        <v>149</v>
      </c>
      <c r="C22" s="58">
        <v>184079</v>
      </c>
      <c r="D22" s="59">
        <v>0</v>
      </c>
      <c r="E22" s="59">
        <v>651074.38</v>
      </c>
      <c r="F22" s="59">
        <v>4417992.4800000014</v>
      </c>
    </row>
    <row r="23" spans="1:7" ht="24.75" customHeight="1" x14ac:dyDescent="0.25">
      <c r="A23" s="58" t="s">
        <v>52</v>
      </c>
      <c r="B23" s="58" t="s">
        <v>21</v>
      </c>
      <c r="C23" s="58">
        <v>0</v>
      </c>
      <c r="D23" s="59">
        <v>3800</v>
      </c>
      <c r="E23" s="59">
        <v>0</v>
      </c>
      <c r="F23" s="59">
        <v>3766918.100000001</v>
      </c>
      <c r="G23" s="74" t="s">
        <v>36</v>
      </c>
    </row>
    <row r="24" spans="1:7" ht="24.75" customHeight="1" x14ac:dyDescent="0.25">
      <c r="A24" s="58" t="s">
        <v>52</v>
      </c>
      <c r="B24" s="58" t="s">
        <v>22</v>
      </c>
      <c r="C24" s="58">
        <v>0</v>
      </c>
      <c r="D24" s="59">
        <v>29.64</v>
      </c>
      <c r="E24" s="59">
        <v>0</v>
      </c>
      <c r="F24" s="59">
        <v>3770718.100000001</v>
      </c>
      <c r="G24" s="74" t="s">
        <v>36</v>
      </c>
    </row>
    <row r="25" spans="1:7" ht="24.75" customHeight="1" x14ac:dyDescent="0.25">
      <c r="A25" s="58" t="s">
        <v>52</v>
      </c>
      <c r="B25" s="58" t="s">
        <v>23</v>
      </c>
      <c r="C25" s="58">
        <v>0</v>
      </c>
      <c r="D25" s="59">
        <v>5700</v>
      </c>
      <c r="E25" s="59">
        <v>0</v>
      </c>
      <c r="F25" s="59">
        <v>3770747.7400000012</v>
      </c>
      <c r="G25" s="74" t="s">
        <v>36</v>
      </c>
    </row>
    <row r="26" spans="1:7" ht="24.75" customHeight="1" x14ac:dyDescent="0.25">
      <c r="A26" s="58" t="s">
        <v>52</v>
      </c>
      <c r="B26" s="58" t="s">
        <v>24</v>
      </c>
      <c r="C26" s="58">
        <v>0</v>
      </c>
      <c r="D26" s="59">
        <v>1140</v>
      </c>
      <c r="E26" s="59">
        <v>0</v>
      </c>
      <c r="F26" s="59">
        <v>3776447.7400000012</v>
      </c>
      <c r="G26" s="74" t="s">
        <v>36</v>
      </c>
    </row>
    <row r="27" spans="1:7" ht="24.75" hidden="1" customHeight="1" x14ac:dyDescent="0.25">
      <c r="A27" s="58" t="s">
        <v>52</v>
      </c>
      <c r="B27" s="58" t="s">
        <v>53</v>
      </c>
      <c r="C27" s="58">
        <v>136023</v>
      </c>
      <c r="D27" s="59">
        <v>0</v>
      </c>
      <c r="E27" s="59">
        <v>50000</v>
      </c>
      <c r="F27" s="59">
        <v>3777587.7400000012</v>
      </c>
    </row>
    <row r="28" spans="1:7" ht="24.75" hidden="1" customHeight="1" x14ac:dyDescent="0.25">
      <c r="A28" s="58" t="s">
        <v>52</v>
      </c>
      <c r="B28" s="58" t="s">
        <v>54</v>
      </c>
      <c r="C28" s="58">
        <v>406592</v>
      </c>
      <c r="D28" s="59">
        <v>0</v>
      </c>
      <c r="E28" s="59">
        <v>900000</v>
      </c>
      <c r="F28" s="59">
        <v>3727587.7400000012</v>
      </c>
    </row>
    <row r="29" spans="1:7" ht="24.75" customHeight="1" x14ac:dyDescent="0.25">
      <c r="A29" s="58" t="s">
        <v>55</v>
      </c>
      <c r="B29" s="58" t="s">
        <v>21</v>
      </c>
      <c r="C29" s="58">
        <v>0</v>
      </c>
      <c r="D29" s="59">
        <v>640</v>
      </c>
      <c r="E29" s="59">
        <v>0</v>
      </c>
      <c r="F29" s="59">
        <v>2827587.7400000012</v>
      </c>
      <c r="G29" s="74" t="s">
        <v>36</v>
      </c>
    </row>
    <row r="30" spans="1:7" ht="24.75" customHeight="1" x14ac:dyDescent="0.25">
      <c r="A30" s="58" t="s">
        <v>55</v>
      </c>
      <c r="B30" s="58" t="s">
        <v>22</v>
      </c>
      <c r="C30" s="58">
        <v>0</v>
      </c>
      <c r="D30" s="59">
        <v>4.99</v>
      </c>
      <c r="E30" s="59">
        <v>0</v>
      </c>
      <c r="F30" s="59">
        <v>2828227.7400000012</v>
      </c>
      <c r="G30" s="74" t="s">
        <v>36</v>
      </c>
    </row>
    <row r="31" spans="1:7" ht="24.75" customHeight="1" x14ac:dyDescent="0.25">
      <c r="A31" s="58" t="s">
        <v>55</v>
      </c>
      <c r="B31" s="58" t="s">
        <v>23</v>
      </c>
      <c r="C31" s="58">
        <v>0</v>
      </c>
      <c r="D31" s="59">
        <v>960</v>
      </c>
      <c r="E31" s="59">
        <v>0</v>
      </c>
      <c r="F31" s="59">
        <v>2828232.7300000014</v>
      </c>
      <c r="G31" s="74" t="s">
        <v>36</v>
      </c>
    </row>
    <row r="32" spans="1:7" ht="24.75" customHeight="1" x14ac:dyDescent="0.25">
      <c r="A32" s="58" t="s">
        <v>55</v>
      </c>
      <c r="B32" s="58" t="s">
        <v>24</v>
      </c>
      <c r="C32" s="58">
        <v>0</v>
      </c>
      <c r="D32" s="59">
        <v>192</v>
      </c>
      <c r="E32" s="59">
        <v>0</v>
      </c>
      <c r="F32" s="59">
        <v>2829192.7300000014</v>
      </c>
      <c r="G32" s="74" t="s">
        <v>36</v>
      </c>
    </row>
    <row r="33" spans="1:7" ht="24.75" hidden="1" customHeight="1" x14ac:dyDescent="0.25">
      <c r="A33" s="58" t="s">
        <v>55</v>
      </c>
      <c r="B33" s="58" t="s">
        <v>150</v>
      </c>
      <c r="C33" s="58">
        <v>76014</v>
      </c>
      <c r="D33" s="59">
        <v>0</v>
      </c>
      <c r="E33" s="59">
        <v>50000</v>
      </c>
      <c r="F33" s="59">
        <v>2829384.7300000014</v>
      </c>
    </row>
    <row r="34" spans="1:7" ht="24.75" hidden="1" customHeight="1" x14ac:dyDescent="0.25">
      <c r="A34" s="66" t="s">
        <v>55</v>
      </c>
      <c r="B34" s="66" t="s">
        <v>151</v>
      </c>
      <c r="C34" s="66">
        <v>759021</v>
      </c>
      <c r="D34" s="83">
        <v>0</v>
      </c>
      <c r="E34" s="83">
        <v>50000</v>
      </c>
      <c r="F34" s="59">
        <v>2779384.7300000014</v>
      </c>
    </row>
    <row r="35" spans="1:7" ht="24.75" hidden="1" customHeight="1" x14ac:dyDescent="0.25">
      <c r="A35" s="66" t="s">
        <v>55</v>
      </c>
      <c r="B35" s="66" t="s">
        <v>152</v>
      </c>
      <c r="C35" s="66">
        <v>137038</v>
      </c>
      <c r="D35" s="83">
        <v>0</v>
      </c>
      <c r="E35" s="83">
        <v>60000</v>
      </c>
      <c r="F35" s="59">
        <v>2729384.7300000014</v>
      </c>
    </row>
    <row r="36" spans="1:7" ht="24.75" customHeight="1" x14ac:dyDescent="0.25">
      <c r="A36" s="66" t="s">
        <v>56</v>
      </c>
      <c r="B36" s="66" t="s">
        <v>21</v>
      </c>
      <c r="C36" s="66">
        <v>0</v>
      </c>
      <c r="D36" s="83">
        <v>893.71</v>
      </c>
      <c r="E36" s="83">
        <v>0</v>
      </c>
      <c r="F36" s="59">
        <v>2669384.7300000014</v>
      </c>
      <c r="G36" s="74" t="s">
        <v>36</v>
      </c>
    </row>
    <row r="37" spans="1:7" ht="24.75" customHeight="1" x14ac:dyDescent="0.25">
      <c r="A37" s="66" t="s">
        <v>56</v>
      </c>
      <c r="B37" s="66" t="s">
        <v>22</v>
      </c>
      <c r="C37" s="66">
        <v>0</v>
      </c>
      <c r="D37" s="83">
        <v>6.97</v>
      </c>
      <c r="E37" s="83">
        <v>0</v>
      </c>
      <c r="F37" s="59">
        <v>2670278.4400000013</v>
      </c>
      <c r="G37" s="74" t="s">
        <v>36</v>
      </c>
    </row>
    <row r="38" spans="1:7" ht="24.75" customHeight="1" x14ac:dyDescent="0.25">
      <c r="A38" s="66" t="s">
        <v>56</v>
      </c>
      <c r="B38" s="66" t="s">
        <v>23</v>
      </c>
      <c r="C38" s="66">
        <v>0</v>
      </c>
      <c r="D38" s="83">
        <v>1340.56</v>
      </c>
      <c r="E38" s="83">
        <v>0</v>
      </c>
      <c r="F38" s="59">
        <v>2670285.4100000015</v>
      </c>
      <c r="G38" s="74" t="s">
        <v>36</v>
      </c>
    </row>
    <row r="39" spans="1:7" ht="24.75" customHeight="1" x14ac:dyDescent="0.25">
      <c r="A39" s="66" t="s">
        <v>56</v>
      </c>
      <c r="B39" s="66" t="s">
        <v>24</v>
      </c>
      <c r="C39" s="66">
        <v>0</v>
      </c>
      <c r="D39" s="83">
        <v>268.11</v>
      </c>
      <c r="E39" s="83">
        <v>0</v>
      </c>
      <c r="F39" s="59">
        <v>2671625.9700000016</v>
      </c>
      <c r="G39" s="74" t="s">
        <v>36</v>
      </c>
    </row>
    <row r="40" spans="1:7" ht="24.75" hidden="1" customHeight="1" x14ac:dyDescent="0.25">
      <c r="A40" s="66" t="s">
        <v>56</v>
      </c>
      <c r="B40" s="66" t="s">
        <v>153</v>
      </c>
      <c r="C40" s="66">
        <v>83086</v>
      </c>
      <c r="D40" s="83">
        <v>0</v>
      </c>
      <c r="E40" s="83">
        <v>223426.77</v>
      </c>
      <c r="F40" s="59">
        <v>2671894.0800000015</v>
      </c>
    </row>
    <row r="41" spans="1:7" ht="24.75" customHeight="1" x14ac:dyDescent="0.25">
      <c r="A41" s="66" t="s">
        <v>57</v>
      </c>
      <c r="B41" s="66" t="s">
        <v>25</v>
      </c>
      <c r="C41" s="66">
        <v>0</v>
      </c>
      <c r="D41" s="83">
        <v>63</v>
      </c>
      <c r="E41" s="83">
        <v>0</v>
      </c>
      <c r="F41" s="59">
        <v>2448467.3100000015</v>
      </c>
      <c r="G41" s="74" t="s">
        <v>36</v>
      </c>
    </row>
    <row r="42" spans="1:7" ht="24.75" customHeight="1" x14ac:dyDescent="0.25">
      <c r="A42" s="66" t="s">
        <v>57</v>
      </c>
      <c r="B42" s="66" t="s">
        <v>22</v>
      </c>
      <c r="C42" s="66">
        <v>0</v>
      </c>
      <c r="D42" s="83">
        <v>2.1800000000000002</v>
      </c>
      <c r="E42" s="83">
        <v>0</v>
      </c>
      <c r="F42" s="59">
        <v>2448530.3100000015</v>
      </c>
      <c r="G42" s="74" t="s">
        <v>36</v>
      </c>
    </row>
    <row r="43" spans="1:7" ht="18" customHeight="1" x14ac:dyDescent="0.25">
      <c r="A43" s="66" t="s">
        <v>57</v>
      </c>
      <c r="B43" s="66" t="s">
        <v>33</v>
      </c>
      <c r="C43" s="66">
        <v>8258</v>
      </c>
      <c r="D43" s="83">
        <v>300</v>
      </c>
      <c r="E43" s="83">
        <v>0</v>
      </c>
      <c r="F43" s="59">
        <v>2448532.4900000016</v>
      </c>
      <c r="G43" s="74" t="s">
        <v>36</v>
      </c>
    </row>
    <row r="44" spans="1:7" ht="24.75" customHeight="1" x14ac:dyDescent="0.25">
      <c r="A44" s="58" t="s">
        <v>58</v>
      </c>
      <c r="B44" s="58" t="s">
        <v>21</v>
      </c>
      <c r="C44" s="58">
        <v>0</v>
      </c>
      <c r="D44" s="59">
        <v>6465.48</v>
      </c>
      <c r="E44" s="59">
        <v>0</v>
      </c>
      <c r="F44" s="59">
        <v>2448832.4900000016</v>
      </c>
      <c r="G44" s="74" t="s">
        <v>36</v>
      </c>
    </row>
    <row r="45" spans="1:7" ht="24.75" customHeight="1" x14ac:dyDescent="0.25">
      <c r="A45" s="58" t="s">
        <v>58</v>
      </c>
      <c r="B45" s="58" t="s">
        <v>22</v>
      </c>
      <c r="C45" s="58">
        <v>0</v>
      </c>
      <c r="D45" s="59">
        <v>50.43</v>
      </c>
      <c r="E45" s="59">
        <v>0</v>
      </c>
      <c r="F45" s="59">
        <v>2455297.9700000016</v>
      </c>
      <c r="G45" s="74" t="s">
        <v>36</v>
      </c>
    </row>
    <row r="46" spans="1:7" ht="24.75" customHeight="1" x14ac:dyDescent="0.25">
      <c r="A46" s="58" t="s">
        <v>58</v>
      </c>
      <c r="B46" s="58" t="s">
        <v>23</v>
      </c>
      <c r="C46" s="58">
        <v>0</v>
      </c>
      <c r="D46" s="59">
        <v>9698.2099999999991</v>
      </c>
      <c r="E46" s="59">
        <v>0</v>
      </c>
      <c r="F46" s="59">
        <v>2455348.4000000018</v>
      </c>
      <c r="G46" s="74" t="s">
        <v>36</v>
      </c>
    </row>
    <row r="47" spans="1:7" ht="24.75" customHeight="1" x14ac:dyDescent="0.25">
      <c r="A47" s="58" t="s">
        <v>58</v>
      </c>
      <c r="B47" s="58" t="s">
        <v>24</v>
      </c>
      <c r="C47" s="58">
        <v>0</v>
      </c>
      <c r="D47" s="59">
        <v>1939.64</v>
      </c>
      <c r="E47" s="59">
        <v>0</v>
      </c>
      <c r="F47" s="59">
        <v>2465046.6100000017</v>
      </c>
      <c r="G47" s="74" t="s">
        <v>36</v>
      </c>
    </row>
    <row r="48" spans="1:7" ht="24.75" hidden="1" customHeight="1" x14ac:dyDescent="0.25">
      <c r="A48" s="58" t="s">
        <v>58</v>
      </c>
      <c r="B48" s="58" t="s">
        <v>154</v>
      </c>
      <c r="C48" s="58">
        <v>925148</v>
      </c>
      <c r="D48" s="59">
        <v>0</v>
      </c>
      <c r="E48" s="59">
        <v>1273020.43</v>
      </c>
      <c r="F48" s="59">
        <v>2466986.2500000019</v>
      </c>
    </row>
    <row r="49" spans="1:7" ht="24.75" hidden="1" customHeight="1" x14ac:dyDescent="0.25">
      <c r="A49" s="58" t="s">
        <v>58</v>
      </c>
      <c r="B49" s="58" t="s">
        <v>155</v>
      </c>
      <c r="C49" s="58">
        <v>614220</v>
      </c>
      <c r="D49" s="59">
        <v>4000000</v>
      </c>
      <c r="E49" s="59">
        <v>0</v>
      </c>
      <c r="F49" s="59">
        <v>1193965.8200000022</v>
      </c>
    </row>
    <row r="50" spans="1:7" ht="24.75" hidden="1" customHeight="1" x14ac:dyDescent="0.25">
      <c r="A50" s="58" t="s">
        <v>58</v>
      </c>
      <c r="B50" s="58" t="s">
        <v>156</v>
      </c>
      <c r="C50" s="58">
        <v>280806</v>
      </c>
      <c r="D50" s="59">
        <v>0</v>
      </c>
      <c r="E50" s="59">
        <v>343348.87</v>
      </c>
      <c r="F50" s="59">
        <v>5193965.8200000022</v>
      </c>
    </row>
    <row r="51" spans="1:7" ht="24.75" customHeight="1" x14ac:dyDescent="0.25">
      <c r="A51" s="58" t="s">
        <v>59</v>
      </c>
      <c r="B51" s="58" t="s">
        <v>25</v>
      </c>
      <c r="C51" s="58">
        <v>0</v>
      </c>
      <c r="D51" s="59">
        <v>126</v>
      </c>
      <c r="E51" s="59">
        <v>0</v>
      </c>
      <c r="F51" s="59">
        <v>4850616.950000002</v>
      </c>
      <c r="G51" s="74" t="s">
        <v>36</v>
      </c>
    </row>
    <row r="52" spans="1:7" ht="24.75" customHeight="1" x14ac:dyDescent="0.25">
      <c r="A52" s="58" t="s">
        <v>59</v>
      </c>
      <c r="B52" s="58" t="s">
        <v>21</v>
      </c>
      <c r="C52" s="58">
        <v>0</v>
      </c>
      <c r="D52" s="59">
        <v>10491.84</v>
      </c>
      <c r="E52" s="59">
        <v>0</v>
      </c>
      <c r="F52" s="59">
        <v>4850742.950000002</v>
      </c>
      <c r="G52" s="74" t="s">
        <v>36</v>
      </c>
    </row>
    <row r="53" spans="1:7" ht="24.75" customHeight="1" x14ac:dyDescent="0.25">
      <c r="A53" s="58" t="s">
        <v>59</v>
      </c>
      <c r="B53" s="58" t="s">
        <v>22</v>
      </c>
      <c r="C53" s="58">
        <v>0</v>
      </c>
      <c r="D53" s="59">
        <v>86.2</v>
      </c>
      <c r="E53" s="59">
        <v>0</v>
      </c>
      <c r="F53" s="59">
        <v>4861234.7900000019</v>
      </c>
      <c r="G53" s="74" t="s">
        <v>36</v>
      </c>
    </row>
    <row r="54" spans="1:7" ht="24.75" customHeight="1" x14ac:dyDescent="0.25">
      <c r="A54" s="58" t="s">
        <v>59</v>
      </c>
      <c r="B54" s="58" t="s">
        <v>23</v>
      </c>
      <c r="C54" s="58">
        <v>0</v>
      </c>
      <c r="D54" s="59">
        <v>15737.76</v>
      </c>
      <c r="E54" s="59">
        <v>0</v>
      </c>
      <c r="F54" s="59">
        <v>4861320.9900000021</v>
      </c>
      <c r="G54" s="74" t="s">
        <v>36</v>
      </c>
    </row>
    <row r="55" spans="1:7" ht="24.75" customHeight="1" x14ac:dyDescent="0.25">
      <c r="A55" s="58" t="s">
        <v>59</v>
      </c>
      <c r="B55" s="58" t="s">
        <v>24</v>
      </c>
      <c r="C55" s="58">
        <v>0</v>
      </c>
      <c r="D55" s="59">
        <v>3147.55</v>
      </c>
      <c r="E55" s="59">
        <v>0</v>
      </c>
      <c r="F55" s="59">
        <v>4877058.7500000019</v>
      </c>
      <c r="G55" s="74" t="s">
        <v>36</v>
      </c>
    </row>
    <row r="56" spans="1:7" ht="24.75" hidden="1" customHeight="1" x14ac:dyDescent="0.25">
      <c r="A56" s="58" t="s">
        <v>59</v>
      </c>
      <c r="B56" s="58" t="s">
        <v>157</v>
      </c>
      <c r="C56" s="58">
        <v>953944</v>
      </c>
      <c r="D56" s="59">
        <v>0</v>
      </c>
      <c r="E56" s="59">
        <v>1000000</v>
      </c>
      <c r="F56" s="59">
        <v>4880206.3000000017</v>
      </c>
    </row>
    <row r="57" spans="1:7" ht="24.75" hidden="1" customHeight="1" x14ac:dyDescent="0.25">
      <c r="A57" s="58" t="s">
        <v>59</v>
      </c>
      <c r="B57" s="58" t="s">
        <v>158</v>
      </c>
      <c r="C57" s="58">
        <v>432503</v>
      </c>
      <c r="D57" s="59">
        <v>0</v>
      </c>
      <c r="E57" s="59">
        <v>700000</v>
      </c>
      <c r="F57" s="59">
        <v>3880206.3000000017</v>
      </c>
    </row>
    <row r="58" spans="1:7" ht="24.75" hidden="1" customHeight="1" x14ac:dyDescent="0.25">
      <c r="A58" s="58" t="s">
        <v>59</v>
      </c>
      <c r="B58" s="58" t="s">
        <v>159</v>
      </c>
      <c r="C58" s="58">
        <v>871849</v>
      </c>
      <c r="D58" s="59">
        <v>0</v>
      </c>
      <c r="E58" s="59">
        <v>922960.26</v>
      </c>
      <c r="F58" s="59">
        <v>3180206.3000000017</v>
      </c>
    </row>
    <row r="59" spans="1:7" ht="24.75" customHeight="1" x14ac:dyDescent="0.25">
      <c r="A59" s="58" t="s">
        <v>59</v>
      </c>
      <c r="B59" s="58" t="s">
        <v>33</v>
      </c>
      <c r="C59" s="58">
        <v>8258</v>
      </c>
      <c r="D59" s="59">
        <v>600</v>
      </c>
      <c r="E59" s="59">
        <v>0</v>
      </c>
      <c r="F59" s="59">
        <v>2257246.0400000019</v>
      </c>
      <c r="G59" s="74" t="s">
        <v>36</v>
      </c>
    </row>
    <row r="60" spans="1:7" ht="24.75" customHeight="1" x14ac:dyDescent="0.25">
      <c r="A60" s="58" t="s">
        <v>60</v>
      </c>
      <c r="B60" s="58" t="s">
        <v>21</v>
      </c>
      <c r="C60" s="58">
        <v>0</v>
      </c>
      <c r="D60" s="59">
        <v>15649</v>
      </c>
      <c r="E60" s="59">
        <v>0</v>
      </c>
      <c r="F60" s="59">
        <v>2257846.0400000019</v>
      </c>
      <c r="G60" s="74" t="s">
        <v>36</v>
      </c>
    </row>
    <row r="61" spans="1:7" ht="24.75" customHeight="1" x14ac:dyDescent="0.25">
      <c r="A61" s="58" t="s">
        <v>60</v>
      </c>
      <c r="B61" s="58" t="s">
        <v>22</v>
      </c>
      <c r="C61" s="58">
        <v>0</v>
      </c>
      <c r="D61" s="59">
        <v>3884.05</v>
      </c>
      <c r="E61" s="59">
        <v>0</v>
      </c>
      <c r="F61" s="59">
        <v>2273495.0400000019</v>
      </c>
      <c r="G61" s="74" t="s">
        <v>36</v>
      </c>
    </row>
    <row r="62" spans="1:7" ht="24.75" customHeight="1" x14ac:dyDescent="0.25">
      <c r="A62" s="58" t="s">
        <v>60</v>
      </c>
      <c r="B62" s="58" t="s">
        <v>23</v>
      </c>
      <c r="C62" s="58">
        <v>0</v>
      </c>
      <c r="D62" s="59">
        <v>23473.49</v>
      </c>
      <c r="E62" s="59">
        <v>0</v>
      </c>
      <c r="F62" s="59">
        <v>2277379.0900000017</v>
      </c>
      <c r="G62" s="74" t="s">
        <v>36</v>
      </c>
    </row>
    <row r="63" spans="1:7" ht="24.75" customHeight="1" x14ac:dyDescent="0.25">
      <c r="A63" s="58" t="s">
        <v>60</v>
      </c>
      <c r="B63" s="58" t="s">
        <v>24</v>
      </c>
      <c r="C63" s="58">
        <v>0</v>
      </c>
      <c r="D63" s="59">
        <v>4694.6899999999996</v>
      </c>
      <c r="E63" s="59">
        <v>0</v>
      </c>
      <c r="F63" s="59">
        <v>2300852.5800000019</v>
      </c>
      <c r="G63" s="74" t="s">
        <v>36</v>
      </c>
    </row>
    <row r="64" spans="1:7" ht="24.75" hidden="1" customHeight="1" x14ac:dyDescent="0.25">
      <c r="A64" s="58" t="s">
        <v>60</v>
      </c>
      <c r="B64" s="58" t="s">
        <v>160</v>
      </c>
      <c r="C64" s="58">
        <v>975999</v>
      </c>
      <c r="D64" s="59">
        <v>0</v>
      </c>
      <c r="E64" s="59">
        <v>1001861.85</v>
      </c>
      <c r="F64" s="59">
        <v>2305547.2700000019</v>
      </c>
    </row>
    <row r="65" spans="1:7" ht="24.75" hidden="1" customHeight="1" x14ac:dyDescent="0.25">
      <c r="A65" s="58" t="s">
        <v>60</v>
      </c>
      <c r="B65" s="58" t="s">
        <v>61</v>
      </c>
      <c r="C65" s="58">
        <v>184643</v>
      </c>
      <c r="D65" s="59">
        <v>627000</v>
      </c>
      <c r="E65" s="59">
        <v>0</v>
      </c>
      <c r="F65" s="59">
        <v>1303685.4200000018</v>
      </c>
    </row>
    <row r="66" spans="1:7" ht="24.75" hidden="1" customHeight="1" x14ac:dyDescent="0.25">
      <c r="A66" s="58" t="s">
        <v>60</v>
      </c>
      <c r="B66" s="58" t="s">
        <v>161</v>
      </c>
      <c r="C66" s="58">
        <v>704207</v>
      </c>
      <c r="D66" s="59">
        <v>0</v>
      </c>
      <c r="E66" s="59">
        <v>306177.19</v>
      </c>
      <c r="F66" s="59">
        <v>1930685.4200000018</v>
      </c>
    </row>
    <row r="67" spans="1:7" ht="24.75" hidden="1" customHeight="1" x14ac:dyDescent="0.25">
      <c r="A67" s="58" t="s">
        <v>60</v>
      </c>
      <c r="B67" s="58" t="s">
        <v>155</v>
      </c>
      <c r="C67" s="58">
        <v>414774</v>
      </c>
      <c r="D67" s="59">
        <v>1500000</v>
      </c>
      <c r="E67" s="59">
        <v>0</v>
      </c>
      <c r="F67" s="59">
        <v>1624508.2300000018</v>
      </c>
    </row>
    <row r="68" spans="1:7" ht="24.75" hidden="1" customHeight="1" x14ac:dyDescent="0.25">
      <c r="A68" s="66" t="s">
        <v>60</v>
      </c>
      <c r="B68" s="66" t="s">
        <v>62</v>
      </c>
      <c r="C68" s="66">
        <v>682137</v>
      </c>
      <c r="D68" s="83">
        <v>0</v>
      </c>
      <c r="E68" s="83">
        <v>765466.68</v>
      </c>
      <c r="F68" s="59">
        <v>3124508.2300000018</v>
      </c>
    </row>
    <row r="69" spans="1:7" ht="24.75" hidden="1" customHeight="1" x14ac:dyDescent="0.25">
      <c r="A69" s="66" t="s">
        <v>60</v>
      </c>
      <c r="B69" s="66" t="s">
        <v>162</v>
      </c>
      <c r="C69" s="66">
        <v>249682</v>
      </c>
      <c r="D69" s="83">
        <v>0</v>
      </c>
      <c r="E69" s="83">
        <v>231770.66</v>
      </c>
      <c r="F69" s="59">
        <v>2359041.5500000017</v>
      </c>
    </row>
    <row r="70" spans="1:7" ht="24.75" hidden="1" customHeight="1" x14ac:dyDescent="0.25">
      <c r="A70" s="66" t="s">
        <v>60</v>
      </c>
      <c r="B70" s="66" t="s">
        <v>63</v>
      </c>
      <c r="C70" s="66">
        <v>136002</v>
      </c>
      <c r="D70" s="83">
        <v>0</v>
      </c>
      <c r="E70" s="83">
        <v>206972.92</v>
      </c>
      <c r="F70" s="59">
        <v>2127270.8900000015</v>
      </c>
    </row>
    <row r="71" spans="1:7" ht="24.75" hidden="1" customHeight="1" x14ac:dyDescent="0.25">
      <c r="A71" s="66" t="s">
        <v>60</v>
      </c>
      <c r="B71" s="66" t="s">
        <v>64</v>
      </c>
      <c r="C71" s="66">
        <v>344126</v>
      </c>
      <c r="D71" s="83">
        <v>4200000</v>
      </c>
      <c r="E71" s="83">
        <v>0</v>
      </c>
      <c r="F71" s="59">
        <v>1920297.9700000016</v>
      </c>
    </row>
    <row r="72" spans="1:7" ht="26.25" hidden="1" customHeight="1" x14ac:dyDescent="0.25">
      <c r="A72" s="66" t="s">
        <v>60</v>
      </c>
      <c r="B72" s="66" t="s">
        <v>65</v>
      </c>
      <c r="C72" s="66">
        <v>536076</v>
      </c>
      <c r="D72" s="83">
        <v>0</v>
      </c>
      <c r="E72" s="83">
        <v>1400000</v>
      </c>
      <c r="F72" s="59">
        <v>6120297.9700000016</v>
      </c>
    </row>
    <row r="73" spans="1:7" ht="24.75" customHeight="1" x14ac:dyDescent="0.25">
      <c r="A73" s="58" t="s">
        <v>66</v>
      </c>
      <c r="B73" s="58" t="s">
        <v>21</v>
      </c>
      <c r="C73" s="58">
        <v>0</v>
      </c>
      <c r="D73" s="59">
        <v>3960</v>
      </c>
      <c r="E73" s="59">
        <v>0</v>
      </c>
      <c r="F73" s="59">
        <v>4720297.9700000016</v>
      </c>
      <c r="G73" s="74" t="s">
        <v>36</v>
      </c>
    </row>
    <row r="74" spans="1:7" ht="24.75" customHeight="1" x14ac:dyDescent="0.25">
      <c r="A74" s="58" t="s">
        <v>66</v>
      </c>
      <c r="B74" s="58" t="s">
        <v>22</v>
      </c>
      <c r="C74" s="58">
        <v>0</v>
      </c>
      <c r="D74" s="59">
        <v>30.89</v>
      </c>
      <c r="E74" s="59">
        <v>0</v>
      </c>
      <c r="F74" s="59">
        <v>4724257.9700000016</v>
      </c>
      <c r="G74" s="74" t="s">
        <v>36</v>
      </c>
    </row>
    <row r="75" spans="1:7" ht="24.75" customHeight="1" x14ac:dyDescent="0.25">
      <c r="A75" s="58" t="s">
        <v>66</v>
      </c>
      <c r="B75" s="58" t="s">
        <v>23</v>
      </c>
      <c r="C75" s="58">
        <v>0</v>
      </c>
      <c r="D75" s="59">
        <v>5940</v>
      </c>
      <c r="E75" s="59">
        <v>0</v>
      </c>
      <c r="F75" s="59">
        <v>4724288.8600000013</v>
      </c>
      <c r="G75" s="74" t="s">
        <v>36</v>
      </c>
    </row>
    <row r="76" spans="1:7" ht="24.75" customHeight="1" x14ac:dyDescent="0.25">
      <c r="A76" s="58" t="s">
        <v>66</v>
      </c>
      <c r="B76" s="58" t="s">
        <v>24</v>
      </c>
      <c r="C76" s="58">
        <v>0</v>
      </c>
      <c r="D76" s="59">
        <v>1188</v>
      </c>
      <c r="E76" s="59">
        <v>0</v>
      </c>
      <c r="F76" s="59">
        <v>4730228.8600000013</v>
      </c>
      <c r="G76" s="74" t="s">
        <v>36</v>
      </c>
    </row>
    <row r="77" spans="1:7" ht="24.75" hidden="1" customHeight="1" x14ac:dyDescent="0.25">
      <c r="A77" s="58" t="s">
        <v>66</v>
      </c>
      <c r="B77" s="58" t="s">
        <v>163</v>
      </c>
      <c r="C77" s="58">
        <v>339566</v>
      </c>
      <c r="D77" s="59">
        <v>0</v>
      </c>
      <c r="E77" s="59">
        <v>990000</v>
      </c>
      <c r="F77" s="59">
        <v>4731416.8600000013</v>
      </c>
    </row>
    <row r="78" spans="1:7" ht="24.75" customHeight="1" x14ac:dyDescent="0.25">
      <c r="A78" s="66" t="s">
        <v>67</v>
      </c>
      <c r="B78" s="66" t="s">
        <v>21</v>
      </c>
      <c r="C78" s="66">
        <v>0</v>
      </c>
      <c r="D78" s="83">
        <v>392.9</v>
      </c>
      <c r="E78" s="83">
        <v>0</v>
      </c>
      <c r="F78" s="59">
        <v>3741416.8600000017</v>
      </c>
      <c r="G78" s="74" t="s">
        <v>36</v>
      </c>
    </row>
    <row r="79" spans="1:7" ht="24.75" customHeight="1" x14ac:dyDescent="0.25">
      <c r="A79" s="66" t="s">
        <v>67</v>
      </c>
      <c r="B79" s="66" t="s">
        <v>22</v>
      </c>
      <c r="C79" s="66">
        <v>0</v>
      </c>
      <c r="D79" s="83">
        <v>1991.96</v>
      </c>
      <c r="E79" s="83">
        <v>0</v>
      </c>
      <c r="F79" s="59">
        <v>3741809.7600000016</v>
      </c>
      <c r="G79" s="74" t="s">
        <v>36</v>
      </c>
    </row>
    <row r="80" spans="1:7" ht="24.75" customHeight="1" x14ac:dyDescent="0.25">
      <c r="A80" s="66" t="s">
        <v>67</v>
      </c>
      <c r="B80" s="66" t="s">
        <v>23</v>
      </c>
      <c r="C80" s="66">
        <v>0</v>
      </c>
      <c r="D80" s="83">
        <v>589.34</v>
      </c>
      <c r="E80" s="83">
        <v>0</v>
      </c>
      <c r="F80" s="59">
        <v>3743801.7200000016</v>
      </c>
      <c r="G80" s="74" t="s">
        <v>36</v>
      </c>
    </row>
    <row r="81" spans="1:7" ht="24.75" customHeight="1" x14ac:dyDescent="0.25">
      <c r="A81" s="66" t="s">
        <v>67</v>
      </c>
      <c r="B81" s="66" t="s">
        <v>24</v>
      </c>
      <c r="C81" s="66">
        <v>0</v>
      </c>
      <c r="D81" s="83">
        <v>117.87</v>
      </c>
      <c r="E81" s="83">
        <v>0</v>
      </c>
      <c r="F81" s="59">
        <v>3744391.0600000015</v>
      </c>
      <c r="G81" s="74" t="s">
        <v>36</v>
      </c>
    </row>
    <row r="82" spans="1:7" ht="24.75" hidden="1" customHeight="1" x14ac:dyDescent="0.25">
      <c r="A82" s="66" t="s">
        <v>67</v>
      </c>
      <c r="B82" s="87" t="s">
        <v>165</v>
      </c>
      <c r="C82" s="66">
        <v>250325</v>
      </c>
      <c r="D82" s="83">
        <v>0</v>
      </c>
      <c r="E82" s="83">
        <v>98223.75</v>
      </c>
      <c r="F82" s="59">
        <v>3744508.9300000016</v>
      </c>
    </row>
    <row r="83" spans="1:7" ht="19.5" hidden="1" customHeight="1" x14ac:dyDescent="0.25">
      <c r="A83" s="66" t="s">
        <v>67</v>
      </c>
      <c r="B83" s="66" t="s">
        <v>164</v>
      </c>
      <c r="C83" s="66">
        <v>115325</v>
      </c>
      <c r="D83" s="83">
        <v>331481.08</v>
      </c>
      <c r="E83" s="83">
        <v>0</v>
      </c>
      <c r="F83" s="59">
        <v>3646285.1800000016</v>
      </c>
    </row>
    <row r="84" spans="1:7" ht="19.5" customHeight="1" x14ac:dyDescent="0.25">
      <c r="A84" s="58" t="s">
        <v>68</v>
      </c>
      <c r="B84" s="58" t="s">
        <v>21</v>
      </c>
      <c r="C84" s="58">
        <v>0</v>
      </c>
      <c r="D84" s="59">
        <v>10636.19</v>
      </c>
      <c r="E84" s="59">
        <v>0</v>
      </c>
      <c r="F84" s="59">
        <v>3977766.2600000016</v>
      </c>
      <c r="G84" s="74" t="s">
        <v>36</v>
      </c>
    </row>
    <row r="85" spans="1:7" ht="24.75" customHeight="1" x14ac:dyDescent="0.25">
      <c r="A85" s="58" t="s">
        <v>68</v>
      </c>
      <c r="B85" s="58" t="s">
        <v>22</v>
      </c>
      <c r="C85" s="58">
        <v>0</v>
      </c>
      <c r="D85" s="59">
        <v>82.97</v>
      </c>
      <c r="E85" s="59">
        <v>0</v>
      </c>
      <c r="F85" s="59">
        <v>3988402.4500000016</v>
      </c>
      <c r="G85" s="74" t="s">
        <v>36</v>
      </c>
    </row>
    <row r="86" spans="1:7" ht="24.75" customHeight="1" x14ac:dyDescent="0.25">
      <c r="A86" s="58" t="s">
        <v>68</v>
      </c>
      <c r="B86" s="58" t="s">
        <v>23</v>
      </c>
      <c r="C86" s="58">
        <v>0</v>
      </c>
      <c r="D86" s="59">
        <v>15954.28</v>
      </c>
      <c r="E86" s="59">
        <v>0</v>
      </c>
      <c r="F86" s="59">
        <v>3988485.4200000018</v>
      </c>
      <c r="G86" s="74" t="s">
        <v>36</v>
      </c>
    </row>
    <row r="87" spans="1:7" ht="24.75" customHeight="1" x14ac:dyDescent="0.25">
      <c r="A87" s="58" t="s">
        <v>68</v>
      </c>
      <c r="B87" s="58" t="s">
        <v>24</v>
      </c>
      <c r="C87" s="58">
        <v>0</v>
      </c>
      <c r="D87" s="59">
        <v>3190.86</v>
      </c>
      <c r="E87" s="59">
        <v>0</v>
      </c>
      <c r="F87" s="59">
        <v>4004439.7000000016</v>
      </c>
      <c r="G87" s="74" t="s">
        <v>36</v>
      </c>
    </row>
    <row r="88" spans="1:7" ht="18.75" hidden="1" customHeight="1" x14ac:dyDescent="0.25">
      <c r="A88" s="58" t="s">
        <v>68</v>
      </c>
      <c r="B88" s="58" t="s">
        <v>166</v>
      </c>
      <c r="C88" s="58">
        <v>28051</v>
      </c>
      <c r="D88" s="59">
        <v>0</v>
      </c>
      <c r="E88" s="59">
        <v>2000000</v>
      </c>
      <c r="F88" s="59">
        <v>4007630.5600000015</v>
      </c>
    </row>
    <row r="89" spans="1:7" ht="24.75" hidden="1" customHeight="1" x14ac:dyDescent="0.25">
      <c r="A89" s="58" t="s">
        <v>68</v>
      </c>
      <c r="B89" s="58" t="s">
        <v>167</v>
      </c>
      <c r="C89" s="58">
        <v>748645</v>
      </c>
      <c r="D89" s="59">
        <v>0</v>
      </c>
      <c r="E89" s="59">
        <v>659046.47</v>
      </c>
      <c r="F89" s="59">
        <v>2007630.5600000012</v>
      </c>
    </row>
    <row r="90" spans="1:7" ht="24.75" customHeight="1" x14ac:dyDescent="0.25">
      <c r="A90" s="66" t="s">
        <v>69</v>
      </c>
      <c r="B90" s="66" t="s">
        <v>25</v>
      </c>
      <c r="C90" s="66">
        <v>0</v>
      </c>
      <c r="D90" s="83">
        <v>63</v>
      </c>
      <c r="E90" s="83">
        <v>0</v>
      </c>
      <c r="F90" s="59">
        <v>1348584.0900000012</v>
      </c>
      <c r="G90" s="74" t="s">
        <v>36</v>
      </c>
    </row>
    <row r="91" spans="1:7" ht="24.75" customHeight="1" x14ac:dyDescent="0.25">
      <c r="A91" s="66" t="s">
        <v>69</v>
      </c>
      <c r="B91" s="66" t="s">
        <v>22</v>
      </c>
      <c r="C91" s="66">
        <v>0</v>
      </c>
      <c r="D91" s="83">
        <v>3654.69</v>
      </c>
      <c r="E91" s="83">
        <v>0</v>
      </c>
      <c r="F91" s="59">
        <v>1348647.0900000012</v>
      </c>
      <c r="G91" s="74" t="s">
        <v>36</v>
      </c>
    </row>
    <row r="92" spans="1:7" ht="24.75" customHeight="1" x14ac:dyDescent="0.25">
      <c r="A92" s="66" t="s">
        <v>69</v>
      </c>
      <c r="B92" s="66" t="s">
        <v>33</v>
      </c>
      <c r="C92" s="66">
        <v>8258</v>
      </c>
      <c r="D92" s="83">
        <v>300</v>
      </c>
      <c r="E92" s="83">
        <v>0</v>
      </c>
      <c r="F92" s="59">
        <v>1352301.7800000012</v>
      </c>
      <c r="G92" s="74" t="s">
        <v>36</v>
      </c>
    </row>
    <row r="93" spans="1:7" ht="24.75" hidden="1" customHeight="1" x14ac:dyDescent="0.25">
      <c r="A93" s="66" t="s">
        <v>69</v>
      </c>
      <c r="B93" s="66" t="s">
        <v>168</v>
      </c>
      <c r="C93" s="66">
        <v>56</v>
      </c>
      <c r="D93" s="83">
        <v>608751</v>
      </c>
      <c r="E93" s="83">
        <v>0</v>
      </c>
      <c r="F93" s="59">
        <v>1352601.7800000012</v>
      </c>
    </row>
    <row r="94" spans="1:7" ht="24.75" hidden="1" customHeight="1" x14ac:dyDescent="0.25">
      <c r="A94" s="58" t="s">
        <v>70</v>
      </c>
      <c r="B94" s="58" t="s">
        <v>35</v>
      </c>
      <c r="C94" s="58">
        <v>100051</v>
      </c>
      <c r="D94" s="59">
        <v>15000000</v>
      </c>
      <c r="E94" s="59">
        <v>0</v>
      </c>
      <c r="F94" s="59">
        <v>1961352.7800000012</v>
      </c>
    </row>
    <row r="95" spans="1:7" ht="24.75" customHeight="1" x14ac:dyDescent="0.25">
      <c r="A95" s="58" t="s">
        <v>71</v>
      </c>
      <c r="B95" s="58" t="s">
        <v>22</v>
      </c>
      <c r="C95" s="58">
        <v>0</v>
      </c>
      <c r="D95" s="59">
        <v>3948.47</v>
      </c>
      <c r="E95" s="59">
        <v>0</v>
      </c>
      <c r="F95" s="59">
        <v>16961352.780000001</v>
      </c>
      <c r="G95" s="74" t="s">
        <v>36</v>
      </c>
    </row>
    <row r="96" spans="1:7" ht="24.75" hidden="1" customHeight="1" x14ac:dyDescent="0.25">
      <c r="A96" s="58" t="s">
        <v>71</v>
      </c>
      <c r="B96" s="58" t="s">
        <v>46</v>
      </c>
      <c r="C96" s="58">
        <v>903118</v>
      </c>
      <c r="D96" s="59">
        <v>177781.56</v>
      </c>
      <c r="E96" s="59">
        <v>0</v>
      </c>
      <c r="F96" s="59">
        <v>16965301.25</v>
      </c>
    </row>
    <row r="97" spans="1:8" ht="24.75" customHeight="1" x14ac:dyDescent="0.25">
      <c r="A97" s="58" t="s">
        <v>71</v>
      </c>
      <c r="B97" s="58" t="s">
        <v>169</v>
      </c>
      <c r="C97" s="58">
        <v>15133</v>
      </c>
      <c r="D97" s="59">
        <v>480297.44</v>
      </c>
      <c r="E97" s="59">
        <v>0</v>
      </c>
      <c r="F97" s="59">
        <v>17143082.809999999</v>
      </c>
      <c r="G97" s="74" t="s">
        <v>36</v>
      </c>
    </row>
    <row r="98" spans="1:8" ht="24.75" customHeight="1" x14ac:dyDescent="0.25">
      <c r="A98" s="88" t="s">
        <v>72</v>
      </c>
      <c r="B98" s="88" t="s">
        <v>27</v>
      </c>
      <c r="C98" s="88">
        <v>0</v>
      </c>
      <c r="D98" s="59">
        <v>3000</v>
      </c>
      <c r="E98" s="59">
        <v>0</v>
      </c>
      <c r="F98" s="59">
        <v>17623380.25</v>
      </c>
      <c r="G98" s="74" t="s">
        <v>36</v>
      </c>
    </row>
    <row r="99" spans="1:8" ht="24.75" customHeight="1" x14ac:dyDescent="0.25">
      <c r="A99" s="88" t="s">
        <v>72</v>
      </c>
      <c r="B99" s="88" t="s">
        <v>25</v>
      </c>
      <c r="C99" s="88">
        <v>0</v>
      </c>
      <c r="D99" s="59">
        <v>21000</v>
      </c>
      <c r="E99" s="59">
        <v>0</v>
      </c>
      <c r="F99" s="59">
        <v>17626380.25</v>
      </c>
      <c r="G99" s="74" t="s">
        <v>36</v>
      </c>
    </row>
    <row r="100" spans="1:8" ht="24.75" customHeight="1" x14ac:dyDescent="0.25">
      <c r="A100" s="88" t="s">
        <v>72</v>
      </c>
      <c r="B100" s="88" t="s">
        <v>21</v>
      </c>
      <c r="C100" s="88">
        <v>0</v>
      </c>
      <c r="D100" s="59">
        <v>42400</v>
      </c>
      <c r="E100" s="59">
        <v>0</v>
      </c>
      <c r="F100" s="59">
        <v>17647380.25</v>
      </c>
      <c r="G100" s="74" t="s">
        <v>36</v>
      </c>
    </row>
    <row r="101" spans="1:8" ht="24.75" customHeight="1" x14ac:dyDescent="0.25">
      <c r="A101" s="88" t="s">
        <v>72</v>
      </c>
      <c r="B101" s="88" t="s">
        <v>22</v>
      </c>
      <c r="C101" s="88">
        <v>0</v>
      </c>
      <c r="D101" s="59">
        <v>2553.41</v>
      </c>
      <c r="E101" s="59">
        <v>0</v>
      </c>
      <c r="F101" s="59">
        <v>17689780.25</v>
      </c>
      <c r="G101" s="74" t="s">
        <v>36</v>
      </c>
    </row>
    <row r="102" spans="1:8" ht="24.75" customHeight="1" x14ac:dyDescent="0.25">
      <c r="A102" s="88" t="s">
        <v>72</v>
      </c>
      <c r="B102" s="88" t="s">
        <v>23</v>
      </c>
      <c r="C102" s="88">
        <v>0</v>
      </c>
      <c r="D102" s="59">
        <v>63600</v>
      </c>
      <c r="E102" s="59">
        <v>0</v>
      </c>
      <c r="F102" s="59">
        <v>17692333.66</v>
      </c>
      <c r="G102" s="74" t="s">
        <v>36</v>
      </c>
    </row>
    <row r="103" spans="1:8" ht="24.75" customHeight="1" x14ac:dyDescent="0.25">
      <c r="A103" s="88" t="s">
        <v>72</v>
      </c>
      <c r="B103" s="88" t="s">
        <v>40</v>
      </c>
      <c r="C103" s="88">
        <v>0</v>
      </c>
      <c r="D103" s="59">
        <v>100000</v>
      </c>
      <c r="E103" s="59">
        <v>0</v>
      </c>
      <c r="F103" s="59">
        <v>17755933.66</v>
      </c>
      <c r="G103" s="74" t="s">
        <v>36</v>
      </c>
    </row>
    <row r="104" spans="1:8" ht="24.75" customHeight="1" x14ac:dyDescent="0.25">
      <c r="A104" s="88" t="s">
        <v>72</v>
      </c>
      <c r="B104" s="88" t="s">
        <v>24</v>
      </c>
      <c r="C104" s="88">
        <v>0</v>
      </c>
      <c r="D104" s="59">
        <v>12720</v>
      </c>
      <c r="E104" s="59">
        <v>0</v>
      </c>
      <c r="F104" s="59">
        <v>17855933.66</v>
      </c>
      <c r="G104" s="74" t="s">
        <v>36</v>
      </c>
    </row>
    <row r="105" spans="1:8" ht="24.75" customHeight="1" x14ac:dyDescent="0.25">
      <c r="A105" s="88" t="s">
        <v>72</v>
      </c>
      <c r="B105" s="88" t="s">
        <v>29</v>
      </c>
      <c r="C105" s="88">
        <v>0</v>
      </c>
      <c r="D105" s="59">
        <v>2000</v>
      </c>
      <c r="E105" s="59">
        <v>0</v>
      </c>
      <c r="F105" s="59">
        <v>17868653.66</v>
      </c>
      <c r="G105" s="74" t="s">
        <v>36</v>
      </c>
    </row>
    <row r="106" spans="1:8" ht="24.75" hidden="1" customHeight="1" x14ac:dyDescent="0.25">
      <c r="A106" s="88" t="s">
        <v>72</v>
      </c>
      <c r="B106" s="88" t="s">
        <v>44</v>
      </c>
      <c r="C106" s="88">
        <v>0</v>
      </c>
      <c r="D106" s="59">
        <v>0</v>
      </c>
      <c r="E106" s="59">
        <v>10000000</v>
      </c>
      <c r="F106" s="59">
        <v>17870653.66</v>
      </c>
      <c r="H106" t="s">
        <v>73</v>
      </c>
    </row>
    <row r="107" spans="1:8" ht="24.75" hidden="1" customHeight="1" x14ac:dyDescent="0.25">
      <c r="A107" s="88" t="s">
        <v>72</v>
      </c>
      <c r="B107" s="88" t="s">
        <v>170</v>
      </c>
      <c r="C107" s="88">
        <v>832702</v>
      </c>
      <c r="D107" s="59">
        <v>0</v>
      </c>
      <c r="E107" s="59">
        <v>600000</v>
      </c>
      <c r="F107" s="59">
        <v>7870653.6600000001</v>
      </c>
    </row>
    <row r="108" spans="1:8" ht="24.75" hidden="1" customHeight="1" x14ac:dyDescent="0.25">
      <c r="A108" s="88" t="s">
        <v>72</v>
      </c>
      <c r="B108" s="88" t="s">
        <v>47</v>
      </c>
      <c r="C108" s="88">
        <v>775265</v>
      </c>
      <c r="D108" s="59">
        <v>244448.66</v>
      </c>
      <c r="E108" s="59">
        <v>0</v>
      </c>
      <c r="F108" s="59">
        <v>7270653.6600000001</v>
      </c>
    </row>
    <row r="109" spans="1:8" ht="24.75" customHeight="1" x14ac:dyDescent="0.25">
      <c r="A109" s="58" t="s">
        <v>74</v>
      </c>
      <c r="B109" s="58" t="s">
        <v>25</v>
      </c>
      <c r="C109" s="58">
        <v>0</v>
      </c>
      <c r="D109" s="59">
        <v>168</v>
      </c>
      <c r="E109" s="59">
        <v>0</v>
      </c>
      <c r="F109" s="59">
        <v>7515102.3200000003</v>
      </c>
      <c r="G109" s="74" t="s">
        <v>36</v>
      </c>
    </row>
    <row r="110" spans="1:8" ht="24.75" customHeight="1" x14ac:dyDescent="0.25">
      <c r="A110" s="58" t="s">
        <v>74</v>
      </c>
      <c r="B110" s="58" t="s">
        <v>21</v>
      </c>
      <c r="C110" s="58">
        <v>0</v>
      </c>
      <c r="D110" s="59">
        <v>27592</v>
      </c>
      <c r="E110" s="59">
        <v>0</v>
      </c>
      <c r="F110" s="59">
        <v>7515270.3200000003</v>
      </c>
      <c r="G110" s="74" t="s">
        <v>36</v>
      </c>
    </row>
    <row r="111" spans="1:8" ht="24.75" customHeight="1" x14ac:dyDescent="0.25">
      <c r="A111" s="58" t="s">
        <v>74</v>
      </c>
      <c r="B111" s="58" t="s">
        <v>22</v>
      </c>
      <c r="C111" s="58">
        <v>0</v>
      </c>
      <c r="D111" s="59">
        <v>6091.97</v>
      </c>
      <c r="E111" s="59">
        <v>0</v>
      </c>
      <c r="F111" s="59">
        <v>7542862.3200000003</v>
      </c>
      <c r="G111" s="74" t="s">
        <v>36</v>
      </c>
    </row>
    <row r="112" spans="1:8" ht="24.75" customHeight="1" x14ac:dyDescent="0.25">
      <c r="A112" s="58" t="s">
        <v>74</v>
      </c>
      <c r="B112" s="58" t="s">
        <v>23</v>
      </c>
      <c r="C112" s="58">
        <v>0</v>
      </c>
      <c r="D112" s="59">
        <v>41388</v>
      </c>
      <c r="E112" s="59">
        <v>0</v>
      </c>
      <c r="F112" s="59">
        <v>7548954.29</v>
      </c>
      <c r="G112" s="74" t="s">
        <v>36</v>
      </c>
    </row>
    <row r="113" spans="1:7" ht="24.75" customHeight="1" x14ac:dyDescent="0.25">
      <c r="A113" s="58" t="s">
        <v>74</v>
      </c>
      <c r="B113" s="58" t="s">
        <v>24</v>
      </c>
      <c r="C113" s="58">
        <v>0</v>
      </c>
      <c r="D113" s="59">
        <v>8277.6</v>
      </c>
      <c r="E113" s="59">
        <v>0</v>
      </c>
      <c r="F113" s="59">
        <v>7590342.29</v>
      </c>
      <c r="G113" s="74" t="s">
        <v>36</v>
      </c>
    </row>
    <row r="114" spans="1:7" ht="24.75" hidden="1" customHeight="1" x14ac:dyDescent="0.25">
      <c r="A114" s="58" t="s">
        <v>74</v>
      </c>
      <c r="B114" s="58" t="s">
        <v>171</v>
      </c>
      <c r="C114" s="58">
        <v>183757</v>
      </c>
      <c r="D114" s="59">
        <v>0</v>
      </c>
      <c r="E114" s="59">
        <v>898000</v>
      </c>
      <c r="F114" s="59">
        <v>7598619.8899999997</v>
      </c>
    </row>
    <row r="115" spans="1:7" ht="24.75" hidden="1" customHeight="1" x14ac:dyDescent="0.25">
      <c r="A115" s="58" t="s">
        <v>74</v>
      </c>
      <c r="B115" s="58" t="s">
        <v>172</v>
      </c>
      <c r="C115" s="58">
        <v>762122</v>
      </c>
      <c r="D115" s="59">
        <v>0</v>
      </c>
      <c r="E115" s="59">
        <v>6000000</v>
      </c>
      <c r="F115" s="59">
        <v>6700619.8899999997</v>
      </c>
    </row>
    <row r="116" spans="1:7" ht="24.75" customHeight="1" x14ac:dyDescent="0.25">
      <c r="A116" s="58" t="s">
        <v>74</v>
      </c>
      <c r="B116" s="58" t="s">
        <v>75</v>
      </c>
      <c r="C116" s="58">
        <v>0</v>
      </c>
      <c r="D116" s="59">
        <v>500</v>
      </c>
      <c r="E116" s="59">
        <v>0</v>
      </c>
      <c r="F116" s="59">
        <v>700619.88999999966</v>
      </c>
      <c r="G116" s="74" t="s">
        <v>36</v>
      </c>
    </row>
    <row r="117" spans="1:7" ht="24.75" hidden="1" customHeight="1" x14ac:dyDescent="0.25">
      <c r="A117" s="58" t="s">
        <v>74</v>
      </c>
      <c r="B117" s="58" t="s">
        <v>76</v>
      </c>
      <c r="C117" s="58">
        <v>208606</v>
      </c>
      <c r="D117" s="59">
        <v>978489.7</v>
      </c>
      <c r="E117" s="59">
        <v>0</v>
      </c>
      <c r="F117" s="59">
        <v>701119.88999999966</v>
      </c>
    </row>
    <row r="118" spans="1:7" ht="24.75" customHeight="1" x14ac:dyDescent="0.25">
      <c r="A118" s="58" t="s">
        <v>74</v>
      </c>
      <c r="B118" s="58" t="s">
        <v>33</v>
      </c>
      <c r="C118" s="58">
        <v>8258</v>
      </c>
      <c r="D118" s="59">
        <v>300</v>
      </c>
      <c r="E118" s="59">
        <v>0</v>
      </c>
      <c r="F118" s="59">
        <v>1679609.5899999996</v>
      </c>
      <c r="G118" s="74" t="s">
        <v>36</v>
      </c>
    </row>
    <row r="119" spans="1:7" ht="24.75" customHeight="1" x14ac:dyDescent="0.25">
      <c r="A119" s="58" t="s">
        <v>77</v>
      </c>
      <c r="B119" s="58" t="s">
        <v>25</v>
      </c>
      <c r="C119" s="58">
        <v>0</v>
      </c>
      <c r="D119" s="59">
        <v>63</v>
      </c>
      <c r="E119" s="59">
        <v>0</v>
      </c>
      <c r="F119" s="59">
        <v>1679909.5899999996</v>
      </c>
      <c r="G119" s="74" t="s">
        <v>36</v>
      </c>
    </row>
    <row r="120" spans="1:7" ht="24.75" customHeight="1" x14ac:dyDescent="0.25">
      <c r="A120" s="58" t="s">
        <v>77</v>
      </c>
      <c r="B120" s="58" t="s">
        <v>22</v>
      </c>
      <c r="C120" s="58">
        <v>0</v>
      </c>
      <c r="D120" s="59">
        <v>2.1800000000000002</v>
      </c>
      <c r="E120" s="59">
        <v>0</v>
      </c>
      <c r="F120" s="59">
        <v>1679972.5899999996</v>
      </c>
      <c r="G120" s="74" t="s">
        <v>36</v>
      </c>
    </row>
    <row r="121" spans="1:7" ht="24.75" hidden="1" customHeight="1" x14ac:dyDescent="0.25">
      <c r="A121" s="58" t="s">
        <v>77</v>
      </c>
      <c r="B121" s="58" t="s">
        <v>173</v>
      </c>
      <c r="C121" s="58">
        <v>774180</v>
      </c>
      <c r="D121" s="59">
        <v>15600000</v>
      </c>
      <c r="E121" s="59">
        <v>0</v>
      </c>
      <c r="F121" s="59">
        <v>1679974.7699999996</v>
      </c>
    </row>
    <row r="122" spans="1:7" ht="24.75" customHeight="1" x14ac:dyDescent="0.25">
      <c r="A122" s="58" t="s">
        <v>77</v>
      </c>
      <c r="B122" s="58" t="s">
        <v>33</v>
      </c>
      <c r="C122" s="58">
        <v>8258</v>
      </c>
      <c r="D122" s="59">
        <v>300</v>
      </c>
      <c r="E122" s="59">
        <v>0</v>
      </c>
      <c r="F122" s="59">
        <v>17279974.77</v>
      </c>
      <c r="G122" s="74" t="s">
        <v>36</v>
      </c>
    </row>
    <row r="123" spans="1:7" ht="24.75" customHeight="1" x14ac:dyDescent="0.25">
      <c r="A123" s="89" t="s">
        <v>78</v>
      </c>
      <c r="B123" s="89" t="s">
        <v>25</v>
      </c>
      <c r="C123" s="89">
        <v>0</v>
      </c>
      <c r="D123" s="90">
        <v>90.3</v>
      </c>
      <c r="E123" s="90">
        <v>0</v>
      </c>
      <c r="F123" s="59">
        <v>17280274.77</v>
      </c>
      <c r="G123" s="74" t="s">
        <v>36</v>
      </c>
    </row>
    <row r="124" spans="1:7" ht="24.75" customHeight="1" x14ac:dyDescent="0.25">
      <c r="A124" s="58" t="s">
        <v>78</v>
      </c>
      <c r="B124" s="58" t="s">
        <v>21</v>
      </c>
      <c r="C124" s="58">
        <v>0</v>
      </c>
      <c r="D124" s="59">
        <v>71520.399999999994</v>
      </c>
      <c r="E124" s="59">
        <v>0</v>
      </c>
      <c r="F124" s="59">
        <v>17280365.07</v>
      </c>
      <c r="G124" s="74" t="s">
        <v>36</v>
      </c>
    </row>
    <row r="125" spans="1:7" ht="24.75" customHeight="1" x14ac:dyDescent="0.25">
      <c r="A125" s="58" t="s">
        <v>78</v>
      </c>
      <c r="B125" s="58" t="s">
        <v>22</v>
      </c>
      <c r="C125" s="58">
        <v>0</v>
      </c>
      <c r="D125" s="59">
        <v>596.55999999999995</v>
      </c>
      <c r="E125" s="59">
        <v>0</v>
      </c>
      <c r="F125" s="59">
        <v>17351885.469999999</v>
      </c>
      <c r="G125" s="74" t="s">
        <v>36</v>
      </c>
    </row>
    <row r="126" spans="1:7" ht="24.75" customHeight="1" x14ac:dyDescent="0.25">
      <c r="A126" s="58" t="s">
        <v>78</v>
      </c>
      <c r="B126" s="58" t="s">
        <v>23</v>
      </c>
      <c r="C126" s="58">
        <v>0</v>
      </c>
      <c r="D126" s="59">
        <v>107280.6</v>
      </c>
      <c r="E126" s="59">
        <v>0</v>
      </c>
      <c r="F126" s="59">
        <v>17352482.029999997</v>
      </c>
      <c r="G126" s="74" t="s">
        <v>36</v>
      </c>
    </row>
    <row r="127" spans="1:7" ht="24.75" customHeight="1" x14ac:dyDescent="0.25">
      <c r="A127" s="58" t="s">
        <v>78</v>
      </c>
      <c r="B127" s="58" t="s">
        <v>24</v>
      </c>
      <c r="C127" s="58">
        <v>0</v>
      </c>
      <c r="D127" s="59">
        <v>21456.12</v>
      </c>
      <c r="E127" s="59">
        <v>0</v>
      </c>
      <c r="F127" s="59">
        <v>17459762.629999999</v>
      </c>
      <c r="G127" s="74" t="s">
        <v>36</v>
      </c>
    </row>
    <row r="128" spans="1:7" ht="24.75" hidden="1" customHeight="1" x14ac:dyDescent="0.25">
      <c r="A128" s="58" t="s">
        <v>78</v>
      </c>
      <c r="B128" s="58" t="s">
        <v>35</v>
      </c>
      <c r="C128" s="58">
        <v>672569</v>
      </c>
      <c r="D128" s="59">
        <v>11400000</v>
      </c>
      <c r="E128" s="59">
        <v>0</v>
      </c>
      <c r="F128" s="59">
        <v>17481218.75</v>
      </c>
    </row>
    <row r="129" spans="1:7" ht="24.75" hidden="1" customHeight="1" x14ac:dyDescent="0.25">
      <c r="A129" s="58" t="s">
        <v>78</v>
      </c>
      <c r="B129" s="58" t="s">
        <v>174</v>
      </c>
      <c r="C129" s="58">
        <v>50816</v>
      </c>
      <c r="D129" s="59">
        <v>0</v>
      </c>
      <c r="E129" s="59">
        <v>2535000</v>
      </c>
      <c r="F129" s="59">
        <v>28881218.75</v>
      </c>
    </row>
    <row r="130" spans="1:7" ht="24.75" hidden="1" customHeight="1" x14ac:dyDescent="0.25">
      <c r="A130" s="58" t="s">
        <v>78</v>
      </c>
      <c r="B130" s="58" t="s">
        <v>79</v>
      </c>
      <c r="C130" s="58">
        <v>97841</v>
      </c>
      <c r="D130" s="59">
        <v>0</v>
      </c>
      <c r="E130" s="59">
        <v>2180000</v>
      </c>
      <c r="F130" s="59">
        <v>26346218.75</v>
      </c>
    </row>
    <row r="131" spans="1:7" ht="24.75" hidden="1" customHeight="1" x14ac:dyDescent="0.25">
      <c r="A131" s="58" t="s">
        <v>78</v>
      </c>
      <c r="B131" s="58" t="s">
        <v>43</v>
      </c>
      <c r="C131" s="58">
        <v>120640</v>
      </c>
      <c r="D131" s="59">
        <v>0</v>
      </c>
      <c r="E131" s="59">
        <v>10165100</v>
      </c>
      <c r="F131" s="59">
        <v>24166218.75</v>
      </c>
    </row>
    <row r="132" spans="1:7" ht="24.75" hidden="1" customHeight="1" x14ac:dyDescent="0.25">
      <c r="A132" s="58" t="s">
        <v>78</v>
      </c>
      <c r="B132" s="58" t="s">
        <v>26</v>
      </c>
      <c r="C132" s="58">
        <v>25213</v>
      </c>
      <c r="D132" s="59">
        <v>5930</v>
      </c>
      <c r="E132" s="59">
        <v>0</v>
      </c>
      <c r="F132" s="59">
        <v>14001118.75</v>
      </c>
    </row>
    <row r="133" spans="1:7" ht="24.75" customHeight="1" x14ac:dyDescent="0.25">
      <c r="A133" s="58" t="s">
        <v>78</v>
      </c>
      <c r="B133" s="58" t="s">
        <v>33</v>
      </c>
      <c r="C133" s="58">
        <v>8258</v>
      </c>
      <c r="D133" s="59">
        <v>300</v>
      </c>
      <c r="E133" s="59">
        <v>0</v>
      </c>
      <c r="F133" s="59">
        <v>14007048.75</v>
      </c>
      <c r="G133" s="74" t="s">
        <v>36</v>
      </c>
    </row>
    <row r="134" spans="1:7" ht="24.75" customHeight="1" x14ac:dyDescent="0.25">
      <c r="A134" s="58" t="s">
        <v>78</v>
      </c>
      <c r="B134" s="58" t="s">
        <v>80</v>
      </c>
      <c r="C134" s="58">
        <v>616724</v>
      </c>
      <c r="D134" s="59">
        <v>130</v>
      </c>
      <c r="E134" s="59">
        <v>0</v>
      </c>
      <c r="F134" s="59">
        <v>14007348.75</v>
      </c>
      <c r="G134" s="74" t="s">
        <v>36</v>
      </c>
    </row>
    <row r="135" spans="1:7" ht="24.75" hidden="1" customHeight="1" x14ac:dyDescent="0.25">
      <c r="A135" s="58" t="s">
        <v>78</v>
      </c>
      <c r="B135" s="58" t="s">
        <v>81</v>
      </c>
      <c r="C135" s="58">
        <v>3660</v>
      </c>
      <c r="D135" s="59">
        <v>0</v>
      </c>
      <c r="E135" s="59">
        <v>600000</v>
      </c>
      <c r="F135" s="59">
        <v>14007478.75</v>
      </c>
    </row>
    <row r="136" spans="1:7" ht="24.75" hidden="1" customHeight="1" x14ac:dyDescent="0.25">
      <c r="A136" s="58" t="s">
        <v>78</v>
      </c>
      <c r="B136" s="58" t="s">
        <v>82</v>
      </c>
      <c r="C136" s="58">
        <v>3642</v>
      </c>
      <c r="D136" s="59">
        <v>0</v>
      </c>
      <c r="E136" s="59">
        <v>800000</v>
      </c>
      <c r="F136" s="59">
        <v>13407478.75</v>
      </c>
    </row>
    <row r="137" spans="1:7" ht="24.75" hidden="1" customHeight="1" x14ac:dyDescent="0.25">
      <c r="A137" s="58" t="s">
        <v>78</v>
      </c>
      <c r="B137" s="58" t="s">
        <v>83</v>
      </c>
      <c r="C137" s="58">
        <v>3624</v>
      </c>
      <c r="D137" s="59">
        <v>0</v>
      </c>
      <c r="E137" s="59">
        <v>800000</v>
      </c>
      <c r="F137" s="59">
        <v>12607478.75</v>
      </c>
    </row>
    <row r="138" spans="1:7" ht="24.75" hidden="1" customHeight="1" x14ac:dyDescent="0.25">
      <c r="A138" s="58" t="s">
        <v>78</v>
      </c>
      <c r="B138" s="58" t="s">
        <v>84</v>
      </c>
      <c r="C138" s="58">
        <v>3606</v>
      </c>
      <c r="D138" s="59">
        <v>0</v>
      </c>
      <c r="E138" s="59">
        <v>400000</v>
      </c>
      <c r="F138" s="59">
        <v>11807478.75</v>
      </c>
    </row>
    <row r="139" spans="1:7" ht="24.75" hidden="1" customHeight="1" x14ac:dyDescent="0.25">
      <c r="A139" s="58" t="s">
        <v>78</v>
      </c>
      <c r="B139" s="58" t="s">
        <v>85</v>
      </c>
      <c r="C139" s="58">
        <v>3588</v>
      </c>
      <c r="D139" s="59">
        <v>0</v>
      </c>
      <c r="E139" s="59">
        <v>400000</v>
      </c>
      <c r="F139" s="59">
        <v>11407478.75</v>
      </c>
    </row>
    <row r="140" spans="1:7" ht="24.75" hidden="1" customHeight="1" x14ac:dyDescent="0.25">
      <c r="A140" s="77"/>
      <c r="B140" s="78"/>
      <c r="C140" s="80"/>
      <c r="D140" s="76"/>
      <c r="E140" s="59" t="s">
        <v>34</v>
      </c>
      <c r="F140" s="59">
        <v>11007478.75</v>
      </c>
    </row>
    <row r="141" spans="1:7" x14ac:dyDescent="0.25">
      <c r="D141" s="50">
        <f>SUBTOTAL(9,D3:D140)</f>
        <v>1218733.9800000002</v>
      </c>
    </row>
  </sheetData>
  <autoFilter ref="A2:H140" xr:uid="{DAAC4145-1C7C-49B7-A159-B48B8C349771}">
    <filterColumn colId="6">
      <customFilters>
        <customFilter operator="notEqual" val=" "/>
      </customFilters>
    </filterColumn>
  </autoFilter>
  <conditionalFormatting sqref="G1:G1048576">
    <cfRule type="cellIs" dxfId="1" priority="1" operator="equal">
      <formula>"CONCILIADO"</formula>
    </cfRule>
    <cfRule type="cellIs" dxfId="0" priority="2" operator="equal">
      <formula>"PENDIENTE"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5EAB77-2ECE-4032-AA57-5A3527F3CD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CONCILIACION</vt:lpstr>
      <vt:lpstr>ANTERIOR</vt:lpstr>
      <vt:lpstr>MAYOR</vt:lpstr>
      <vt:lpstr>EXTRACTO</vt:lpstr>
      <vt:lpstr>GASTOS BANCARIOS</vt:lpstr>
      <vt:lpstr>ANTERIOR!Área_de_impresión</vt:lpstr>
      <vt:lpstr>CONCILIACION!Área_de_impresión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contable04</dc:creator>
  <cp:lastModifiedBy>Nelly Gonzalez</cp:lastModifiedBy>
  <cp:lastPrinted>2025-08-05T13:09:17Z</cp:lastPrinted>
  <dcterms:created xsi:type="dcterms:W3CDTF">2022-06-06T12:32:53Z</dcterms:created>
  <dcterms:modified xsi:type="dcterms:W3CDTF">2025-09-14T16:02:51Z</dcterms:modified>
</cp:coreProperties>
</file>